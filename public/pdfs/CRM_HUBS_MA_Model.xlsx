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van\OneDrive\Desktop\PersonalWebsite\public\pdfs\"/>
    </mc:Choice>
  </mc:AlternateContent>
  <xr:revisionPtr revIDLastSave="0" documentId="13_ncr:1_{99BDE513-1372-479D-8BEF-EC2B51BB512E}" xr6:coauthVersionLast="47" xr6:coauthVersionMax="47" xr10:uidLastSave="{00000000-0000-0000-0000-000000000000}"/>
  <bookViews>
    <workbookView xWindow="3030" yWindow="3030" windowWidth="28800" windowHeight="15210" tabRatio="837" xr2:uid="{00000000-000D-0000-FFFF-FFFF00000000}"/>
  </bookViews>
  <sheets>
    <sheet name="Cover" sheetId="16" r:id="rId1"/>
    <sheet name="Assumptions" sheetId="3" r:id="rId2"/>
    <sheet name="DCF Summary" sheetId="1" r:id="rId3"/>
    <sheet name="Combined Financials" sheetId="2" r:id="rId4"/>
    <sheet name="Trading Comps" sheetId="4" r:id="rId5"/>
    <sheet name="Transaction Comps" sheetId="5" r:id="rId6"/>
    <sheet name="CRM Projection" sheetId="6" r:id="rId7"/>
    <sheet name="HUBS Projection" sheetId="7" r:id="rId8"/>
    <sheet name="Beta" sheetId="8" r:id="rId9"/>
    <sheet name="Raw Comps" sheetId="9" r:id="rId10"/>
    <sheet name="CRM-US-BS" sheetId="10" r:id="rId11"/>
    <sheet name="CRM-US-IS" sheetId="11" r:id="rId12"/>
    <sheet name="CRM-US-CF" sheetId="12" r:id="rId13"/>
    <sheet name="HUBS-US-BS" sheetId="13" r:id="rId14"/>
    <sheet name="HUBS-US-IS" sheetId="14" r:id="rId15"/>
    <sheet name="HUBS-US-CF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1" l="1"/>
  <c r="C218" i="2"/>
  <c r="D218" i="2"/>
  <c r="E218" i="2"/>
  <c r="F218" i="2"/>
  <c r="B218" i="2"/>
  <c r="C217" i="2"/>
  <c r="D217" i="2"/>
  <c r="E217" i="2"/>
  <c r="F217" i="2"/>
  <c r="B217" i="2"/>
  <c r="C216" i="2"/>
  <c r="D216" i="2"/>
  <c r="E216" i="2"/>
  <c r="F216" i="2"/>
  <c r="B216" i="2"/>
  <c r="C215" i="2"/>
  <c r="D215" i="2"/>
  <c r="E215" i="2"/>
  <c r="F215" i="2"/>
  <c r="B215" i="2"/>
  <c r="C214" i="2"/>
  <c r="D214" i="2"/>
  <c r="E214" i="2"/>
  <c r="F214" i="2"/>
  <c r="B214" i="2"/>
  <c r="C189" i="2"/>
  <c r="D189" i="2"/>
  <c r="E189" i="2"/>
  <c r="F189" i="2"/>
  <c r="B189" i="2"/>
  <c r="C176" i="2"/>
  <c r="B176" i="2"/>
  <c r="B175" i="2"/>
  <c r="D175" i="2"/>
  <c r="D176" i="2"/>
  <c r="B174" i="2"/>
  <c r="D174" i="2" s="1"/>
  <c r="C172" i="2"/>
  <c r="B172" i="2"/>
  <c r="C171" i="2"/>
  <c r="B171" i="2"/>
  <c r="C170" i="2"/>
  <c r="B170" i="2"/>
  <c r="C169" i="2"/>
  <c r="B169" i="2"/>
  <c r="C168" i="2"/>
  <c r="B168" i="2"/>
  <c r="C167" i="2"/>
  <c r="B167" i="2"/>
  <c r="D167" i="2" s="1"/>
  <c r="D168" i="2"/>
  <c r="D170" i="2"/>
  <c r="C166" i="2"/>
  <c r="B166" i="2"/>
  <c r="C165" i="2"/>
  <c r="B165" i="2"/>
  <c r="D165" i="2" s="1"/>
  <c r="D33" i="1"/>
  <c r="B33" i="1"/>
  <c r="B55" i="7"/>
  <c r="M41" i="9"/>
  <c r="L41" i="9"/>
  <c r="K41" i="9"/>
  <c r="J41" i="9"/>
  <c r="I41" i="9"/>
  <c r="H41" i="9"/>
  <c r="G41" i="9"/>
  <c r="F41" i="9"/>
  <c r="E41" i="9"/>
  <c r="D41" i="9"/>
  <c r="M40" i="9"/>
  <c r="L40" i="9"/>
  <c r="K40" i="9"/>
  <c r="J40" i="9"/>
  <c r="I40" i="9"/>
  <c r="H40" i="9"/>
  <c r="G40" i="9"/>
  <c r="F40" i="9"/>
  <c r="E40" i="9"/>
  <c r="D40" i="9"/>
  <c r="R28" i="9"/>
  <c r="Q28" i="9"/>
  <c r="P28" i="9"/>
  <c r="O28" i="9"/>
  <c r="N28" i="9"/>
  <c r="M28" i="9"/>
  <c r="L28" i="9"/>
  <c r="K28" i="9"/>
  <c r="J28" i="9"/>
  <c r="I28" i="9"/>
  <c r="R27" i="9"/>
  <c r="Q27" i="9"/>
  <c r="P27" i="9"/>
  <c r="O27" i="9"/>
  <c r="N27" i="9"/>
  <c r="M27" i="9"/>
  <c r="L27" i="9"/>
  <c r="K27" i="9"/>
  <c r="J27" i="9"/>
  <c r="I27" i="9"/>
  <c r="N3" i="8"/>
  <c r="N2" i="8"/>
  <c r="K65" i="8"/>
  <c r="G65" i="8"/>
  <c r="C65" i="8"/>
  <c r="K64" i="8"/>
  <c r="G64" i="8"/>
  <c r="C64" i="8"/>
  <c r="K63" i="8"/>
  <c r="G63" i="8"/>
  <c r="C63" i="8"/>
  <c r="K62" i="8"/>
  <c r="G62" i="8"/>
  <c r="C62" i="8"/>
  <c r="K61" i="8"/>
  <c r="G61" i="8"/>
  <c r="C61" i="8"/>
  <c r="K60" i="8"/>
  <c r="G60" i="8"/>
  <c r="C60" i="8"/>
  <c r="K59" i="8"/>
  <c r="G59" i="8"/>
  <c r="C59" i="8"/>
  <c r="K58" i="8"/>
  <c r="G58" i="8"/>
  <c r="C58" i="8"/>
  <c r="K57" i="8"/>
  <c r="G57" i="8"/>
  <c r="C57" i="8"/>
  <c r="K56" i="8"/>
  <c r="G56" i="8"/>
  <c r="C56" i="8"/>
  <c r="K55" i="8"/>
  <c r="G55" i="8"/>
  <c r="C55" i="8"/>
  <c r="K54" i="8"/>
  <c r="G54" i="8"/>
  <c r="C54" i="8"/>
  <c r="K53" i="8"/>
  <c r="G53" i="8"/>
  <c r="C53" i="8"/>
  <c r="K52" i="8"/>
  <c r="G52" i="8"/>
  <c r="C52" i="8"/>
  <c r="K51" i="8"/>
  <c r="G51" i="8"/>
  <c r="C51" i="8"/>
  <c r="K50" i="8"/>
  <c r="G50" i="8"/>
  <c r="C50" i="8"/>
  <c r="K49" i="8"/>
  <c r="G49" i="8"/>
  <c r="C49" i="8"/>
  <c r="K48" i="8"/>
  <c r="G48" i="8"/>
  <c r="C48" i="8"/>
  <c r="K47" i="8"/>
  <c r="G47" i="8"/>
  <c r="C47" i="8"/>
  <c r="K46" i="8"/>
  <c r="G46" i="8"/>
  <c r="C46" i="8"/>
  <c r="K45" i="8"/>
  <c r="G45" i="8"/>
  <c r="C45" i="8"/>
  <c r="K44" i="8"/>
  <c r="G44" i="8"/>
  <c r="C44" i="8"/>
  <c r="K43" i="8"/>
  <c r="G43" i="8"/>
  <c r="C43" i="8"/>
  <c r="K42" i="8"/>
  <c r="G42" i="8"/>
  <c r="C42" i="8"/>
  <c r="K41" i="8"/>
  <c r="G41" i="8"/>
  <c r="C41" i="8"/>
  <c r="K40" i="8"/>
  <c r="G40" i="8"/>
  <c r="C40" i="8"/>
  <c r="K39" i="8"/>
  <c r="G39" i="8"/>
  <c r="C39" i="8"/>
  <c r="K38" i="8"/>
  <c r="G38" i="8"/>
  <c r="C38" i="8"/>
  <c r="K37" i="8"/>
  <c r="G37" i="8"/>
  <c r="C37" i="8"/>
  <c r="K36" i="8"/>
  <c r="G36" i="8"/>
  <c r="C36" i="8"/>
  <c r="K35" i="8"/>
  <c r="G35" i="8"/>
  <c r="C35" i="8"/>
  <c r="K34" i="8"/>
  <c r="G34" i="8"/>
  <c r="C34" i="8"/>
  <c r="K33" i="8"/>
  <c r="G33" i="8"/>
  <c r="C33" i="8"/>
  <c r="K32" i="8"/>
  <c r="G32" i="8"/>
  <c r="C32" i="8"/>
  <c r="K31" i="8"/>
  <c r="G31" i="8"/>
  <c r="C31" i="8"/>
  <c r="K30" i="8"/>
  <c r="G30" i="8"/>
  <c r="C30" i="8"/>
  <c r="K29" i="8"/>
  <c r="G29" i="8"/>
  <c r="C29" i="8"/>
  <c r="K28" i="8"/>
  <c r="G28" i="8"/>
  <c r="C28" i="8"/>
  <c r="K27" i="8"/>
  <c r="G27" i="8"/>
  <c r="C27" i="8"/>
  <c r="K26" i="8"/>
  <c r="G26" i="8"/>
  <c r="C26" i="8"/>
  <c r="K25" i="8"/>
  <c r="G25" i="8"/>
  <c r="C25" i="8"/>
  <c r="K24" i="8"/>
  <c r="G24" i="8"/>
  <c r="C24" i="8"/>
  <c r="K23" i="8"/>
  <c r="G23" i="8"/>
  <c r="C23" i="8"/>
  <c r="K22" i="8"/>
  <c r="G22" i="8"/>
  <c r="C22" i="8"/>
  <c r="K21" i="8"/>
  <c r="G21" i="8"/>
  <c r="C21" i="8"/>
  <c r="K20" i="8"/>
  <c r="G20" i="8"/>
  <c r="C20" i="8"/>
  <c r="K19" i="8"/>
  <c r="G19" i="8"/>
  <c r="C19" i="8"/>
  <c r="K18" i="8"/>
  <c r="G18" i="8"/>
  <c r="C18" i="8"/>
  <c r="K17" i="8"/>
  <c r="G17" i="8"/>
  <c r="C17" i="8"/>
  <c r="K16" i="8"/>
  <c r="G16" i="8"/>
  <c r="C16" i="8"/>
  <c r="K15" i="8"/>
  <c r="G15" i="8"/>
  <c r="C15" i="8"/>
  <c r="K14" i="8"/>
  <c r="G14" i="8"/>
  <c r="C14" i="8"/>
  <c r="K13" i="8"/>
  <c r="G13" i="8"/>
  <c r="C13" i="8"/>
  <c r="K12" i="8"/>
  <c r="G12" i="8"/>
  <c r="C12" i="8"/>
  <c r="K11" i="8"/>
  <c r="G11" i="8"/>
  <c r="C11" i="8"/>
  <c r="K10" i="8"/>
  <c r="G10" i="8"/>
  <c r="C10" i="8"/>
  <c r="K9" i="8"/>
  <c r="G9" i="8"/>
  <c r="C9" i="8"/>
  <c r="K8" i="8"/>
  <c r="G8" i="8"/>
  <c r="C8" i="8"/>
  <c r="K7" i="8"/>
  <c r="G7" i="8"/>
  <c r="C7" i="8"/>
  <c r="K6" i="8"/>
  <c r="G6" i="8"/>
  <c r="C6" i="8"/>
  <c r="K5" i="8"/>
  <c r="G5" i="8"/>
  <c r="C5" i="8"/>
  <c r="K4" i="8"/>
  <c r="G4" i="8"/>
  <c r="C4" i="8"/>
  <c r="B50" i="7"/>
  <c r="B48" i="7"/>
  <c r="G36" i="7"/>
  <c r="F36" i="7"/>
  <c r="E36" i="7"/>
  <c r="D36" i="7"/>
  <c r="C36" i="7"/>
  <c r="B36" i="7"/>
  <c r="G35" i="7"/>
  <c r="F35" i="7"/>
  <c r="E35" i="7"/>
  <c r="D35" i="7"/>
  <c r="C35" i="7"/>
  <c r="B35" i="7"/>
  <c r="B31" i="7"/>
  <c r="B30" i="7"/>
  <c r="G25" i="7"/>
  <c r="G19" i="7"/>
  <c r="F19" i="7"/>
  <c r="E19" i="7"/>
  <c r="D19" i="7"/>
  <c r="C19" i="7"/>
  <c r="B19" i="7"/>
  <c r="G15" i="7"/>
  <c r="F15" i="7"/>
  <c r="E15" i="7"/>
  <c r="D15" i="7"/>
  <c r="C15" i="7"/>
  <c r="B15" i="7"/>
  <c r="G11" i="7"/>
  <c r="F11" i="7"/>
  <c r="E11" i="7"/>
  <c r="D11" i="7"/>
  <c r="C11" i="7"/>
  <c r="B11" i="7"/>
  <c r="G7" i="7"/>
  <c r="F7" i="7"/>
  <c r="E7" i="7"/>
  <c r="D7" i="7"/>
  <c r="C7" i="7"/>
  <c r="B7" i="7"/>
  <c r="G3" i="7"/>
  <c r="F3" i="7"/>
  <c r="E3" i="7"/>
  <c r="D3" i="7"/>
  <c r="C3" i="7"/>
  <c r="C4" i="7" s="1"/>
  <c r="B3" i="7"/>
  <c r="B50" i="6"/>
  <c r="B48" i="6"/>
  <c r="K21" i="3" s="1"/>
  <c r="B47" i="6"/>
  <c r="B49" i="6" s="1"/>
  <c r="G36" i="6"/>
  <c r="F36" i="6"/>
  <c r="E36" i="6"/>
  <c r="D36" i="6"/>
  <c r="C36" i="6"/>
  <c r="B36" i="6"/>
  <c r="G35" i="6"/>
  <c r="F35" i="6"/>
  <c r="E35" i="6"/>
  <c r="D35" i="6"/>
  <c r="C35" i="6"/>
  <c r="B35" i="6"/>
  <c r="G19" i="6"/>
  <c r="F19" i="6"/>
  <c r="E19" i="6"/>
  <c r="D19" i="6"/>
  <c r="C19" i="6"/>
  <c r="B19" i="6"/>
  <c r="G15" i="6"/>
  <c r="F15" i="6"/>
  <c r="E15" i="6"/>
  <c r="D15" i="6"/>
  <c r="C15" i="6"/>
  <c r="B15" i="6"/>
  <c r="G11" i="6"/>
  <c r="F11" i="6"/>
  <c r="E11" i="6"/>
  <c r="D11" i="6"/>
  <c r="C11" i="6"/>
  <c r="B11" i="6"/>
  <c r="G7" i="6"/>
  <c r="F7" i="6"/>
  <c r="E7" i="6"/>
  <c r="D7" i="6"/>
  <c r="C7" i="6"/>
  <c r="B7" i="6"/>
  <c r="G3" i="6"/>
  <c r="F3" i="6"/>
  <c r="E3" i="6"/>
  <c r="D3" i="6"/>
  <c r="C3" i="6"/>
  <c r="C4" i="6" s="1"/>
  <c r="B3" i="6"/>
  <c r="F16" i="5"/>
  <c r="D16" i="5"/>
  <c r="F15" i="5"/>
  <c r="D15" i="5"/>
  <c r="C15" i="5"/>
  <c r="F11" i="5"/>
  <c r="F10" i="5"/>
  <c r="J11" i="4"/>
  <c r="I11" i="4"/>
  <c r="F11" i="4"/>
  <c r="E11" i="4"/>
  <c r="D11" i="4"/>
  <c r="C11" i="4"/>
  <c r="J10" i="4"/>
  <c r="I10" i="4"/>
  <c r="F10" i="4"/>
  <c r="E10" i="4"/>
  <c r="D10" i="4"/>
  <c r="C10" i="4"/>
  <c r="J9" i="4"/>
  <c r="I9" i="4"/>
  <c r="F9" i="4"/>
  <c r="E9" i="4"/>
  <c r="D9" i="4"/>
  <c r="C9" i="4"/>
  <c r="J8" i="4"/>
  <c r="I8" i="4"/>
  <c r="F8" i="4"/>
  <c r="E8" i="4"/>
  <c r="D8" i="4"/>
  <c r="C8" i="4"/>
  <c r="J7" i="4"/>
  <c r="I7" i="4"/>
  <c r="F7" i="4"/>
  <c r="E7" i="4"/>
  <c r="D7" i="4"/>
  <c r="C7" i="4"/>
  <c r="J6" i="4"/>
  <c r="I6" i="4"/>
  <c r="F6" i="4"/>
  <c r="E6" i="4"/>
  <c r="D6" i="4"/>
  <c r="C6" i="4"/>
  <c r="J5" i="4"/>
  <c r="I5" i="4"/>
  <c r="F5" i="4"/>
  <c r="E5" i="4"/>
  <c r="D5" i="4"/>
  <c r="C5" i="4"/>
  <c r="M40" i="3"/>
  <c r="K38" i="3"/>
  <c r="M37" i="3"/>
  <c r="K36" i="3"/>
  <c r="B36" i="3"/>
  <c r="B37" i="3" s="1"/>
  <c r="K23" i="3"/>
  <c r="B23" i="3"/>
  <c r="K20" i="3"/>
  <c r="B20" i="3"/>
  <c r="B18" i="3"/>
  <c r="K17" i="3"/>
  <c r="K18" i="3" s="1"/>
  <c r="K19" i="3" s="1"/>
  <c r="K15" i="3"/>
  <c r="K14" i="3"/>
  <c r="B30" i="6" s="1"/>
  <c r="C24" i="1" s="1"/>
  <c r="P10" i="3"/>
  <c r="O10" i="3"/>
  <c r="N10" i="3"/>
  <c r="M10" i="3"/>
  <c r="L10" i="3"/>
  <c r="K10" i="3"/>
  <c r="G10" i="3"/>
  <c r="F10" i="3"/>
  <c r="E10" i="3"/>
  <c r="D10" i="3"/>
  <c r="C10" i="3"/>
  <c r="B10" i="3"/>
  <c r="O7" i="3"/>
  <c r="P7" i="3" s="1"/>
  <c r="N7" i="3"/>
  <c r="M7" i="3"/>
  <c r="L7" i="3"/>
  <c r="K7" i="3"/>
  <c r="O6" i="3"/>
  <c r="P6" i="3" s="1"/>
  <c r="N6" i="3"/>
  <c r="M6" i="3"/>
  <c r="L6" i="3"/>
  <c r="K6" i="3"/>
  <c r="G6" i="3"/>
  <c r="F6" i="3"/>
  <c r="E6" i="3"/>
  <c r="D6" i="3"/>
  <c r="C6" i="3"/>
  <c r="B6" i="3"/>
  <c r="P5" i="3"/>
  <c r="K27" i="3" s="1"/>
  <c r="O5" i="3"/>
  <c r="N5" i="3"/>
  <c r="M5" i="3"/>
  <c r="L5" i="3"/>
  <c r="K5" i="3"/>
  <c r="G5" i="3"/>
  <c r="B27" i="3" s="1"/>
  <c r="F5" i="3"/>
  <c r="E5" i="3"/>
  <c r="D5" i="3"/>
  <c r="C5" i="3"/>
  <c r="B5" i="3"/>
  <c r="C28" i="1"/>
  <c r="B28" i="1"/>
  <c r="C27" i="1"/>
  <c r="B27" i="1"/>
  <c r="B24" i="1"/>
  <c r="B23" i="1"/>
  <c r="F151" i="2"/>
  <c r="E151" i="2"/>
  <c r="D151" i="2"/>
  <c r="C151" i="2"/>
  <c r="B151" i="2"/>
  <c r="F105" i="2"/>
  <c r="E105" i="2"/>
  <c r="D105" i="2"/>
  <c r="C105" i="2"/>
  <c r="B105" i="2"/>
  <c r="F95" i="2"/>
  <c r="E95" i="2"/>
  <c r="D95" i="2"/>
  <c r="C95" i="2"/>
  <c r="B95" i="2"/>
  <c r="F89" i="2"/>
  <c r="E89" i="2"/>
  <c r="D89" i="2"/>
  <c r="C89" i="2"/>
  <c r="B89" i="2"/>
  <c r="C79" i="2"/>
  <c r="F39" i="2"/>
  <c r="E39" i="2"/>
  <c r="D39" i="2"/>
  <c r="C39" i="2"/>
  <c r="B39" i="2"/>
  <c r="C20" i="2"/>
  <c r="L40" i="3" s="1"/>
  <c r="B20" i="2"/>
  <c r="K40" i="3" s="1"/>
  <c r="B11" i="2"/>
  <c r="B9" i="2"/>
  <c r="B7" i="2"/>
  <c r="B6" i="2"/>
  <c r="B5" i="2"/>
  <c r="B4" i="2"/>
  <c r="B29" i="2" s="1"/>
  <c r="B3" i="2"/>
  <c r="B2" i="2"/>
  <c r="D166" i="2" l="1"/>
  <c r="D171" i="2"/>
  <c r="D169" i="2"/>
  <c r="E169" i="2" s="1"/>
  <c r="C204" i="2"/>
  <c r="D204" i="2"/>
  <c r="E204" i="2"/>
  <c r="F204" i="2"/>
  <c r="B204" i="2"/>
  <c r="B173" i="2"/>
  <c r="D173" i="2" s="1"/>
  <c r="D172" i="2"/>
  <c r="E175" i="2"/>
  <c r="B191" i="2" s="1"/>
  <c r="C191" i="2" s="1"/>
  <c r="D191" i="2" s="1"/>
  <c r="E191" i="2" s="1"/>
  <c r="F191" i="2" s="1"/>
  <c r="E171" i="2"/>
  <c r="E167" i="2"/>
  <c r="E170" i="2"/>
  <c r="E166" i="2"/>
  <c r="D37" i="7"/>
  <c r="E4" i="7"/>
  <c r="E4" i="6"/>
  <c r="C37" i="6"/>
  <c r="B37" i="6"/>
  <c r="F20" i="6"/>
  <c r="G16" i="6"/>
  <c r="D16" i="6"/>
  <c r="G12" i="6"/>
  <c r="F8" i="6"/>
  <c r="E8" i="6"/>
  <c r="D8" i="6"/>
  <c r="F4" i="6"/>
  <c r="D4" i="6"/>
  <c r="G37" i="6"/>
  <c r="D20" i="6"/>
  <c r="E12" i="6"/>
  <c r="D37" i="6"/>
  <c r="G20" i="6"/>
  <c r="C20" i="6"/>
  <c r="F16" i="6"/>
  <c r="E16" i="6"/>
  <c r="C16" i="6"/>
  <c r="F12" i="6"/>
  <c r="C12" i="6"/>
  <c r="G8" i="6"/>
  <c r="C8" i="6"/>
  <c r="B9" i="6" s="1"/>
  <c r="F37" i="6"/>
  <c r="E20" i="6"/>
  <c r="D12" i="6"/>
  <c r="E37" i="6"/>
  <c r="B38" i="6" s="1"/>
  <c r="B21" i="6"/>
  <c r="B49" i="7"/>
  <c r="B52" i="7" s="1"/>
  <c r="B25" i="3" s="1"/>
  <c r="B21" i="3"/>
  <c r="E37" i="7"/>
  <c r="B37" i="7"/>
  <c r="F20" i="7"/>
  <c r="D20" i="7"/>
  <c r="G16" i="7"/>
  <c r="F12" i="7"/>
  <c r="F8" i="7"/>
  <c r="C8" i="7"/>
  <c r="D4" i="7"/>
  <c r="B19" i="3"/>
  <c r="F37" i="7"/>
  <c r="C37" i="7"/>
  <c r="E20" i="7"/>
  <c r="C20" i="7"/>
  <c r="E16" i="7"/>
  <c r="D16" i="7"/>
  <c r="G12" i="7"/>
  <c r="G8" i="7"/>
  <c r="F4" i="7"/>
  <c r="G37" i="7"/>
  <c r="G20" i="7"/>
  <c r="F16" i="7"/>
  <c r="C16" i="7"/>
  <c r="D12" i="7"/>
  <c r="C12" i="7"/>
  <c r="B13" i="7" s="1"/>
  <c r="E8" i="7"/>
  <c r="D8" i="7"/>
  <c r="E12" i="7"/>
  <c r="G5" i="4"/>
  <c r="H5" i="4"/>
  <c r="F94" i="2"/>
  <c r="B94" i="2"/>
  <c r="E94" i="2"/>
  <c r="D94" i="2"/>
  <c r="C94" i="2"/>
  <c r="B25" i="2"/>
  <c r="F112" i="2"/>
  <c r="D112" i="2"/>
  <c r="C112" i="2"/>
  <c r="B112" i="2"/>
  <c r="E112" i="2"/>
  <c r="B138" i="2"/>
  <c r="B53" i="7"/>
  <c r="B22" i="3"/>
  <c r="B42" i="7"/>
  <c r="B44" i="7" s="1"/>
  <c r="B45" i="7" s="1"/>
  <c r="B26" i="1" s="1"/>
  <c r="G4" i="7"/>
  <c r="B59" i="7"/>
  <c r="B53" i="6"/>
  <c r="K22" i="3"/>
  <c r="B59" i="6"/>
  <c r="G4" i="6"/>
  <c r="I15" i="5"/>
  <c r="G15" i="5"/>
  <c r="E15" i="5"/>
  <c r="H15" i="5" s="1"/>
  <c r="E16" i="5"/>
  <c r="G11" i="4"/>
  <c r="H11" i="4"/>
  <c r="G10" i="4"/>
  <c r="H10" i="4"/>
  <c r="G9" i="4"/>
  <c r="H9" i="4"/>
  <c r="G8" i="4"/>
  <c r="H8" i="4"/>
  <c r="H7" i="4"/>
  <c r="G7" i="4"/>
  <c r="G6" i="4"/>
  <c r="H6" i="4"/>
  <c r="C20" i="4"/>
  <c r="F20" i="4" s="1"/>
  <c r="E19" i="4"/>
  <c r="H19" i="4" s="1"/>
  <c r="G12" i="4"/>
  <c r="G13" i="4"/>
  <c r="D19" i="4" s="1"/>
  <c r="G19" i="4" s="1"/>
  <c r="C19" i="4"/>
  <c r="F19" i="4" s="1"/>
  <c r="F13" i="4"/>
  <c r="D18" i="4" s="1"/>
  <c r="F12" i="4"/>
  <c r="C18" i="4"/>
  <c r="E34" i="1" s="1"/>
  <c r="E18" i="4"/>
  <c r="F34" i="1" s="1"/>
  <c r="B31" i="6"/>
  <c r="D79" i="2"/>
  <c r="C138" i="2"/>
  <c r="D19" i="2"/>
  <c r="C19" i="2"/>
  <c r="B19" i="2"/>
  <c r="F38" i="2"/>
  <c r="D38" i="2"/>
  <c r="C38" i="2"/>
  <c r="B38" i="2"/>
  <c r="E38" i="2"/>
  <c r="B28" i="2"/>
  <c r="B52" i="6"/>
  <c r="K25" i="3" s="1"/>
  <c r="B201" i="2" l="1"/>
  <c r="F201" i="2"/>
  <c r="E201" i="2"/>
  <c r="D201" i="2"/>
  <c r="C201" i="2"/>
  <c r="B198" i="2"/>
  <c r="F198" i="2"/>
  <c r="E198" i="2"/>
  <c r="D198" i="2"/>
  <c r="C198" i="2"/>
  <c r="B17" i="7"/>
  <c r="B17" i="6"/>
  <c r="B13" i="6"/>
  <c r="B5" i="6"/>
  <c r="N9" i="3"/>
  <c r="O9" i="3"/>
  <c r="P9" i="3"/>
  <c r="L9" i="3"/>
  <c r="K9" i="3"/>
  <c r="M9" i="3"/>
  <c r="H12" i="4"/>
  <c r="H13" i="4"/>
  <c r="D20" i="4" s="1"/>
  <c r="G20" i="4" s="1"/>
  <c r="E20" i="4"/>
  <c r="H20" i="4" s="1"/>
  <c r="B9" i="7"/>
  <c r="B5" i="7"/>
  <c r="B21" i="7"/>
  <c r="B64" i="7" s="1"/>
  <c r="B65" i="7" s="1"/>
  <c r="B9" i="1" s="1"/>
  <c r="B38" i="7"/>
  <c r="B7" i="3"/>
  <c r="C7" i="3"/>
  <c r="D7" i="3"/>
  <c r="E7" i="3"/>
  <c r="F7" i="3"/>
  <c r="G7" i="3"/>
  <c r="B51" i="2"/>
  <c r="B13" i="3"/>
  <c r="B16" i="3" s="1"/>
  <c r="B29" i="7"/>
  <c r="K13" i="3"/>
  <c r="K16" i="3" s="1"/>
  <c r="B29" i="6"/>
  <c r="B24" i="3"/>
  <c r="C59" i="7"/>
  <c r="B60" i="7"/>
  <c r="B62" i="7"/>
  <c r="B18" i="4"/>
  <c r="B35" i="2"/>
  <c r="B88" i="2"/>
  <c r="B4" i="1"/>
  <c r="C16" i="5"/>
  <c r="K24" i="3"/>
  <c r="C59" i="6"/>
  <c r="B60" i="6"/>
  <c r="B64" i="6"/>
  <c r="B65" i="6" s="1"/>
  <c r="B87" i="2"/>
  <c r="B90" i="2" s="1"/>
  <c r="B62" i="6"/>
  <c r="I4" i="1"/>
  <c r="B42" i="6"/>
  <c r="B44" i="6" s="1"/>
  <c r="C23" i="1"/>
  <c r="D138" i="2"/>
  <c r="E79" i="2"/>
  <c r="M39" i="3"/>
  <c r="C21" i="2"/>
  <c r="L39" i="3"/>
  <c r="B21" i="2"/>
  <c r="K39" i="3"/>
  <c r="B30" i="2"/>
  <c r="B31" i="2" s="1"/>
  <c r="C22" i="2"/>
  <c r="D22" i="2"/>
  <c r="B184" i="2" l="1"/>
  <c r="B197" i="2"/>
  <c r="B185" i="2"/>
  <c r="B196" i="2"/>
  <c r="B199" i="2" s="1"/>
  <c r="B32" i="2"/>
  <c r="B177" i="2"/>
  <c r="D177" i="2" s="1"/>
  <c r="C22" i="1"/>
  <c r="B32" i="6"/>
  <c r="B8" i="3"/>
  <c r="D8" i="3"/>
  <c r="E8" i="3"/>
  <c r="F8" i="3"/>
  <c r="G8" i="3"/>
  <c r="B63" i="7"/>
  <c r="B8" i="1" s="1"/>
  <c r="C8" i="3"/>
  <c r="B63" i="6"/>
  <c r="K8" i="3"/>
  <c r="L8" i="3"/>
  <c r="M8" i="3"/>
  <c r="N8" i="3"/>
  <c r="O8" i="3"/>
  <c r="P8" i="3"/>
  <c r="G9" i="3"/>
  <c r="F9" i="3"/>
  <c r="E9" i="3"/>
  <c r="D9" i="3"/>
  <c r="C9" i="3"/>
  <c r="B9" i="3"/>
  <c r="K35" i="3"/>
  <c r="B23" i="2"/>
  <c r="B32" i="7"/>
  <c r="B22" i="1"/>
  <c r="D59" i="7"/>
  <c r="C60" i="7"/>
  <c r="C62" i="7"/>
  <c r="C63" i="7"/>
  <c r="C8" i="1" s="1"/>
  <c r="C64" i="7"/>
  <c r="C65" i="7" s="1"/>
  <c r="C9" i="1" s="1"/>
  <c r="C4" i="1"/>
  <c r="C35" i="2"/>
  <c r="C88" i="2"/>
  <c r="B61" i="7"/>
  <c r="B93" i="2"/>
  <c r="B37" i="2"/>
  <c r="B5" i="1"/>
  <c r="B100" i="2"/>
  <c r="B7" i="1"/>
  <c r="F18" i="4"/>
  <c r="F21" i="4" s="1"/>
  <c r="B34" i="1" s="1"/>
  <c r="G18" i="4"/>
  <c r="G21" i="4" s="1"/>
  <c r="C34" i="1" s="1"/>
  <c r="H18" i="4"/>
  <c r="H21" i="4" s="1"/>
  <c r="D34" i="1" s="1"/>
  <c r="G16" i="5"/>
  <c r="G17" i="5" s="1"/>
  <c r="B35" i="1" s="1"/>
  <c r="H16" i="5"/>
  <c r="H17" i="5" s="1"/>
  <c r="C35" i="1" s="1"/>
  <c r="I16" i="5"/>
  <c r="I17" i="5" s="1"/>
  <c r="D35" i="1" s="1"/>
  <c r="C60" i="6"/>
  <c r="C51" i="2" s="1"/>
  <c r="C63" i="6"/>
  <c r="D59" i="6"/>
  <c r="C62" i="6"/>
  <c r="C64" i="6"/>
  <c r="C65" i="6" s="1"/>
  <c r="J4" i="1"/>
  <c r="C87" i="2"/>
  <c r="B61" i="6"/>
  <c r="B36" i="2"/>
  <c r="I5" i="1"/>
  <c r="B92" i="2"/>
  <c r="B132" i="2"/>
  <c r="I9" i="1"/>
  <c r="B99" i="2"/>
  <c r="I7" i="1"/>
  <c r="B45" i="6"/>
  <c r="C26" i="1" s="1"/>
  <c r="B10" i="2"/>
  <c r="E138" i="2"/>
  <c r="F79" i="2"/>
  <c r="F138" i="2" s="1"/>
  <c r="C23" i="2"/>
  <c r="L35" i="3"/>
  <c r="C24" i="2"/>
  <c r="L36" i="3"/>
  <c r="D24" i="2"/>
  <c r="M36" i="3"/>
  <c r="C42" i="2" l="1"/>
  <c r="E177" i="2"/>
  <c r="B190" i="2" s="1"/>
  <c r="C190" i="2" s="1"/>
  <c r="D190" i="2" s="1"/>
  <c r="E190" i="2" s="1"/>
  <c r="F190" i="2" s="1"/>
  <c r="B42" i="2"/>
  <c r="C40" i="2"/>
  <c r="D96" i="2"/>
  <c r="B101" i="2"/>
  <c r="B102" i="2" s="1"/>
  <c r="B131" i="2" s="1"/>
  <c r="B148" i="2"/>
  <c r="C148" i="2" s="1"/>
  <c r="D148" i="2" s="1"/>
  <c r="E148" i="2" s="1"/>
  <c r="F148" i="2" s="1"/>
  <c r="D101" i="2"/>
  <c r="B40" i="2"/>
  <c r="B41" i="2" s="1"/>
  <c r="D40" i="2"/>
  <c r="E40" i="2"/>
  <c r="F40" i="2"/>
  <c r="B96" i="2"/>
  <c r="B97" i="2" s="1"/>
  <c r="C96" i="2"/>
  <c r="F96" i="2"/>
  <c r="F101" i="2"/>
  <c r="B40" i="3"/>
  <c r="E101" i="2"/>
  <c r="C101" i="2"/>
  <c r="E96" i="2"/>
  <c r="B55" i="6"/>
  <c r="K26" i="3" s="1"/>
  <c r="C25" i="1"/>
  <c r="I8" i="1"/>
  <c r="B135" i="2"/>
  <c r="B188" i="2" s="1"/>
  <c r="B121" i="2"/>
  <c r="B122" i="2" s="1"/>
  <c r="B106" i="2" s="1"/>
  <c r="B107" i="2" s="1"/>
  <c r="B47" i="2" s="1"/>
  <c r="K37" i="3"/>
  <c r="C90" i="2"/>
  <c r="D26" i="2"/>
  <c r="B26" i="2"/>
  <c r="B25" i="1"/>
  <c r="E59" i="7"/>
  <c r="D60" i="7"/>
  <c r="D62" i="7"/>
  <c r="D63" i="7"/>
  <c r="D8" i="1" s="1"/>
  <c r="D64" i="7"/>
  <c r="D65" i="7" s="1"/>
  <c r="D9" i="1" s="1"/>
  <c r="D88" i="2"/>
  <c r="D35" i="2"/>
  <c r="D4" i="1"/>
  <c r="C61" i="7"/>
  <c r="C93" i="2"/>
  <c r="C37" i="2"/>
  <c r="C5" i="1"/>
  <c r="C100" i="2"/>
  <c r="C7" i="1"/>
  <c r="B66" i="7"/>
  <c r="B6" i="1"/>
  <c r="C61" i="6"/>
  <c r="C36" i="2"/>
  <c r="C92" i="2"/>
  <c r="J5" i="1"/>
  <c r="C135" i="2"/>
  <c r="J8" i="1"/>
  <c r="D60" i="6"/>
  <c r="D51" i="2" s="1"/>
  <c r="D62" i="6"/>
  <c r="D63" i="6"/>
  <c r="D87" i="2"/>
  <c r="K4" i="1"/>
  <c r="E59" i="6"/>
  <c r="D64" i="6"/>
  <c r="D65" i="6" s="1"/>
  <c r="C99" i="2"/>
  <c r="J7" i="1"/>
  <c r="C132" i="2"/>
  <c r="J9" i="1"/>
  <c r="B66" i="6"/>
  <c r="I6" i="1"/>
  <c r="L37" i="3"/>
  <c r="C26" i="2"/>
  <c r="B56" i="2" s="1"/>
  <c r="C56" i="2" s="1"/>
  <c r="D56" i="2" s="1"/>
  <c r="E56" i="2" s="1"/>
  <c r="F56" i="2" s="1"/>
  <c r="C25" i="2"/>
  <c r="L38" i="3"/>
  <c r="D25" i="2"/>
  <c r="M38" i="3"/>
  <c r="C21" i="1"/>
  <c r="C188" i="2" l="1"/>
  <c r="C185" i="2"/>
  <c r="C196" i="2"/>
  <c r="C184" i="2"/>
  <c r="C197" i="2"/>
  <c r="D42" i="2"/>
  <c r="C41" i="2"/>
  <c r="C97" i="2"/>
  <c r="D90" i="2"/>
  <c r="C102" i="2"/>
  <c r="C131" i="2" s="1"/>
  <c r="C65" i="2"/>
  <c r="D65" i="2"/>
  <c r="F65" i="2"/>
  <c r="E65" i="2"/>
  <c r="B65" i="2"/>
  <c r="B26" i="3"/>
  <c r="B21" i="1"/>
  <c r="F59" i="7"/>
  <c r="E60" i="7"/>
  <c r="E62" i="7"/>
  <c r="E63" i="7"/>
  <c r="E8" i="1" s="1"/>
  <c r="E64" i="7"/>
  <c r="E65" i="7" s="1"/>
  <c r="E9" i="1" s="1"/>
  <c r="E35" i="2"/>
  <c r="E88" i="2"/>
  <c r="E4" i="1"/>
  <c r="D61" i="7"/>
  <c r="D37" i="2"/>
  <c r="D93" i="2"/>
  <c r="D5" i="1"/>
  <c r="D7" i="1"/>
  <c r="D100" i="2"/>
  <c r="C66" i="7"/>
  <c r="C6" i="1"/>
  <c r="B67" i="7"/>
  <c r="B10" i="1"/>
  <c r="C66" i="6"/>
  <c r="J6" i="1"/>
  <c r="D36" i="2"/>
  <c r="D92" i="2"/>
  <c r="K5" i="1"/>
  <c r="D61" i="6"/>
  <c r="D99" i="2"/>
  <c r="D102" i="2" s="1"/>
  <c r="D131" i="2" s="1"/>
  <c r="K7" i="1"/>
  <c r="D135" i="2"/>
  <c r="D188" i="2" s="1"/>
  <c r="K8" i="1"/>
  <c r="F59" i="6"/>
  <c r="E63" i="6"/>
  <c r="E60" i="6"/>
  <c r="E51" i="2" s="1"/>
  <c r="E62" i="6"/>
  <c r="E64" i="6"/>
  <c r="E65" i="6" s="1"/>
  <c r="E87" i="2"/>
  <c r="L4" i="1"/>
  <c r="D132" i="2"/>
  <c r="K9" i="1"/>
  <c r="B60" i="2"/>
  <c r="B69" i="2" s="1"/>
  <c r="B114" i="2"/>
  <c r="B67" i="6"/>
  <c r="I10" i="1"/>
  <c r="B64" i="2"/>
  <c r="B46" i="2"/>
  <c r="B43" i="2"/>
  <c r="B55" i="2"/>
  <c r="B103" i="2"/>
  <c r="B160" i="2" s="1"/>
  <c r="B108" i="2"/>
  <c r="C199" i="2" l="1"/>
  <c r="D197" i="2"/>
  <c r="D196" i="2"/>
  <c r="D199" i="2" s="1"/>
  <c r="D184" i="2"/>
  <c r="D185" i="2"/>
  <c r="D97" i="2"/>
  <c r="D103" i="2" s="1"/>
  <c r="E42" i="2"/>
  <c r="B57" i="2"/>
  <c r="B58" i="2" s="1"/>
  <c r="B59" i="2" s="1"/>
  <c r="B61" i="2" s="1"/>
  <c r="C103" i="2"/>
  <c r="C43" i="2"/>
  <c r="C46" i="2"/>
  <c r="C55" i="2"/>
  <c r="C57" i="2" s="1"/>
  <c r="C58" i="2" s="1"/>
  <c r="C59" i="2" s="1"/>
  <c r="C64" i="2"/>
  <c r="C66" i="2" s="1"/>
  <c r="C67" i="2" s="1"/>
  <c r="C68" i="2" s="1"/>
  <c r="B66" i="2"/>
  <c r="B67" i="2" s="1"/>
  <c r="B68" i="2" s="1"/>
  <c r="B70" i="2" s="1"/>
  <c r="B48" i="2"/>
  <c r="B49" i="2" s="1"/>
  <c r="B50" i="2" s="1"/>
  <c r="B52" i="2" s="1"/>
  <c r="D41" i="2"/>
  <c r="F60" i="7"/>
  <c r="F62" i="7"/>
  <c r="F63" i="7"/>
  <c r="F8" i="1" s="1"/>
  <c r="F64" i="7"/>
  <c r="F65" i="7" s="1"/>
  <c r="F9" i="1" s="1"/>
  <c r="F88" i="2"/>
  <c r="F35" i="2"/>
  <c r="F4" i="1"/>
  <c r="E61" i="7"/>
  <c r="E37" i="2"/>
  <c r="E93" i="2"/>
  <c r="E5" i="1"/>
  <c r="E100" i="2"/>
  <c r="E7" i="1"/>
  <c r="D66" i="7"/>
  <c r="D6" i="1"/>
  <c r="C67" i="7"/>
  <c r="C10" i="1"/>
  <c r="B11" i="1"/>
  <c r="J10" i="1"/>
  <c r="C67" i="6"/>
  <c r="J11" i="1" s="1"/>
  <c r="C114" i="2"/>
  <c r="C60" i="2"/>
  <c r="D66" i="6"/>
  <c r="K6" i="1"/>
  <c r="F60" i="6"/>
  <c r="F51" i="2" s="1"/>
  <c r="F64" i="6"/>
  <c r="F65" i="6" s="1"/>
  <c r="F87" i="2"/>
  <c r="F62" i="6"/>
  <c r="F63" i="6"/>
  <c r="M4" i="1"/>
  <c r="L8" i="1"/>
  <c r="E135" i="2"/>
  <c r="E188" i="2" s="1"/>
  <c r="E61" i="6"/>
  <c r="E36" i="2"/>
  <c r="E92" i="2"/>
  <c r="L5" i="1"/>
  <c r="E99" i="2"/>
  <c r="L7" i="1"/>
  <c r="E132" i="2"/>
  <c r="L9" i="1"/>
  <c r="I11" i="1"/>
  <c r="B109" i="2"/>
  <c r="B110" i="2" s="1"/>
  <c r="E90" i="2"/>
  <c r="E196" i="2" l="1"/>
  <c r="E184" i="2"/>
  <c r="E197" i="2"/>
  <c r="E185" i="2"/>
  <c r="F42" i="2"/>
  <c r="F90" i="2"/>
  <c r="E41" i="2"/>
  <c r="E97" i="2"/>
  <c r="E102" i="2"/>
  <c r="E131" i="2" s="1"/>
  <c r="D46" i="2"/>
  <c r="D64" i="2"/>
  <c r="D66" i="2" s="1"/>
  <c r="D67" i="2" s="1"/>
  <c r="D68" i="2" s="1"/>
  <c r="D43" i="2"/>
  <c r="D55" i="2"/>
  <c r="D57" i="2" s="1"/>
  <c r="D58" i="2" s="1"/>
  <c r="D59" i="2" s="1"/>
  <c r="F61" i="7"/>
  <c r="F37" i="2"/>
  <c r="F93" i="2"/>
  <c r="F5" i="1"/>
  <c r="F100" i="2"/>
  <c r="F7" i="1"/>
  <c r="E66" i="7"/>
  <c r="E6" i="1"/>
  <c r="D67" i="7"/>
  <c r="D11" i="1" s="1"/>
  <c r="D10" i="1"/>
  <c r="C61" i="2"/>
  <c r="C69" i="2"/>
  <c r="C70" i="2" s="1"/>
  <c r="D67" i="6"/>
  <c r="K10" i="1"/>
  <c r="D60" i="2"/>
  <c r="D114" i="2"/>
  <c r="F61" i="6"/>
  <c r="F36" i="2"/>
  <c r="M5" i="1"/>
  <c r="F92" i="2"/>
  <c r="F132" i="2"/>
  <c r="M9" i="1"/>
  <c r="F99" i="2"/>
  <c r="M7" i="1"/>
  <c r="M8" i="1"/>
  <c r="F135" i="2"/>
  <c r="F188" i="2" s="1"/>
  <c r="L6" i="1"/>
  <c r="E66" i="6"/>
  <c r="B113" i="2"/>
  <c r="B115" i="2" s="1"/>
  <c r="B130" i="2"/>
  <c r="B133" i="2" s="1"/>
  <c r="B136" i="2" s="1"/>
  <c r="B154" i="2"/>
  <c r="B207" i="2" s="1"/>
  <c r="C11" i="1"/>
  <c r="E199" i="2" l="1"/>
  <c r="F185" i="2"/>
  <c r="F196" i="2"/>
  <c r="F184" i="2"/>
  <c r="F197" i="2"/>
  <c r="E103" i="2"/>
  <c r="E55" i="2"/>
  <c r="E57" i="2" s="1"/>
  <c r="E58" i="2" s="1"/>
  <c r="E59" i="2" s="1"/>
  <c r="E43" i="2"/>
  <c r="E46" i="2"/>
  <c r="E64" i="2"/>
  <c r="E66" i="2" s="1"/>
  <c r="E67" i="2" s="1"/>
  <c r="E68" i="2" s="1"/>
  <c r="F41" i="2"/>
  <c r="F97" i="2"/>
  <c r="F102" i="2"/>
  <c r="F131" i="2" s="1"/>
  <c r="F66" i="7"/>
  <c r="F6" i="1"/>
  <c r="E67" i="7"/>
  <c r="E10" i="1"/>
  <c r="K11" i="1"/>
  <c r="D61" i="2"/>
  <c r="D69" i="2"/>
  <c r="D70" i="2" s="1"/>
  <c r="F66" i="6"/>
  <c r="M6" i="1"/>
  <c r="E60" i="2"/>
  <c r="E114" i="2"/>
  <c r="E67" i="6"/>
  <c r="L11" i="1" s="1"/>
  <c r="L10" i="1"/>
  <c r="B123" i="2"/>
  <c r="F199" i="2" l="1"/>
  <c r="F103" i="2"/>
  <c r="F64" i="2"/>
  <c r="F66" i="2" s="1"/>
  <c r="F67" i="2" s="1"/>
  <c r="F68" i="2" s="1"/>
  <c r="F46" i="2"/>
  <c r="F43" i="2"/>
  <c r="F55" i="2"/>
  <c r="F57" i="2" s="1"/>
  <c r="F58" i="2" s="1"/>
  <c r="F59" i="2" s="1"/>
  <c r="F67" i="7"/>
  <c r="B69" i="7"/>
  <c r="F10" i="1"/>
  <c r="E11" i="1"/>
  <c r="F67" i="6"/>
  <c r="M10" i="1"/>
  <c r="B69" i="6"/>
  <c r="F60" i="2"/>
  <c r="F114" i="2"/>
  <c r="E61" i="2"/>
  <c r="E69" i="2"/>
  <c r="E70" i="2" s="1"/>
  <c r="B124" i="2"/>
  <c r="B139" i="2"/>
  <c r="B140" i="2" s="1"/>
  <c r="B146" i="2" l="1"/>
  <c r="B183" i="2"/>
  <c r="F11" i="1"/>
  <c r="B68" i="7"/>
  <c r="B13" i="1" s="1"/>
  <c r="B70" i="7"/>
  <c r="B14" i="1"/>
  <c r="B68" i="6"/>
  <c r="I13" i="1" s="1"/>
  <c r="M11" i="1"/>
  <c r="B70" i="6"/>
  <c r="I14" i="1"/>
  <c r="F61" i="2"/>
  <c r="F69" i="2"/>
  <c r="F70" i="2" s="1"/>
  <c r="C121" i="2"/>
  <c r="B150" i="2"/>
  <c r="B202" i="2" s="1"/>
  <c r="B186" i="2" l="1"/>
  <c r="B205" i="2"/>
  <c r="B209" i="2" s="1"/>
  <c r="B203" i="2"/>
  <c r="B71" i="7"/>
  <c r="B15" i="1"/>
  <c r="B71" i="6"/>
  <c r="I16" i="1" s="1"/>
  <c r="I15" i="1"/>
  <c r="C122" i="2"/>
  <c r="C106" i="2" s="1"/>
  <c r="C107" i="2" s="1"/>
  <c r="C47" i="2" s="1"/>
  <c r="C48" i="2" s="1"/>
  <c r="C49" i="2" s="1"/>
  <c r="C50" i="2" s="1"/>
  <c r="C52" i="2" s="1"/>
  <c r="B159" i="2"/>
  <c r="B152" i="2"/>
  <c r="B158" i="2" s="1"/>
  <c r="B192" i="2" l="1"/>
  <c r="B16" i="1"/>
  <c r="B75" i="7"/>
  <c r="C108" i="2"/>
  <c r="C160" i="2"/>
  <c r="E33" i="1" l="1"/>
  <c r="B36" i="1"/>
  <c r="C33" i="1"/>
  <c r="C36" i="1" s="1"/>
  <c r="F33" i="1"/>
  <c r="C109" i="2"/>
  <c r="C110" i="2" s="1"/>
  <c r="C154" i="2" l="1"/>
  <c r="C207" i="2" s="1"/>
  <c r="C113" i="2"/>
  <c r="C115" i="2" s="1"/>
  <c r="C130" i="2"/>
  <c r="C133" i="2" s="1"/>
  <c r="C136" i="2" s="1"/>
  <c r="C123" i="2" l="1"/>
  <c r="C124" i="2" l="1"/>
  <c r="C139" i="2"/>
  <c r="C140" i="2" s="1"/>
  <c r="C146" i="2" l="1"/>
  <c r="C183" i="2"/>
  <c r="D121" i="2"/>
  <c r="C150" i="2"/>
  <c r="C202" i="2" s="1"/>
  <c r="C186" i="2" l="1"/>
  <c r="C205" i="2"/>
  <c r="C209" i="2" s="1"/>
  <c r="C203" i="2"/>
  <c r="D122" i="2"/>
  <c r="D106" i="2" s="1"/>
  <c r="D107" i="2" s="1"/>
  <c r="D47" i="2" s="1"/>
  <c r="D48" i="2" s="1"/>
  <c r="D49" i="2" s="1"/>
  <c r="D50" i="2" s="1"/>
  <c r="D52" i="2" s="1"/>
  <c r="C152" i="2"/>
  <c r="C158" i="2" s="1"/>
  <c r="C159" i="2"/>
  <c r="C192" i="2" l="1"/>
  <c r="C193" i="2" s="1"/>
  <c r="C210" i="2" s="1"/>
  <c r="D108" i="2"/>
  <c r="D160" i="2"/>
  <c r="D109" i="2" l="1"/>
  <c r="D110" i="2" s="1"/>
  <c r="D154" i="2" l="1"/>
  <c r="D207" i="2" s="1"/>
  <c r="D130" i="2"/>
  <c r="D133" i="2" s="1"/>
  <c r="D136" i="2" s="1"/>
  <c r="D113" i="2"/>
  <c r="D115" i="2" s="1"/>
  <c r="D123" i="2" l="1"/>
  <c r="D124" i="2" l="1"/>
  <c r="D139" i="2"/>
  <c r="D140" i="2" s="1"/>
  <c r="D146" i="2" l="1"/>
  <c r="D183" i="2"/>
  <c r="E121" i="2"/>
  <c r="D150" i="2"/>
  <c r="D202" i="2" s="1"/>
  <c r="D186" i="2" l="1"/>
  <c r="D205" i="2"/>
  <c r="D209" i="2" s="1"/>
  <c r="D203" i="2"/>
  <c r="E122" i="2"/>
  <c r="E106" i="2" s="1"/>
  <c r="E107" i="2" s="1"/>
  <c r="E47" i="2" s="1"/>
  <c r="E48" i="2" s="1"/>
  <c r="E49" i="2" s="1"/>
  <c r="E50" i="2" s="1"/>
  <c r="E52" i="2" s="1"/>
  <c r="D152" i="2"/>
  <c r="D158" i="2" s="1"/>
  <c r="D159" i="2"/>
  <c r="D192" i="2" l="1"/>
  <c r="D193" i="2" s="1"/>
  <c r="D210" i="2" s="1"/>
  <c r="E108" i="2"/>
  <c r="E160" i="2"/>
  <c r="E109" i="2" l="1"/>
  <c r="E110" i="2" s="1"/>
  <c r="E154" i="2" l="1"/>
  <c r="E207" i="2" s="1"/>
  <c r="E130" i="2"/>
  <c r="E133" i="2" s="1"/>
  <c r="E136" i="2" s="1"/>
  <c r="E113" i="2"/>
  <c r="E115" i="2" s="1"/>
  <c r="E123" i="2" l="1"/>
  <c r="E124" i="2" l="1"/>
  <c r="E139" i="2"/>
  <c r="E140" i="2" s="1"/>
  <c r="E146" i="2" l="1"/>
  <c r="E183" i="2"/>
  <c r="F121" i="2"/>
  <c r="E150" i="2"/>
  <c r="E202" i="2" s="1"/>
  <c r="E186" i="2" l="1"/>
  <c r="E205" i="2"/>
  <c r="E209" i="2" s="1"/>
  <c r="E203" i="2"/>
  <c r="F122" i="2"/>
  <c r="F106" i="2" s="1"/>
  <c r="F107" i="2" s="1"/>
  <c r="F47" i="2" s="1"/>
  <c r="F48" i="2" s="1"/>
  <c r="F49" i="2" s="1"/>
  <c r="F50" i="2" s="1"/>
  <c r="F52" i="2" s="1"/>
  <c r="E152" i="2"/>
  <c r="E158" i="2" s="1"/>
  <c r="E159" i="2"/>
  <c r="E192" i="2" l="1"/>
  <c r="E193" i="2" s="1"/>
  <c r="E210" i="2" s="1"/>
  <c r="F108" i="2"/>
  <c r="F160" i="2"/>
  <c r="F109" i="2" l="1"/>
  <c r="F110" i="2" s="1"/>
  <c r="F154" i="2" l="1"/>
  <c r="F207" i="2" s="1"/>
  <c r="F130" i="2"/>
  <c r="F133" i="2" s="1"/>
  <c r="F136" i="2" s="1"/>
  <c r="F113" i="2"/>
  <c r="F115" i="2" s="1"/>
  <c r="F123" i="2" l="1"/>
  <c r="F124" i="2" l="1"/>
  <c r="F150" i="2" s="1"/>
  <c r="F202" i="2" s="1"/>
  <c r="F139" i="2"/>
  <c r="F140" i="2" s="1"/>
  <c r="F205" i="2" l="1"/>
  <c r="F209" i="2" s="1"/>
  <c r="F203" i="2"/>
  <c r="F146" i="2"/>
  <c r="F183" i="2"/>
  <c r="F186" i="2" s="1"/>
  <c r="F159" i="2"/>
  <c r="F152" i="2"/>
  <c r="F158" i="2" s="1"/>
  <c r="F192" i="2" l="1"/>
  <c r="F193" i="2" s="1"/>
  <c r="F210" i="2" s="1"/>
  <c r="B193" i="2" l="1"/>
  <c r="B2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2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Declining from 18% -&gt; 13% reflecting maturing growth; Perpetuity = long-run nominal GDP.</t>
        </r>
      </text>
    </comment>
    <comment ref="J5" authorId="0" shapeId="0" xr:uid="{00000000-0006-0000-0200-00001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modest acceleration then deceleration as base expands. Perpetuity = 3.5%.</t>
        </r>
      </text>
    </comment>
    <comment ref="A6" authorId="0" shapeId="0" xr:uid="{00000000-0006-0000-02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Gradual expansion from near-zero (FY26E) to 15% as scale drives operating leverage. Consistent with FactSet consensus.</t>
        </r>
      </text>
    </comment>
    <comment ref="J6" authorId="0" shapeId="0" xr:uid="{00000000-0006-0000-0200-00001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Expanding from 21.5% (FY26 actual) toward 25.5%; reflects ongoing cost discipline and operating leverage post-Slack integration.</t>
        </r>
      </text>
    </comment>
    <comment ref="A7" authorId="0" shapeId="0" xr:uid="{00000000-0006-0000-0200-000003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5-year historical average (FY21–FY26); held constant as proxy for stable capital intensity.</t>
        </r>
      </text>
    </comment>
    <comment ref="J7" authorId="0" shapeId="0" xr:uid="{00000000-0006-0000-0200-000013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Declining schedule reflecting diminishing amortization of acquired intangibles over time.</t>
        </r>
      </text>
    </comment>
    <comment ref="A8" authorId="0" shapeId="0" xr:uid="{00000000-0006-0000-0200-00000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5-year historical average (FY21–FY26) from FactSet. HUBS is asset-light; CAPEX driven by data center and tooling spend.</t>
        </r>
      </text>
    </comment>
    <comment ref="J8" authorId="0" shapeId="0" xr:uid="{00000000-0006-0000-0200-000014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5-year historical average (FY21–FY26) from FactSet. CRM maintains low CAPEX ratio as a cloud-native business.</t>
        </r>
      </text>
    </comment>
    <comment ref="A9" authorId="0" shapeId="0" xr:uid="{00000000-0006-0000-0200-000005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Historical average (FY21–FY26). Negative NWC reflects SaaS deferred revenue model - customers pay upfront.</t>
        </r>
      </text>
    </comment>
    <comment ref="J9" authorId="0" shapeId="0" xr:uid="{00000000-0006-0000-0200-000015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5-year historical average (FY21–FY26). Large negative NWC reflects CRM's massive deferred revenue from multi-year contracts.</t>
        </r>
      </text>
    </comment>
    <comment ref="A10" authorId="0" shapeId="0" xr:uid="{00000000-0006-0000-0200-000006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Normalized rate (25%). HUBS reached profitability in FY2026. The 25% rate reflects a conservative assumption for early-stage profitability, accounting for potential NOL utilization limitations and transition-period tax inefficiencies. </t>
        </r>
      </text>
    </comment>
    <comment ref="J10" authorId="0" shapeId="0" xr:uid="{00000000-0006-0000-0200-000016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 federal statutory rate (21%). CRM is a mature, profitable company with a stable effective tax rate closely aligned to statutory </t>
        </r>
      </text>
    </comment>
    <comment ref="A13" authorId="0" shapeId="0" xr:uid="{00000000-0006-0000-0200-00000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Calculated in Beta tab using 5 years of monthly returns vs. S&amp;P 500 (VOO) as market proxy. Mar 23 2026.</t>
        </r>
      </text>
    </comment>
    <comment ref="J13" authorId="0" shapeId="0" xr:uid="{00000000-0006-0000-0200-00001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Calculated in Beta tab using 5 years of monthly returns vs. S&amp;P 500 (VOO). Mar 23 2026.</t>
        </r>
      </text>
    </comment>
    <comment ref="A14" authorId="0" shapeId="0" xr:uid="{00000000-0006-0000-0200-00000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Damodaran implied ERP as of Mar 23 2026. Source: FactSet.</t>
        </r>
      </text>
    </comment>
    <comment ref="J14" authorId="0" shapeId="0" xr:uid="{00000000-0006-0000-0200-00001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Damodaran implied ERP as of Mar 23 2026. Source: FactSet.</t>
        </r>
      </text>
    </comment>
    <comment ref="A15" authorId="0" shapeId="0" xr:uid="{00000000-0006-0000-0200-000009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 10-year Treasury yield as of Mar 23 2026. Source: FactSet.</t>
        </r>
      </text>
    </comment>
    <comment ref="J15" authorId="0" shapeId="0" xr:uid="{00000000-0006-0000-0200-000019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US 10-year Treasury yield as of Mar 23 2026. Source: FactSet.</t>
        </r>
      </text>
    </comment>
    <comment ref="A17" authorId="0" shapeId="0" xr:uid="{00000000-0006-0000-0200-00000A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Damodaran default spread table for AAA/near-zero leverage. HUBS carries minimal debt.</t>
        </r>
      </text>
    </comment>
    <comment ref="J17" authorId="0" shapeId="0" xr:uid="{00000000-0006-0000-0200-00001A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Damodaran spread for CRM's investment-grade debt rating. Higher than HUBS given $15B debt load.</t>
        </r>
      </text>
    </comment>
    <comment ref="A34" authorId="0" shapeId="0" xr:uid="{00000000-0006-0000-02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Bid range $16–18B. Reflects ~36% premium to HUBS standalone DCF EV of $8.2B and within trading comps range.</t>
        </r>
      </text>
    </comment>
    <comment ref="A38" authorId="0" shapeId="0" xr:uid="{00000000-0006-0000-0200-00000C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35% of excess purchase price allocated to customer relationships, developed technology, trade names per ASC 805.</t>
        </r>
      </text>
    </comment>
    <comment ref="A39" authorId="0" shapeId="0" xr:uid="{00000000-0006-0000-0200-00000D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7-year useful life consistent with Salesforce's weighted avg. intangible amortization in prior acquisitions (Tableau, Slack).</t>
        </r>
      </text>
    </comment>
    <comment ref="A47" authorId="0" shapeId="0" xr:uid="{00000000-0006-0000-0200-00000E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Ramp: 25%→65%→100%. Cross-sell Salesforce AI/Agentforce to HUBS's 200K+ SMB customers; HUBS CRM upsell to CRM enterprise clients.</t>
        </r>
      </text>
    </comment>
    <comment ref="A48" authorId="0" shapeId="0" xr:uid="{00000000-0006-0000-0200-00000F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Ramp: 25%→65%→100%. Elimination of duplicate G&amp;A, R&amp;D, and sales/marketing. ~10% of HUBS operating cost base.</t>
        </r>
      </text>
    </comment>
    <comment ref="A49" authorId="0" shapeId="0" xr:uid="{00000000-0006-0000-0200-000010000000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    45% incremental margin — below SaaS cross-sell benchmark of 50–70%, reflecting integration and onboarding costs.</t>
        </r>
      </text>
    </comment>
  </commentList>
</comments>
</file>

<file path=xl/sharedStrings.xml><?xml version="1.0" encoding="utf-8"?>
<sst xmlns="http://schemas.openxmlformats.org/spreadsheetml/2006/main" count="1137" uniqueCount="588">
  <si>
    <t>DISCOUNTED CASH FLOW ANALYSIS — HubSpot (HUBS) &amp; Salesforce (CRM)</t>
  </si>
  <si>
    <t>HubSpot, Inc. (HUBS) — Standalone DCF</t>
  </si>
  <si>
    <t>Salesforce, Inc. (CRM) — Standalone DCF</t>
  </si>
  <si>
    <t>Metric ($M)</t>
  </si>
  <si>
    <t>Revenue</t>
  </si>
  <si>
    <t>EBIT</t>
  </si>
  <si>
    <t>NOPAT</t>
  </si>
  <si>
    <t>(+) D&amp;A</t>
  </si>
  <si>
    <t>(–) CAPEX</t>
  </si>
  <si>
    <t>(–) Δ NWC</t>
  </si>
  <si>
    <t>Free Cash Flow</t>
  </si>
  <si>
    <t>PV of FCF</t>
  </si>
  <si>
    <t>Valuation Bridge</t>
  </si>
  <si>
    <t>Sum of PV (FCFs)</t>
  </si>
  <si>
    <t>Terminal Value</t>
  </si>
  <si>
    <t>PV of Terminal Value</t>
  </si>
  <si>
    <t>Enterprise Value (EV)</t>
  </si>
  <si>
    <t>KEY ASSUMPTIONS — Side-by-Side Comparison</t>
  </si>
  <si>
    <t>Assumption</t>
  </si>
  <si>
    <t>HUBS</t>
  </si>
  <si>
    <t>CRM</t>
  </si>
  <si>
    <t>WACC</t>
  </si>
  <si>
    <t>Beta (Levered)</t>
  </si>
  <si>
    <t>Risk-Free Rate</t>
  </si>
  <si>
    <t>Market Risk Premium</t>
  </si>
  <si>
    <t>Cost of Equity</t>
  </si>
  <si>
    <t>After-Tax Cost of Debt</t>
  </si>
  <si>
    <t>Tax Rate</t>
  </si>
  <si>
    <t>Perpetuity Growth Rate</t>
  </si>
  <si>
    <t>FOOTBALL FIELD — Valuation Summary (To Be Completed After Comps Analysis)</t>
  </si>
  <si>
    <t>Valuation Method</t>
  </si>
  <si>
    <t>Low ($M)</t>
  </si>
  <si>
    <t>Midpoint ($M)</t>
  </si>
  <si>
    <t>High ($M)</t>
  </si>
  <si>
    <t>Implied EV/Rev (Low)</t>
  </si>
  <si>
    <t>Implied EV/Rev (High)</t>
  </si>
  <si>
    <t>DCF (Standalone)</t>
  </si>
  <si>
    <t>Comparable Company Analysis</t>
  </si>
  <si>
    <t>Precedent Transactions</t>
  </si>
  <si>
    <t>Purchase Price</t>
  </si>
  <si>
    <t>EBIT Contribution</t>
  </si>
  <si>
    <t>&lt;-- 45% incremental EBIT margin, below the 50–70% SaaS benchmark, reflecting additional integration and onboarding costs from combining two distinct product platforms.</t>
  </si>
  <si>
    <t>HUBS Book Value</t>
  </si>
  <si>
    <t>Premium Amortization (Years)</t>
  </si>
  <si>
    <t>CRM Total Cash Available</t>
  </si>
  <si>
    <t>Minimum Cash Reserve Required</t>
  </si>
  <si>
    <t>CRM Shares Outstanding</t>
  </si>
  <si>
    <t>Pre-Tax Cost of Debt</t>
  </si>
  <si>
    <t>Revenue Synergies</t>
  </si>
  <si>
    <t>Cost Synergies</t>
  </si>
  <si>
    <t>Option A</t>
  </si>
  <si>
    <t>Option B</t>
  </si>
  <si>
    <t>Option C</t>
  </si>
  <si>
    <t>100% cash</t>
  </si>
  <si>
    <t>50/50 cash&amp;stock</t>
  </si>
  <si>
    <t>100% stock</t>
  </si>
  <si>
    <t>Total Cash Available</t>
  </si>
  <si>
    <t>Minimum Cash reserve</t>
  </si>
  <si>
    <t>Usable Cash deployed</t>
  </si>
  <si>
    <t>Stock Issued ($)</t>
  </si>
  <si>
    <t>New Debt Required</t>
  </si>
  <si>
    <t>New Shares Issued</t>
  </si>
  <si>
    <t>Total diluted shares (M)</t>
  </si>
  <si>
    <t>Gross Interest Expense</t>
  </si>
  <si>
    <t>Premium Over Book Value</t>
  </si>
  <si>
    <t>35% to Intangibles</t>
  </si>
  <si>
    <t>Amortized over 7 years</t>
  </si>
  <si>
    <t>&lt;-- amortized over 7 years per ASC 805 (Business Combinations).</t>
  </si>
  <si>
    <t>The 7-year useful life is consistent with Salesforce's weighted average intangible amortization period applied in prior large acquisitions including Tableau ($15.7B, 2019) and Slack ($27.7B, 2021).</t>
  </si>
  <si>
    <t>Combined Revenue</t>
  </si>
  <si>
    <t>CRM EBIT</t>
  </si>
  <si>
    <t>HUBS EBIT</t>
  </si>
  <si>
    <t>Revenue Synergies EBIT contribution</t>
  </si>
  <si>
    <t>Purchase Price Amortization</t>
  </si>
  <si>
    <t>Combined EBIT</t>
  </si>
  <si>
    <t>Combined D&amp;A</t>
  </si>
  <si>
    <t>Combined EBITDA</t>
  </si>
  <si>
    <t>Pro-forma Combined EBIT</t>
  </si>
  <si>
    <t>Pretax Income</t>
  </si>
  <si>
    <t>Combined Net Income</t>
  </si>
  <si>
    <t>Divided by diluted shares</t>
  </si>
  <si>
    <t>CRM Standalone EPS</t>
  </si>
  <si>
    <t>COMBINED FINANCIAL STATEMENTS -- OPTION A (100% CASH)</t>
  </si>
  <si>
    <t>Additional Assumptions</t>
  </si>
  <si>
    <t>CRM Standalone Gross Interest ($M)</t>
  </si>
  <si>
    <t>CRM Dividend per Share ($)</t>
  </si>
  <si>
    <t>Dividend Growth Rate</t>
  </si>
  <si>
    <t>Opening Cash at Deal Close ($M)</t>
  </si>
  <si>
    <t>&lt;-- CRM $9,565 - $6,565 used + HUBS $1,704</t>
  </si>
  <si>
    <t>CRM+HUBS Existing Debt ($M)</t>
  </si>
  <si>
    <t>&lt;-- CRM $15,262 + HUBS $262, held flat</t>
  </si>
  <si>
    <t>Opening Equity at Close ($M)</t>
  </si>
  <si>
    <t>Combined Income Statement ($M)</t>
  </si>
  <si>
    <t>CRM Revenue</t>
  </si>
  <si>
    <t>HUBS Revenue</t>
  </si>
  <si>
    <t>Total Revenue</t>
  </si>
  <si>
    <t>Revenue Synergy EBIT</t>
  </si>
  <si>
    <t>PPA Amortization</t>
  </si>
  <si>
    <t>CRM D&amp;A</t>
  </si>
  <si>
    <t>HUBS D&amp;A</t>
  </si>
  <si>
    <t>PPA Amortization (non-cash add-back)</t>
  </si>
  <si>
    <t>Total D&amp;A</t>
  </si>
  <si>
    <t>CRM Standalone Gross Interest</t>
  </si>
  <si>
    <t>Acquisition Debt Interest</t>
  </si>
  <si>
    <t>Total Interest Expense</t>
  </si>
  <si>
    <t>Taxes (21%)</t>
  </si>
  <si>
    <t>Diluted Shares Outstanding (M)</t>
  </si>
  <si>
    <t>Combined EPS ($)</t>
  </si>
  <si>
    <t>CRM Standalone EPS ($)</t>
  </si>
  <si>
    <t>Accretion / (Dilution) %</t>
  </si>
  <si>
    <t>Acquisition Debt Schedule ($M)</t>
  </si>
  <si>
    <t>Beginning Balance</t>
  </si>
  <si>
    <t>Interest Expense</t>
  </si>
  <si>
    <t>Repayment</t>
  </si>
  <si>
    <t>Ending Balance</t>
  </si>
  <si>
    <t>Combined Cash Flow Statement ($M)</t>
  </si>
  <si>
    <t>Net Income</t>
  </si>
  <si>
    <t>Add: D&amp;A (incl. PPA)</t>
  </si>
  <si>
    <t>Less: Change in NWC</t>
  </si>
  <si>
    <t>Operating Cash Flow</t>
  </si>
  <si>
    <t>Capital Expenditures</t>
  </si>
  <si>
    <t>Dividends Paid</t>
  </si>
  <si>
    <t>Acquisition Debt Repayment</t>
  </si>
  <si>
    <t>Net Cash Flow after Debt Service &amp; Dividends</t>
  </si>
  <si>
    <t>Cash &amp; Equivalents</t>
  </si>
  <si>
    <t>Goodwill</t>
  </si>
  <si>
    <t>&lt;-- CRM $57,941 + new $9,707 (fixed)</t>
  </si>
  <si>
    <t>PPA Intangible Assets</t>
  </si>
  <si>
    <t>Acquisition Debt</t>
  </si>
  <si>
    <t>CRM+HUBS Existing Debt (held flat)</t>
  </si>
  <si>
    <t>Total Debt</t>
  </si>
  <si>
    <t>Shareholders' Equity</t>
  </si>
  <si>
    <t>Key Credit Metrics</t>
  </si>
  <si>
    <t>Total Debt / EBITDA</t>
  </si>
  <si>
    <t>Acquisition Debt / EBITDA</t>
  </si>
  <si>
    <t>Interest Coverage (EBITDA / Interest)</t>
  </si>
  <si>
    <t>HUBS Assumptions</t>
  </si>
  <si>
    <t>CRM Assumptions</t>
  </si>
  <si>
    <t>HUBS Assumptions Table From Financials</t>
  </si>
  <si>
    <t>Perpetuity</t>
  </si>
  <si>
    <t>CRM Assumptions Table From Financials</t>
  </si>
  <si>
    <t>Sales Growth</t>
  </si>
  <si>
    <t>Depreciation and Amortization</t>
  </si>
  <si>
    <t>CAPEX</t>
  </si>
  <si>
    <t>NWC % of Sales</t>
  </si>
  <si>
    <t>WACC Assumptions</t>
  </si>
  <si>
    <t>Beta (Levered, 5-yr monthly vs. VOO)</t>
  </si>
  <si>
    <t>10-year Risk-Free Rate</t>
  </si>
  <si>
    <t>Default Spread (near-zero debt)</t>
  </si>
  <si>
    <t>Shares Outstanding (M)</t>
  </si>
  <si>
    <t>Price Per Share ($)</t>
  </si>
  <si>
    <t>Market Capitalization ($M)</t>
  </si>
  <si>
    <t>Total Debt ($M)</t>
  </si>
  <si>
    <t>Weight of Equity</t>
  </si>
  <si>
    <t>Weight of Debt</t>
  </si>
  <si>
    <t>Merger Consequence Assumptions</t>
  </si>
  <si>
    <t>Deal Structure</t>
  </si>
  <si>
    <t>Value</t>
  </si>
  <si>
    <t>Notes</t>
  </si>
  <si>
    <t>Proposed Acquisition Price ($M)</t>
  </si>
  <si>
    <t>Structure</t>
  </si>
  <si>
    <t>100% Cash</t>
  </si>
  <si>
    <t>50/50</t>
  </si>
  <si>
    <t>100% Stock</t>
  </si>
  <si>
    <t>Three financing scenarios analyzed.</t>
  </si>
  <si>
    <t>Ebit Contribution</t>
  </si>
  <si>
    <t>Cash Deployed ($M)</t>
  </si>
  <si>
    <t>Option A/B: cash less $3,000M reserve. Option C: full cash available.</t>
  </si>
  <si>
    <t>HUBS Book Value (Common Equity, $M)</t>
  </si>
  <si>
    <t>Stock Issued ($M)</t>
  </si>
  <si>
    <t>Valued at CRM share price of $195.18.</t>
  </si>
  <si>
    <t>Premium Over Book Value ($M)</t>
  </si>
  <si>
    <t>New Debt Required ($M)</t>
  </si>
  <si>
    <t>Residual after cash and stock.</t>
  </si>
  <si>
    <t>% of Premium to Identifiable Intangibles (PPA)</t>
  </si>
  <si>
    <t>New Shares Issued (M)</t>
  </si>
  <si>
    <t>Stock / CRM price per share.</t>
  </si>
  <si>
    <t>Intangibles Amortization Period (Years)</t>
  </si>
  <si>
    <t>CRM Available Cash ($M)</t>
  </si>
  <si>
    <t>Source: FactSet CRM-US-BS.</t>
  </si>
  <si>
    <t>Annual PPA Amortization ($M)</t>
  </si>
  <si>
    <t>Minimum Cash Reserve ($M)</t>
  </si>
  <si>
    <t>Management prudence floor for Options A/B; waived for all-stock Option C.</t>
  </si>
  <si>
    <t>Synergy Assumption</t>
  </si>
  <si>
    <t>2026</t>
  </si>
  <si>
    <t>2027</t>
  </si>
  <si>
    <t>2028</t>
  </si>
  <si>
    <t>2029</t>
  </si>
  <si>
    <t>2030</t>
  </si>
  <si>
    <t>Run-Rate</t>
  </si>
  <si>
    <t>Revenue Synergies ($M)</t>
  </si>
  <si>
    <t>Cost Synergies ($M)</t>
  </si>
  <si>
    <t>Revenue Synergy Incremental EBIT Margin</t>
  </si>
  <si>
    <t>EV/Revenue</t>
  </si>
  <si>
    <t>EV/EBITDA</t>
  </si>
  <si>
    <t>EBITDA Margin</t>
  </si>
  <si>
    <t>Company</t>
  </si>
  <si>
    <t>Ticker</t>
  </si>
  <si>
    <t>EV($M)</t>
  </si>
  <si>
    <t>FY1 ($M)</t>
  </si>
  <si>
    <t>FY2 ($M)</t>
  </si>
  <si>
    <t>FY1 (x)</t>
  </si>
  <si>
    <t>FY2 (x)</t>
  </si>
  <si>
    <t>FY1 (%)</t>
  </si>
  <si>
    <t>FY2 (%)</t>
  </si>
  <si>
    <t>Okta A</t>
  </si>
  <si>
    <t>OKTA</t>
  </si>
  <si>
    <t>Roku A</t>
  </si>
  <si>
    <t>ROKU</t>
  </si>
  <si>
    <t>Tyler Technologies</t>
  </si>
  <si>
    <t>TYL</t>
  </si>
  <si>
    <t>Gen Digital</t>
  </si>
  <si>
    <t>GEN</t>
  </si>
  <si>
    <t>Jack Henry &amp; Associates</t>
  </si>
  <si>
    <t>JKHY</t>
  </si>
  <si>
    <t>Dynatrace</t>
  </si>
  <si>
    <t>DT</t>
  </si>
  <si>
    <t>Trimble</t>
  </si>
  <si>
    <t>TRMB</t>
  </si>
  <si>
    <t>Mean</t>
  </si>
  <si>
    <t>Median</t>
  </si>
  <si>
    <t xml:space="preserve"> </t>
  </si>
  <si>
    <t>Implied Enterprise Value for HubSpot</t>
  </si>
  <si>
    <t>Metric</t>
  </si>
  <si>
    <t>Multiple Low</t>
  </si>
  <si>
    <t>Multiple Mid</t>
  </si>
  <si>
    <t>Multiple High</t>
  </si>
  <si>
    <t>Implied EV Low</t>
  </si>
  <si>
    <t>Implied EV Mid</t>
  </si>
  <si>
    <t>Implied EV High</t>
  </si>
  <si>
    <t>EV / Revenue</t>
  </si>
  <si>
    <t>EV / EBITDA - FY1</t>
  </si>
  <si>
    <t>EV / EBITDA - FY2</t>
  </si>
  <si>
    <t>Implied Enterprise Value Range — Trading Comps (Overall)</t>
  </si>
  <si>
    <t>PRECEDENT TRANSACTION ANALYSIS — SaaS / CRM Sector (2018–2023)</t>
  </si>
  <si>
    <t>Selected Precedent Transactions</t>
  </si>
  <si>
    <t>Target</t>
  </si>
  <si>
    <t>Acquirer</t>
  </si>
  <si>
    <t>Year</t>
  </si>
  <si>
    <t>Deal Value ($M)</t>
  </si>
  <si>
    <t>LTM Revenue ($M)</t>
  </si>
  <si>
    <t>EV / LTM Revenue</t>
  </si>
  <si>
    <t>EV / LTM EBITDA</t>
  </si>
  <si>
    <t>&lt;-- All Target companies were acquired before becoming profitable</t>
  </si>
  <si>
    <t>Zendesk</t>
  </si>
  <si>
    <t>Hellman &amp; Friedman</t>
  </si>
  <si>
    <t>N/M</t>
  </si>
  <si>
    <t>Qualtrics</t>
  </si>
  <si>
    <t>Silver Lake / CPP</t>
  </si>
  <si>
    <t>Ping Identity</t>
  </si>
  <si>
    <t>Thoma Bravo</t>
  </si>
  <si>
    <t>Avalara</t>
  </si>
  <si>
    <t>Vista Equity</t>
  </si>
  <si>
    <t>Coupa Software</t>
  </si>
  <si>
    <t>Metric Used</t>
  </si>
  <si>
    <t>Implied EV Low ($M)</t>
  </si>
  <si>
    <t>Implied EV Mid ($M)</t>
  </si>
  <si>
    <t>Implied EV High ($M)</t>
  </si>
  <si>
    <t>EV / Revenue — LTM</t>
  </si>
  <si>
    <t>LTM Revenue (FY2025)</t>
  </si>
  <si>
    <t>EV / Revenue — NTM</t>
  </si>
  <si>
    <t>NTM Revenue (FY2026E)</t>
  </si>
  <si>
    <t>JAN '21</t>
  </si>
  <si>
    <t>JAN '22</t>
  </si>
  <si>
    <t>JAN '23</t>
  </si>
  <si>
    <t>JAN '24</t>
  </si>
  <si>
    <t>JAN '25</t>
  </si>
  <si>
    <t>JAN '26</t>
  </si>
  <si>
    <t xml:space="preserve">Sales </t>
  </si>
  <si>
    <t>Sales Growth YoY</t>
  </si>
  <si>
    <t>Average Sales Growth</t>
  </si>
  <si>
    <t>EBIT as % of Sales</t>
  </si>
  <si>
    <t>Average EBIT</t>
  </si>
  <si>
    <t>Depreciation &amp; Amortization</t>
  </si>
  <si>
    <t>Depreciation &amp; Amortization as % of Sales</t>
  </si>
  <si>
    <t>Average D&amp;A</t>
  </si>
  <si>
    <t>CAPEX as % of Sales</t>
  </si>
  <si>
    <t>Average CAPEX</t>
  </si>
  <si>
    <t>NWC</t>
  </si>
  <si>
    <t>NWC as % of Sale</t>
  </si>
  <si>
    <t>Average NWC</t>
  </si>
  <si>
    <t>Sales growth for the upcoming years assumed</t>
  </si>
  <si>
    <t>EBIT MARGIN for the upcoming years assumed</t>
  </si>
  <si>
    <t>D&amp;A MARGIN for the upcoming years assumed</t>
  </si>
  <si>
    <t>Beta</t>
  </si>
  <si>
    <t>Income Tax</t>
  </si>
  <si>
    <t>Effective Tax Rate</t>
  </si>
  <si>
    <t>Average Tax Rate</t>
  </si>
  <si>
    <t>Tax Rate Used</t>
  </si>
  <si>
    <t>&lt;-- we are using 21% because the average includes outliers</t>
  </si>
  <si>
    <t>Risk Free Rate</t>
  </si>
  <si>
    <t>Default Spread</t>
  </si>
  <si>
    <t>Shares Outstanding</t>
  </si>
  <si>
    <t>Price per Share</t>
  </si>
  <si>
    <t>Market Cap</t>
  </si>
  <si>
    <t>Free Cash Flow Calculation</t>
  </si>
  <si>
    <t>D&amp;A</t>
  </si>
  <si>
    <t>Change in NWC</t>
  </si>
  <si>
    <t>FCF</t>
  </si>
  <si>
    <t>Total PV of FCF</t>
  </si>
  <si>
    <t>Enterprise Value</t>
  </si>
  <si>
    <t>&lt;-- Since this number is too high compared tot the previous 3 years and since the growth is declining we will use a declining rate ranging from 18% down to 13% for the forecasting period</t>
  </si>
  <si>
    <t xml:space="preserve">&lt;-- 2025 is a reflectionefrelc for the EBIT, because of this we are going to use a gradual increase in the %-age. It will range from 5% to 15%. This is similar to the FactSet Consensus. </t>
  </si>
  <si>
    <t>EBIT Margins for the upcoming years assumed</t>
  </si>
  <si>
    <t>DEC '20</t>
  </si>
  <si>
    <t>DEC '21</t>
  </si>
  <si>
    <t>DEC '22</t>
  </si>
  <si>
    <t>DEC '23</t>
  </si>
  <si>
    <t>DEC '24</t>
  </si>
  <si>
    <t>DEC '25</t>
  </si>
  <si>
    <t>&lt;-- We are using 25% because HUBS just became profitable</t>
  </si>
  <si>
    <t>and we are using a normalized and commonly used number</t>
  </si>
  <si>
    <t>&lt;-- Damodaran Table</t>
  </si>
  <si>
    <t>&lt;-- add nontradable shares</t>
  </si>
  <si>
    <t>Price History: CRM-US</t>
  </si>
  <si>
    <t>Price History: HUBS-US</t>
  </si>
  <si>
    <t>Price History: VOO-US</t>
  </si>
  <si>
    <t>CRM Beta</t>
  </si>
  <si>
    <t>Date</t>
  </si>
  <si>
    <t>Price</t>
  </si>
  <si>
    <t>Return</t>
  </si>
  <si>
    <t>HUBS Beta</t>
  </si>
  <si>
    <t>Selected Financials</t>
  </si>
  <si>
    <t>Sales ($)</t>
  </si>
  <si>
    <t>EBITDA</t>
  </si>
  <si>
    <t>Fiscal</t>
  </si>
  <si>
    <t>Margin</t>
  </si>
  <si>
    <t>Name</t>
  </si>
  <si>
    <t>Period</t>
  </si>
  <si>
    <t>FY1</t>
  </si>
  <si>
    <t>FY2</t>
  </si>
  <si>
    <t>OKTA-US</t>
  </si>
  <si>
    <t>01/2026</t>
  </si>
  <si>
    <t>ROKU-US</t>
  </si>
  <si>
    <t>12/2025</t>
  </si>
  <si>
    <t>TYL-US</t>
  </si>
  <si>
    <t>GEN-US</t>
  </si>
  <si>
    <t>01/02/2026</t>
  </si>
  <si>
    <t>JKHY-US</t>
  </si>
  <si>
    <t>12/31/2025</t>
  </si>
  <si>
    <t>DT-US</t>
  </si>
  <si>
    <t>TRMB-US</t>
  </si>
  <si>
    <t>Average</t>
  </si>
  <si>
    <t>Valuation</t>
  </si>
  <si>
    <t>Market Data ($)</t>
  </si>
  <si>
    <t>Valuation (x)</t>
  </si>
  <si>
    <t>EV/EBITDA (x)</t>
  </si>
  <si>
    <t>P/E (x)</t>
  </si>
  <si>
    <t>P/FCF (x)</t>
  </si>
  <si>
    <t>Enterprise</t>
  </si>
  <si>
    <t>Market</t>
  </si>
  <si>
    <t>Net</t>
  </si>
  <si>
    <t>Price/</t>
  </si>
  <si>
    <t>EV/</t>
  </si>
  <si>
    <t>Div</t>
  </si>
  <si>
    <t>Debt</t>
  </si>
  <si>
    <t>Sales</t>
  </si>
  <si>
    <t>Yield (%)</t>
  </si>
  <si>
    <t>Margins</t>
  </si>
  <si>
    <t>Gross Margin (%)</t>
  </si>
  <si>
    <t>EBITDA Margin (%)</t>
  </si>
  <si>
    <t>EBIT Margin (%)</t>
  </si>
  <si>
    <t>Pretax Margin (%)</t>
  </si>
  <si>
    <t>Net Margin (%)</t>
  </si>
  <si>
    <t>Actual</t>
  </si>
  <si>
    <t>NTM</t>
  </si>
  <si>
    <t>Okta</t>
  </si>
  <si>
    <t>Roku</t>
  </si>
  <si>
    <t>Salesforce, Inc. (CRM)</t>
  </si>
  <si>
    <t>Salesforce, Inc.</t>
  </si>
  <si>
    <t xml:space="preserve">CRM   79466L302   2310525   NYSE    Common stock    </t>
  </si>
  <si>
    <t>Source: FactSet Fundamentals</t>
  </si>
  <si>
    <t>JAN '17</t>
  </si>
  <si>
    <t>JAN '18</t>
  </si>
  <si>
    <t>JAN '19</t>
  </si>
  <si>
    <t>JAN '20</t>
  </si>
  <si>
    <t>Restate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</si>
  <si>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</si>
  <si>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</si>
  <si>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</si>
  <si>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</si>
  <si>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</si>
  <si>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</si>
  <si>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</si>
  <si>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</si>
  <si>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Other Receivables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</si>
  <si>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</si>
  <si>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</si>
  <si>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</si>
  <si>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</si>
  <si>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</si>
  <si>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</si>
  <si>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</si>
  <si>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</si>
  <si>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Leases</t>
  </si>
  <si>
    <t>Computer Software and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</si>
  <si>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</si>
  <si>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</si>
  <si>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</si>
  <si>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</si>
  <si>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Other Long-Term Investments</t>
  </si>
  <si>
    <t>Long-Term Note Receivable</t>
  </si>
  <si>
    <t>Intangible Assets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</si>
  <si>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</si>
  <si>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</si>
  <si>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</si>
  <si>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</si>
  <si>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</si>
  <si>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</si>
  <si>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</si>
  <si>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</si>
  <si>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</si>
  <si>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</si>
  <si>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</si>
  <si>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</si>
  <si>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</si>
  <si>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</si>
  <si>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</si>
  <si>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</si>
  <si>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</si>
  <si>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</si>
  <si>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</si>
  <si>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</si>
  <si>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</si>
  <si>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</si>
  <si>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</si>
  <si>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</si>
  <si>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</si>
  <si>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</si>
  <si>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</si>
  <si>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</si>
  <si>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</si>
  <si>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Other Appropriated Reserves</t>
  </si>
  <si>
    <t>Treasury Stock</t>
  </si>
  <si>
    <t>Total Shareholders' Equity</t>
  </si>
  <si>
    <t>Total Equity</t>
  </si>
  <si>
    <t>Total Liabilities &amp; Shareholders' Equity</t>
  </si>
  <si>
    <t>Per Share</t>
  </si>
  <si>
    <t>Book Value per Share</t>
  </si>
  <si>
    <t>Tangible Book Value per Share</t>
  </si>
  <si>
    <t>All figures in billions of U.S. Dollar except per share items.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</si>
  <si>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</si>
  <si>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</si>
  <si>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</si>
  <si>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</si>
  <si>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</si>
  <si>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</si>
  <si>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</si>
  <si>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</si>
  <si>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</si>
  <si>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</si>
  <si>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</si>
  <si>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</si>
  <si>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Other Income (Expense)</t>
  </si>
  <si>
    <t>Unusual Expense - Net</t>
  </si>
  <si>
    <t>Impairments</t>
  </si>
  <si>
    <t>Financial Fixed Assets</t>
  </si>
  <si>
    <t>Restructuring Expense</t>
  </si>
  <si>
    <t>Unrealized Valuation Gain/Loss</t>
  </si>
  <si>
    <t>Investments</t>
  </si>
  <si>
    <t>Hedges/Derivatives</t>
  </si>
  <si>
    <t>Excpl Chrgs - Others</t>
  </si>
  <si>
    <t>Early termination of Contracts costs (Income)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</si>
  <si>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</si>
  <si>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</si>
  <si>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</si>
  <si>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</si>
  <si>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</si>
  <si>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</si>
  <si>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Net Income available to Common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</si>
  <si>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</si>
  <si>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</si>
  <si>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</si>
  <si>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</si>
  <si>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</si>
  <si>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</si>
  <si>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</si>
  <si>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</si>
  <si>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</si>
  <si>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All figures in millions of U.S. Dollar except per share items.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</si>
  <si>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</si>
  <si>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</si>
  <si>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</si>
  <si>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</si>
  <si>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</si>
  <si>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Other Funds</t>
  </si>
  <si>
    <t>Funds from Operations</t>
  </si>
  <si>
    <t>Changes in Working Capital</t>
  </si>
  <si>
    <t>Receivables</t>
  </si>
  <si>
    <t>Other Accruals</t>
  </si>
  <si>
    <t>Other Assets/Liabilities</t>
  </si>
  <si>
    <t>Net Operating Cash Flow</t>
  </si>
  <si>
    <t>Investing Activities</t>
  </si>
  <si>
    <t>Capital Expenditures (Fixed Assets)</t>
  </si>
  <si>
    <t>Net Assets from Acquisitions</t>
  </si>
  <si>
    <t>Purchase/Sale of Investments</t>
  </si>
  <si>
    <t>Purchase of Investments</t>
  </si>
  <si>
    <t>Sale/Maturity of Investments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</si>
  <si>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</si>
  <si>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</si>
  <si>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</si>
  <si>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</si>
  <si>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</si>
  <si>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</si>
  <si>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</si>
  <si>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</si>
  <si>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</si>
  <si>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Change in Long-Term Debt</t>
  </si>
  <si>
    <t>Issuance of Long-Term Debt</t>
  </si>
  <si>
    <t>Reduction in Long-Term Debt</t>
  </si>
  <si>
    <t>Other Uses</t>
  </si>
  <si>
    <t>Net Financing Cash Flow</t>
  </si>
  <si>
    <t>All Activities</t>
  </si>
  <si>
    <t>Exchange Rate Effect</t>
  </si>
  <si>
    <t>Net Change in Cash</t>
  </si>
  <si>
    <t>Free Cash Flow per Share</t>
  </si>
  <si>
    <t>Free Cash Flow Yield (%)</t>
  </si>
  <si>
    <t>HubSpot, Inc. (HUBS)</t>
  </si>
  <si>
    <t>HubSpot, Inc.</t>
  </si>
  <si>
    <t xml:space="preserve">HUBS   443573100   BR4T3B3   NYSE    Common stock    </t>
  </si>
  <si>
    <t>DEC '16</t>
  </si>
  <si>
    <t>DEC '17</t>
  </si>
  <si>
    <t>DEC '18</t>
  </si>
  <si>
    <t>DEC '19</t>
  </si>
  <si>
    <t>Construction in Progress</t>
  </si>
  <si>
    <t>LT Investment - Affiliate Companies</t>
  </si>
  <si>
    <t>Provision for Risks &amp; Charges</t>
  </si>
  <si>
    <t>Cumulative Translation Adjustment/Unrealized For. Exch. Gain</t>
  </si>
  <si>
    <t>Unrealized Gain/Loss Marketable Securities</t>
  </si>
  <si>
    <t>Restructuring of Debt</t>
  </si>
  <si>
    <t>Deferred Taxes &amp; Investment Tax Credit</t>
  </si>
  <si>
    <t>Deferred Taxes</t>
  </si>
  <si>
    <t>Capital Expenditures (Other Assets)</t>
  </si>
  <si>
    <t>Other Sources</t>
  </si>
  <si>
    <t>Proceeds from Sale of Stock</t>
  </si>
  <si>
    <t>Change in Current Debt</t>
  </si>
  <si>
    <t>&lt;-- Premium allocated to identifiable intangibles (Customer customer relationships, developed technology, trade names)</t>
  </si>
  <si>
    <t>Accretion/(Dilution) %</t>
  </si>
  <si>
    <t>Proposed Bid Range</t>
  </si>
  <si>
    <t>&lt;-- we see that the sales growth rate is declining very slightly so we will use the schedule below</t>
  </si>
  <si>
    <t>Growth Rate</t>
  </si>
  <si>
    <t>NTM Revenue (FY2026E projected)</t>
  </si>
  <si>
    <t>Note: EBITDA metric uses FactSet consensus adjusted EBITDA (excl. SBC), consistent with peer group reporting.</t>
  </si>
  <si>
    <t>Methodology: 5-year monthly returns regressed vs. VOO (S&amp;P 500 ETF).</t>
  </si>
  <si>
    <t>Cross-referenced with Yahoo Finance reported betas as of March 2026.</t>
  </si>
  <si>
    <t>Premium allocated to identifiable intangibles</t>
  </si>
  <si>
    <t>Item</t>
  </si>
  <si>
    <t>Accounts Receivable ($M)</t>
  </si>
  <si>
    <t>Other Current Assets ($M)</t>
  </si>
  <si>
    <t>PP&amp;E, net ($M)</t>
  </si>
  <si>
    <t>Annual Depreciation ($M)</t>
  </si>
  <si>
    <t>Accounts Payable ($M)</t>
  </si>
  <si>
    <t>Deferred Rev &amp; Other CL ($M)</t>
  </si>
  <si>
    <t>Short-Term Debt ($M)</t>
  </si>
  <si>
    <t>LT Debt Existing ($M)</t>
  </si>
  <si>
    <t>CRM Other Intangible Assets ($M)</t>
  </si>
  <si>
    <t>CRM Intang. Annual Amort ($M)</t>
  </si>
  <si>
    <t>Other LT Liabilities ($M)</t>
  </si>
  <si>
    <t>PPA Intangible Assets ($M)</t>
  </si>
  <si>
    <t>CRM (JAN '26)</t>
  </si>
  <si>
    <t>HUBS (DEC '25)</t>
  </si>
  <si>
    <t>Combined</t>
  </si>
  <si>
    <t>Ratio</t>
  </si>
  <si>
    <t>&lt;-- Held Flat</t>
  </si>
  <si>
    <t>ASSETS</t>
  </si>
  <si>
    <t>Accounts Receivable</t>
  </si>
  <si>
    <t>Property, Plant &amp; Equipment, net</t>
  </si>
  <si>
    <t>Other Long-Term Assets (PLUG)</t>
  </si>
  <si>
    <t>TOTAL ASSETS</t>
  </si>
  <si>
    <t>LIABILITIES &amp; SHAREHOLDERS' EQUITY</t>
  </si>
  <si>
    <t>Deferred Revenue &amp; Other Current Liabilities</t>
  </si>
  <si>
    <t>Short-Term Debt</t>
  </si>
  <si>
    <t>Long-Term Debt (Existing)</t>
  </si>
  <si>
    <t>Other Long-Term Liabilities</t>
  </si>
  <si>
    <t>TOTAL LIABILITIES &amp; SHAREHOLDERS' EQUITY</t>
  </si>
  <si>
    <t>PROJECTED BALANCE SHEET ($M)</t>
  </si>
  <si>
    <t>Combined Pro-forma Balance Sheet -- Key Accounts ($M) (Doesn't Balance, used for the actual balance sheet below)</t>
  </si>
  <si>
    <t>Balance Sheet Assumptions</t>
  </si>
  <si>
    <t>KEY CREDIT &amp; RETURN METRICS</t>
  </si>
  <si>
    <t>Net Debt / EBITDA</t>
  </si>
  <si>
    <t>ROE (Net Income / Equity)</t>
  </si>
  <si>
    <t>ROA (Net Income / Total Assets)</t>
  </si>
  <si>
    <t xml:space="preserve">Mergers and Acquisitions Analysis Final Exam </t>
  </si>
  <si>
    <t xml:space="preserve">Professor </t>
  </si>
  <si>
    <t>Hamza Abdurezak</t>
  </si>
  <si>
    <t>Levan Kvinikadze</t>
  </si>
  <si>
    <t>FIN232a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</si>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</sst>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.00_);_(* \(#,##0.00\);_(* \-??_);_(@_)"/>
    <numFmt numFmtId="165" formatCode="#,##0.0"/>
    <numFmt numFmtId="166" formatCode="0.000"/>
    <numFmt numFmtId="167" formatCode="_(* #,##0_);_(* \(#,##0\);_(* \-??_);_(@_)"/>
    <numFmt numFmtId="168" formatCode="0.0%"/>
    <numFmt numFmtId="169" formatCode="0.0\x"/>
    <numFmt numFmtId="170" formatCode="_(\$* #,##0.00_);_(\$* \(#,##0.00\);_(\$* \-??_);_(@_)"/>
    <numFmt numFmtId="171" formatCode="mm/dd/yy"/>
    <numFmt numFmtId="172" formatCode="#,##0.0\%"/>
    <numFmt numFmtId="173" formatCode="#,##0.00\x"/>
    <numFmt numFmtId="174" formatCode="#,##0.00\%"/>
  </numFmts>
  <fonts count="29" x14ac:knownFonts="1"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9"/>
      <color theme="5" tint="0.39988402966399123"/>
      <name val="Arial"/>
      <family val="2"/>
      <charset val="1"/>
    </font>
    <font>
      <b/>
      <sz val="9"/>
      <color theme="8" tint="-0.249977111117893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1F3864"/>
      <name val="Arial"/>
      <family val="2"/>
      <charset val="1"/>
    </font>
    <font>
      <sz val="9"/>
      <color rgb="FF666666"/>
      <name val="Arial"/>
      <family val="2"/>
      <charset val="1"/>
    </font>
    <font>
      <b/>
      <sz val="9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i/>
      <sz val="8"/>
      <color rgb="FF666666"/>
      <name val="Arial"/>
      <family val="2"/>
      <charset val="1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0"/>
      <color rgb="FF003366"/>
      <name val="Arial"/>
      <family val="2"/>
      <charset val="1"/>
    </font>
    <font>
      <sz val="10"/>
      <color rgb="FF646464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2"/>
      <color theme="1"/>
      <name val="Arial"/>
      <family val="2"/>
    </font>
    <font>
      <sz val="16"/>
      <color theme="1"/>
      <name val="Arial"/>
      <family val="2"/>
      <charset val="1"/>
    </font>
    <font>
      <b/>
      <sz val="16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5" tint="0.39988402966399123"/>
        <bgColor rgb="FFFFD966"/>
      </patternFill>
    </fill>
    <fill>
      <patternFill patternType="solid">
        <fgColor theme="8" tint="0.39988402966399123"/>
        <bgColor rgb="FFC8C8C8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6"/>
        <bgColor rgb="FF9DC3E6"/>
      </patternFill>
    </fill>
    <fill>
      <patternFill patternType="solid">
        <fgColor rgb="FFD6E4F0"/>
        <bgColor rgb="FFF0F0F0"/>
      </patternFill>
    </fill>
    <fill>
      <patternFill patternType="solid">
        <fgColor theme="9" tint="0.39988402966399123"/>
        <bgColor rgb="FFC5E0B4"/>
      </patternFill>
    </fill>
    <fill>
      <patternFill patternType="solid">
        <fgColor rgb="FF7CE0E2"/>
        <bgColor rgb="FF9DC3E6"/>
      </patternFill>
    </fill>
    <fill>
      <patternFill patternType="solid">
        <fgColor theme="6" tint="0.39988402966399123"/>
        <bgColor rgb="FFC8C8C8"/>
      </patternFill>
    </fill>
    <fill>
      <patternFill patternType="solid">
        <fgColor theme="9" tint="-0.249977111117893"/>
        <bgColor rgb="FF666666"/>
      </patternFill>
    </fill>
    <fill>
      <patternFill patternType="solid">
        <fgColor theme="9" tint="0.59987182226020086"/>
        <bgColor rgb="FFC9C9C9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7" tint="0.79989013336588644"/>
        <bgColor rgb="FFF0F0F0"/>
      </patternFill>
    </fill>
    <fill>
      <patternFill patternType="solid">
        <fgColor rgb="FFC8C8C8"/>
        <bgColor rgb="FFC9C9C9"/>
      </patternFill>
    </fill>
    <fill>
      <patternFill patternType="solid">
        <fgColor rgb="FFFFFF00"/>
        <bgColor rgb="FFFFFF00"/>
      </patternFill>
    </fill>
    <fill>
      <patternFill patternType="solid">
        <fgColor rgb="FFF0F0F0"/>
        <b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336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rgb="FFC9C9C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rgb="FFC9C9C9"/>
      </patternFill>
    </fill>
    <fill>
      <patternFill patternType="solid">
        <fgColor theme="5" tint="0.59999389629810485"/>
        <bgColor rgb="FFC9C9C9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 style="double">
        <color indexed="64"/>
      </bottom>
      <diagonal/>
    </border>
  </borders>
  <cellStyleXfs count="5">
    <xf numFmtId="0" fontId="0" fillId="0" borderId="0"/>
    <xf numFmtId="164" fontId="18" fillId="0" borderId="0"/>
    <xf numFmtId="170" fontId="18" fillId="0" borderId="0"/>
    <xf numFmtId="9" fontId="18" fillId="0" borderId="0"/>
    <xf numFmtId="0" fontId="18" fillId="0" borderId="0"/>
  </cellStyleXfs>
  <cellXfs count="264">
    <xf numFmtId="0" fontId="0" fillId="0" borderId="0" xfId="0"/>
    <xf numFmtId="0" fontId="1" fillId="0" borderId="19" xfId="0" applyFont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8" fillId="0" borderId="0" xfId="1"/>
    <xf numFmtId="0" fontId="2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165" fontId="3" fillId="0" borderId="1" xfId="0" applyNumberFormat="1" applyFont="1" applyBorder="1" applyAlignment="1">
      <alignment horizontal="right" vertical="center"/>
    </xf>
    <xf numFmtId="0" fontId="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0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64" fontId="18" fillId="0" borderId="2" xfId="1" applyBorder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64" fontId="10" fillId="0" borderId="0" xfId="1" applyFont="1"/>
    <xf numFmtId="164" fontId="0" fillId="0" borderId="0" xfId="0" applyNumberFormat="1"/>
    <xf numFmtId="10" fontId="18" fillId="0" borderId="0" xfId="3" applyNumberFormat="1"/>
    <xf numFmtId="9" fontId="0" fillId="0" borderId="0" xfId="0" applyNumberFormat="1"/>
    <xf numFmtId="167" fontId="18" fillId="0" borderId="0" xfId="1" applyNumberFormat="1"/>
    <xf numFmtId="10" fontId="18" fillId="0" borderId="0" xfId="1" applyNumberFormat="1"/>
    <xf numFmtId="0" fontId="0" fillId="0" borderId="6" xfId="0" applyBorder="1"/>
    <xf numFmtId="164" fontId="18" fillId="0" borderId="7" xfId="1" applyBorder="1"/>
    <xf numFmtId="0" fontId="0" fillId="0" borderId="8" xfId="0" applyBorder="1"/>
    <xf numFmtId="164" fontId="18" fillId="0" borderId="9" xfId="1" applyBorder="1"/>
    <xf numFmtId="164" fontId="18" fillId="0" borderId="10" xfId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/>
    <xf numFmtId="164" fontId="18" fillId="0" borderId="15" xfId="1" applyBorder="1"/>
    <xf numFmtId="164" fontId="18" fillId="0" borderId="16" xfId="1" applyBorder="1"/>
    <xf numFmtId="0" fontId="0" fillId="0" borderId="15" xfId="0" applyBorder="1"/>
    <xf numFmtId="0" fontId="0" fillId="0" borderId="17" xfId="0" applyBorder="1"/>
    <xf numFmtId="164" fontId="18" fillId="0" borderId="18" xfId="1" applyBorder="1"/>
    <xf numFmtId="164" fontId="0" fillId="0" borderId="7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0" fontId="18" fillId="0" borderId="9" xfId="3" applyNumberFormat="1" applyBorder="1"/>
    <xf numFmtId="10" fontId="18" fillId="0" borderId="10" xfId="3" applyNumberFormat="1" applyBorder="1"/>
    <xf numFmtId="1" fontId="13" fillId="0" borderId="0" xfId="0" applyNumberFormat="1" applyFont="1"/>
    <xf numFmtId="0" fontId="14" fillId="0" borderId="0" xfId="0" applyFont="1"/>
    <xf numFmtId="0" fontId="15" fillId="0" borderId="0" xfId="0" applyFont="1"/>
    <xf numFmtId="0" fontId="13" fillId="0" borderId="15" xfId="0" applyFont="1" applyBorder="1"/>
    <xf numFmtId="3" fontId="14" fillId="0" borderId="15" xfId="0" applyNumberFormat="1" applyFont="1" applyBorder="1"/>
    <xf numFmtId="3" fontId="14" fillId="0" borderId="0" xfId="0" applyNumberFormat="1" applyFont="1"/>
    <xf numFmtId="0" fontId="13" fillId="0" borderId="0" xfId="0" applyFont="1"/>
    <xf numFmtId="4" fontId="14" fillId="0" borderId="0" xfId="0" applyNumberFormat="1" applyFont="1"/>
    <xf numFmtId="168" fontId="14" fillId="0" borderId="0" xfId="0" applyNumberFormat="1" applyFont="1"/>
    <xf numFmtId="169" fontId="14" fillId="0" borderId="0" xfId="0" applyNumberFormat="1" applyFont="1"/>
    <xf numFmtId="0" fontId="1" fillId="0" borderId="19" xfId="0" applyFont="1" applyBorder="1"/>
    <xf numFmtId="0" fontId="1" fillId="0" borderId="19" xfId="0" applyFont="1" applyBorder="1" applyAlignment="1">
      <alignment horizontal="left" indent="2"/>
    </xf>
    <xf numFmtId="10" fontId="18" fillId="0" borderId="19" xfId="3" applyNumberFormat="1" applyBorder="1"/>
    <xf numFmtId="0" fontId="1" fillId="0" borderId="11" xfId="0" applyFont="1" applyBorder="1" applyAlignment="1">
      <alignment horizontal="left"/>
    </xf>
    <xf numFmtId="0" fontId="0" fillId="0" borderId="13" xfId="0" applyBorder="1"/>
    <xf numFmtId="0" fontId="0" fillId="0" borderId="6" xfId="0" applyBorder="1" applyAlignment="1">
      <alignment horizontal="left" indent="2"/>
    </xf>
    <xf numFmtId="10" fontId="18" fillId="0" borderId="7" xfId="3" applyNumberFormat="1" applyBorder="1"/>
    <xf numFmtId="10" fontId="0" fillId="0" borderId="7" xfId="0" applyNumberFormat="1" applyBorder="1"/>
    <xf numFmtId="0" fontId="0" fillId="0" borderId="14" xfId="0" applyBorder="1" applyAlignment="1">
      <alignment horizontal="left" indent="2"/>
    </xf>
    <xf numFmtId="10" fontId="18" fillId="0" borderId="16" xfId="3" applyNumberFormat="1" applyBorder="1"/>
    <xf numFmtId="10" fontId="0" fillId="0" borderId="16" xfId="0" applyNumberFormat="1" applyBorder="1"/>
    <xf numFmtId="4" fontId="0" fillId="0" borderId="7" xfId="0" applyNumberFormat="1" applyBorder="1"/>
    <xf numFmtId="0" fontId="0" fillId="0" borderId="8" xfId="0" applyBorder="1" applyAlignment="1">
      <alignment horizontal="left" indent="2"/>
    </xf>
    <xf numFmtId="10" fontId="0" fillId="0" borderId="10" xfId="0" applyNumberFormat="1" applyBorder="1"/>
    <xf numFmtId="0" fontId="1" fillId="0" borderId="11" xfId="0" applyFont="1" applyBorder="1"/>
    <xf numFmtId="0" fontId="1" fillId="0" borderId="13" xfId="0" applyFont="1" applyBorder="1"/>
    <xf numFmtId="0" fontId="0" fillId="0" borderId="6" xfId="0" applyBorder="1" applyAlignment="1">
      <alignment horizontal="left" indent="1"/>
    </xf>
    <xf numFmtId="170" fontId="18" fillId="0" borderId="7" xfId="2" applyBorder="1"/>
    <xf numFmtId="9" fontId="18" fillId="0" borderId="7" xfId="2" applyNumberFormat="1" applyBorder="1"/>
    <xf numFmtId="167" fontId="18" fillId="0" borderId="7" xfId="1" applyNumberFormat="1" applyBorder="1"/>
    <xf numFmtId="0" fontId="0" fillId="0" borderId="8" xfId="0" applyBorder="1" applyAlignment="1">
      <alignment horizontal="left" indent="1"/>
    </xf>
    <xf numFmtId="0" fontId="0" fillId="11" borderId="0" xfId="0" applyFill="1" applyAlignment="1">
      <alignment horizontal="center"/>
    </xf>
    <xf numFmtId="0" fontId="1" fillId="11" borderId="0" xfId="0" applyFont="1" applyFill="1" applyAlignment="1">
      <alignment horizontal="left"/>
    </xf>
    <xf numFmtId="2" fontId="0" fillId="0" borderId="0" xfId="0" applyNumberFormat="1"/>
    <xf numFmtId="0" fontId="1" fillId="0" borderId="2" xfId="0" applyFont="1" applyBorder="1"/>
    <xf numFmtId="0" fontId="0" fillId="0" borderId="2" xfId="0" applyBorder="1"/>
    <xf numFmtId="2" fontId="0" fillId="0" borderId="2" xfId="0" applyNumberFormat="1" applyBorder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0" fillId="0" borderId="20" xfId="0" applyBorder="1"/>
    <xf numFmtId="0" fontId="0" fillId="0" borderId="21" xfId="0" applyBorder="1"/>
    <xf numFmtId="0" fontId="10" fillId="0" borderId="0" xfId="0" applyFont="1"/>
    <xf numFmtId="164" fontId="10" fillId="0" borderId="0" xfId="0" applyNumberFormat="1" applyFont="1"/>
    <xf numFmtId="164" fontId="0" fillId="0" borderId="22" xfId="0" applyNumberFormat="1" applyBorder="1"/>
    <xf numFmtId="164" fontId="0" fillId="0" borderId="2" xfId="0" applyNumberFormat="1" applyBorder="1"/>
    <xf numFmtId="164" fontId="0" fillId="0" borderId="21" xfId="0" applyNumberFormat="1" applyBorder="1"/>
    <xf numFmtId="0" fontId="1" fillId="14" borderId="0" xfId="0" applyFont="1" applyFill="1" applyAlignment="1">
      <alignment horizontal="left"/>
    </xf>
    <xf numFmtId="3" fontId="0" fillId="0" borderId="0" xfId="0" applyNumberFormat="1"/>
    <xf numFmtId="10" fontId="1" fillId="15" borderId="0" xfId="0" applyNumberFormat="1" applyFont="1" applyFill="1"/>
    <xf numFmtId="4" fontId="0" fillId="0" borderId="0" xfId="0" applyNumberFormat="1"/>
    <xf numFmtId="0" fontId="1" fillId="0" borderId="6" xfId="0" applyFont="1" applyBorder="1"/>
    <xf numFmtId="10" fontId="0" fillId="0" borderId="0" xfId="0" applyNumberFormat="1"/>
    <xf numFmtId="0" fontId="1" fillId="0" borderId="8" xfId="0" applyFont="1" applyBorder="1"/>
    <xf numFmtId="10" fontId="0" fillId="0" borderId="9" xfId="0" applyNumberFormat="1" applyBorder="1"/>
    <xf numFmtId="0" fontId="0" fillId="0" borderId="12" xfId="0" applyBorder="1"/>
    <xf numFmtId="0" fontId="0" fillId="0" borderId="7" xfId="0" applyBorder="1"/>
    <xf numFmtId="0" fontId="1" fillId="0" borderId="6" xfId="0" applyFont="1" applyBorder="1" applyAlignment="1">
      <alignment horizontal="left" indent="1"/>
    </xf>
    <xf numFmtId="3" fontId="0" fillId="0" borderId="7" xfId="0" applyNumberFormat="1" applyBorder="1"/>
    <xf numFmtId="0" fontId="1" fillId="0" borderId="8" xfId="0" applyFont="1" applyBorder="1" applyAlignment="1">
      <alignment horizontal="left" indent="1"/>
    </xf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horizontal="left" indent="1"/>
    </xf>
    <xf numFmtId="0" fontId="1" fillId="0" borderId="23" xfId="0" applyFont="1" applyBorder="1"/>
    <xf numFmtId="0" fontId="1" fillId="0" borderId="20" xfId="0" applyFont="1" applyBorder="1" applyAlignment="1">
      <alignment horizontal="left" indent="2"/>
    </xf>
    <xf numFmtId="0" fontId="1" fillId="0" borderId="21" xfId="0" applyFont="1" applyBorder="1" applyAlignment="1">
      <alignment horizontal="left" indent="2"/>
    </xf>
    <xf numFmtId="164" fontId="0" fillId="0" borderId="25" xfId="0" applyNumberFormat="1" applyBorder="1"/>
    <xf numFmtId="0" fontId="1" fillId="0" borderId="26" xfId="0" applyFont="1" applyBorder="1"/>
    <xf numFmtId="0" fontId="1" fillId="0" borderId="27" xfId="0" applyFont="1" applyBorder="1"/>
    <xf numFmtId="0" fontId="1" fillId="0" borderId="29" xfId="0" applyFont="1" applyBorder="1"/>
    <xf numFmtId="10" fontId="1" fillId="0" borderId="0" xfId="0" applyNumberFormat="1" applyFont="1"/>
    <xf numFmtId="164" fontId="1" fillId="0" borderId="0" xfId="1" applyFont="1"/>
    <xf numFmtId="10" fontId="1" fillId="0" borderId="9" xfId="0" applyNumberFormat="1" applyFont="1" applyBorder="1"/>
    <xf numFmtId="164" fontId="0" fillId="0" borderId="20" xfId="0" applyNumberFormat="1" applyBorder="1"/>
    <xf numFmtId="164" fontId="1" fillId="15" borderId="0" xfId="1" applyFont="1" applyFill="1"/>
    <xf numFmtId="171" fontId="0" fillId="16" borderId="0" xfId="0" applyNumberFormat="1" applyFill="1"/>
    <xf numFmtId="4" fontId="0" fillId="16" borderId="0" xfId="0" applyNumberFormat="1" applyFill="1" applyAlignment="1">
      <alignment horizontal="right"/>
    </xf>
    <xf numFmtId="10" fontId="18" fillId="16" borderId="0" xfId="3" applyNumberFormat="1" applyFill="1" applyAlignment="1">
      <alignment horizontal="right"/>
    </xf>
    <xf numFmtId="171" fontId="0" fillId="0" borderId="0" xfId="0" applyNumberFormat="1"/>
    <xf numFmtId="4" fontId="0" fillId="0" borderId="0" xfId="0" applyNumberFormat="1" applyAlignment="1">
      <alignment horizontal="right"/>
    </xf>
    <xf numFmtId="0" fontId="18" fillId="0" borderId="0" xfId="4"/>
    <xf numFmtId="0" fontId="1" fillId="0" borderId="0" xfId="4" applyFont="1"/>
    <xf numFmtId="0" fontId="18" fillId="16" borderId="0" xfId="4" applyFill="1" applyAlignment="1">
      <alignment horizontal="left"/>
    </xf>
    <xf numFmtId="165" fontId="18" fillId="16" borderId="0" xfId="4" applyNumberFormat="1" applyFill="1" applyAlignment="1">
      <alignment horizontal="right"/>
    </xf>
    <xf numFmtId="172" fontId="18" fillId="16" borderId="0" xfId="4" applyNumberFormat="1" applyFill="1" applyAlignment="1">
      <alignment horizontal="right"/>
    </xf>
    <xf numFmtId="0" fontId="18" fillId="0" borderId="0" xfId="4" applyAlignment="1">
      <alignment horizontal="left"/>
    </xf>
    <xf numFmtId="165" fontId="18" fillId="0" borderId="0" xfId="4" applyNumberFormat="1" applyAlignment="1">
      <alignment horizontal="right"/>
    </xf>
    <xf numFmtId="172" fontId="18" fillId="0" borderId="0" xfId="4" applyNumberFormat="1" applyAlignment="1">
      <alignment horizontal="right"/>
    </xf>
    <xf numFmtId="0" fontId="18" fillId="0" borderId="2" xfId="4" applyBorder="1" applyAlignment="1">
      <alignment horizontal="left"/>
    </xf>
    <xf numFmtId="165" fontId="18" fillId="0" borderId="2" xfId="4" applyNumberFormat="1" applyBorder="1" applyAlignment="1">
      <alignment horizontal="right"/>
    </xf>
    <xf numFmtId="172" fontId="18" fillId="0" borderId="2" xfId="4" applyNumberFormat="1" applyBorder="1" applyAlignment="1">
      <alignment horizontal="right"/>
    </xf>
    <xf numFmtId="0" fontId="18" fillId="0" borderId="2" xfId="4" applyBorder="1"/>
    <xf numFmtId="4" fontId="18" fillId="16" borderId="0" xfId="4" applyNumberFormat="1" applyFill="1" applyAlignment="1">
      <alignment horizontal="right"/>
    </xf>
    <xf numFmtId="165" fontId="10" fillId="16" borderId="0" xfId="4" applyNumberFormat="1" applyFont="1" applyFill="1" applyAlignment="1">
      <alignment horizontal="right"/>
    </xf>
    <xf numFmtId="173" fontId="18" fillId="16" borderId="0" xfId="4" applyNumberFormat="1" applyFill="1" applyAlignment="1">
      <alignment horizontal="right"/>
    </xf>
    <xf numFmtId="174" fontId="18" fillId="16" borderId="0" xfId="4" applyNumberFormat="1" applyFill="1" applyAlignment="1">
      <alignment horizontal="right"/>
    </xf>
    <xf numFmtId="4" fontId="18" fillId="0" borderId="0" xfId="4" applyNumberFormat="1" applyAlignment="1">
      <alignment horizontal="right"/>
    </xf>
    <xf numFmtId="165" fontId="10" fillId="0" borderId="0" xfId="4" applyNumberFormat="1" applyFont="1" applyAlignment="1">
      <alignment horizontal="right"/>
    </xf>
    <xf numFmtId="173" fontId="18" fillId="0" borderId="0" xfId="4" applyNumberFormat="1" applyAlignment="1">
      <alignment horizontal="right"/>
    </xf>
    <xf numFmtId="174" fontId="18" fillId="0" borderId="0" xfId="4" applyNumberFormat="1" applyAlignment="1">
      <alignment horizontal="right"/>
    </xf>
    <xf numFmtId="4" fontId="18" fillId="0" borderId="2" xfId="4" applyNumberFormat="1" applyBorder="1" applyAlignment="1">
      <alignment horizontal="right"/>
    </xf>
    <xf numFmtId="173" fontId="18" fillId="0" borderId="2" xfId="4" applyNumberFormat="1" applyBorder="1" applyAlignment="1">
      <alignment horizontal="right"/>
    </xf>
    <xf numFmtId="174" fontId="18" fillId="0" borderId="2" xfId="4" applyNumberFormat="1" applyBorder="1" applyAlignment="1">
      <alignment horizontal="right"/>
    </xf>
    <xf numFmtId="172" fontId="10" fillId="0" borderId="0" xfId="4" applyNumberFormat="1" applyFont="1" applyAlignment="1">
      <alignment horizontal="right"/>
    </xf>
    <xf numFmtId="0" fontId="16" fillId="16" borderId="0" xfId="0" applyFont="1" applyFill="1" applyAlignment="1">
      <alignment horizontal="left"/>
    </xf>
    <xf numFmtId="0" fontId="16" fillId="0" borderId="0" xfId="0" applyFont="1" applyAlignment="1">
      <alignment horizontal="left" indent="3"/>
    </xf>
    <xf numFmtId="4" fontId="16" fillId="0" borderId="0" xfId="0" applyNumberFormat="1" applyFont="1" applyAlignment="1">
      <alignment horizontal="right"/>
    </xf>
    <xf numFmtId="0" fontId="0" fillId="16" borderId="0" xfId="0" applyFill="1" applyAlignment="1">
      <alignment horizontal="left" indent="4"/>
    </xf>
    <xf numFmtId="0" fontId="0" fillId="0" borderId="0" xfId="0" applyAlignment="1">
      <alignment horizontal="left" indent="4"/>
    </xf>
    <xf numFmtId="0" fontId="16" fillId="16" borderId="0" xfId="0" applyFont="1" applyFill="1" applyAlignment="1">
      <alignment horizontal="left" indent="3"/>
    </xf>
    <xf numFmtId="4" fontId="16" fillId="16" borderId="0" xfId="0" applyNumberFormat="1" applyFont="1" applyFill="1" applyAlignment="1">
      <alignment horizontal="right"/>
    </xf>
    <xf numFmtId="0" fontId="16" fillId="0" borderId="0" xfId="0" applyFont="1" applyAlignment="1">
      <alignment horizontal="left" indent="6"/>
    </xf>
    <xf numFmtId="0" fontId="0" fillId="16" borderId="0" xfId="0" applyFill="1" applyAlignment="1">
      <alignment horizontal="left" indent="7"/>
    </xf>
    <xf numFmtId="0" fontId="0" fillId="0" borderId="0" xfId="0" applyAlignment="1">
      <alignment horizontal="left" indent="7"/>
    </xf>
    <xf numFmtId="4" fontId="10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16" borderId="0" xfId="0" applyFill="1" applyAlignment="1">
      <alignment horizontal="left"/>
    </xf>
    <xf numFmtId="0" fontId="0" fillId="16" borderId="0" xfId="0" applyFill="1" applyAlignment="1">
      <alignment horizontal="left" indent="1"/>
    </xf>
    <xf numFmtId="0" fontId="16" fillId="16" borderId="0" xfId="0" applyFont="1" applyFill="1" applyAlignment="1">
      <alignment horizontal="left" indent="6"/>
    </xf>
    <xf numFmtId="0" fontId="16" fillId="0" borderId="0" xfId="0" applyFont="1" applyAlignment="1">
      <alignment horizontal="left"/>
    </xf>
    <xf numFmtId="4" fontId="10" fillId="16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0" fontId="17" fillId="0" borderId="0" xfId="0" applyFont="1" applyAlignment="1">
      <alignment horizontal="left"/>
    </xf>
    <xf numFmtId="3" fontId="16" fillId="16" borderId="0" xfId="0" applyNumberFormat="1" applyFont="1" applyFill="1" applyAlignment="1">
      <alignment horizontal="right"/>
    </xf>
    <xf numFmtId="3" fontId="16" fillId="0" borderId="0" xfId="0" applyNumberFormat="1" applyFont="1" applyAlignment="1">
      <alignment horizontal="right"/>
    </xf>
    <xf numFmtId="3" fontId="0" fillId="16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3" fontId="10" fillId="16" borderId="0" xfId="0" applyNumberFormat="1" applyFont="1" applyFill="1" applyAlignment="1">
      <alignment horizontal="right"/>
    </xf>
    <xf numFmtId="3" fontId="10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165" fontId="0" fillId="16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5" fontId="16" fillId="16" borderId="0" xfId="0" applyNumberFormat="1" applyFont="1" applyFill="1" applyAlignment="1">
      <alignment horizontal="right"/>
    </xf>
    <xf numFmtId="165" fontId="10" fillId="0" borderId="0" xfId="0" applyNumberFormat="1" applyFont="1" applyAlignment="1">
      <alignment horizontal="right"/>
    </xf>
    <xf numFmtId="165" fontId="10" fillId="16" borderId="0" xfId="0" applyNumberFormat="1" applyFont="1" applyFill="1" applyAlignment="1">
      <alignment horizontal="right"/>
    </xf>
    <xf numFmtId="165" fontId="0" fillId="0" borderId="0" xfId="0" applyNumberFormat="1"/>
    <xf numFmtId="0" fontId="14" fillId="0" borderId="2" xfId="0" applyFont="1" applyBorder="1"/>
    <xf numFmtId="0" fontId="13" fillId="0" borderId="2" xfId="0" applyFont="1" applyBorder="1"/>
    <xf numFmtId="0" fontId="13" fillId="0" borderId="30" xfId="0" applyFont="1" applyBorder="1"/>
    <xf numFmtId="164" fontId="18" fillId="0" borderId="30" xfId="1" applyBorder="1"/>
    <xf numFmtId="0" fontId="19" fillId="17" borderId="0" xfId="0" applyFont="1" applyFill="1" applyAlignment="1">
      <alignment horizontal="centerContinuous"/>
    </xf>
    <xf numFmtId="0" fontId="0" fillId="17" borderId="0" xfId="0" applyFill="1" applyAlignment="1">
      <alignment horizontal="centerContinuous"/>
    </xf>
    <xf numFmtId="10" fontId="14" fillId="0" borderId="0" xfId="0" applyNumberFormat="1" applyFont="1"/>
    <xf numFmtId="0" fontId="12" fillId="17" borderId="0" xfId="0" applyFont="1" applyFill="1" applyAlignment="1">
      <alignment horizontal="centerContinuous"/>
    </xf>
    <xf numFmtId="0" fontId="1" fillId="18" borderId="19" xfId="0" applyFont="1" applyFill="1" applyBorder="1" applyAlignment="1">
      <alignment horizontal="centerContinuous"/>
    </xf>
    <xf numFmtId="10" fontId="13" fillId="0" borderId="0" xfId="0" applyNumberFormat="1" applyFont="1"/>
    <xf numFmtId="0" fontId="0" fillId="17" borderId="0" xfId="0" applyFill="1"/>
    <xf numFmtId="0" fontId="20" fillId="17" borderId="0" xfId="0" applyFont="1" applyFill="1" applyAlignment="1">
      <alignment horizontal="center"/>
    </xf>
    <xf numFmtId="0" fontId="20" fillId="17" borderId="0" xfId="0" applyFont="1" applyFill="1" applyAlignment="1">
      <alignment horizontal="centerContinuous"/>
    </xf>
    <xf numFmtId="4" fontId="20" fillId="0" borderId="0" xfId="0" applyNumberFormat="1" applyFont="1"/>
    <xf numFmtId="10" fontId="0" fillId="0" borderId="24" xfId="0" applyNumberFormat="1" applyBorder="1" applyAlignment="1">
      <alignment horizontal="center"/>
    </xf>
    <xf numFmtId="10" fontId="0" fillId="0" borderId="2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18" fillId="19" borderId="0" xfId="1" applyFill="1"/>
    <xf numFmtId="0" fontId="14" fillId="17" borderId="0" xfId="0" applyFont="1" applyFill="1" applyAlignment="1">
      <alignment horizontal="centerContinuous"/>
    </xf>
    <xf numFmtId="43" fontId="0" fillId="0" borderId="0" xfId="0" applyNumberFormat="1"/>
    <xf numFmtId="0" fontId="13" fillId="0" borderId="0" xfId="1" applyNumberFormat="1" applyFont="1" applyAlignment="1">
      <alignment horizontal="center"/>
    </xf>
    <xf numFmtId="164" fontId="18" fillId="0" borderId="0" xfId="3" applyNumberFormat="1"/>
    <xf numFmtId="43" fontId="0" fillId="0" borderId="2" xfId="0" applyNumberFormat="1" applyBorder="1"/>
    <xf numFmtId="43" fontId="20" fillId="0" borderId="0" xfId="0" applyNumberFormat="1" applyFont="1"/>
    <xf numFmtId="3" fontId="20" fillId="0" borderId="0" xfId="0" applyNumberFormat="1" applyFont="1"/>
    <xf numFmtId="0" fontId="22" fillId="0" borderId="0" xfId="0" applyFont="1"/>
    <xf numFmtId="164" fontId="22" fillId="0" borderId="0" xfId="1" applyFont="1"/>
    <xf numFmtId="3" fontId="20" fillId="0" borderId="15" xfId="0" applyNumberFormat="1" applyFont="1" applyBorder="1"/>
    <xf numFmtId="0" fontId="21" fillId="17" borderId="0" xfId="0" applyFont="1" applyFill="1" applyAlignment="1">
      <alignment horizontal="centerContinuous"/>
    </xf>
    <xf numFmtId="164" fontId="18" fillId="17" borderId="0" xfId="1" applyFill="1"/>
    <xf numFmtId="0" fontId="14" fillId="17" borderId="0" xfId="0" applyFont="1" applyFill="1"/>
    <xf numFmtId="0" fontId="13" fillId="17" borderId="0" xfId="0" applyFont="1" applyFill="1" applyAlignment="1">
      <alignment horizontal="centerContinuous"/>
    </xf>
    <xf numFmtId="0" fontId="1" fillId="20" borderId="0" xfId="0" applyFont="1" applyFill="1" applyAlignment="1">
      <alignment horizontal="centerContinuous" vertical="center" wrapText="1"/>
    </xf>
    <xf numFmtId="0" fontId="0" fillId="21" borderId="3" xfId="0" applyFill="1" applyBorder="1"/>
    <xf numFmtId="0" fontId="1" fillId="21" borderId="4" xfId="0" applyFont="1" applyFill="1" applyBorder="1" applyAlignment="1">
      <alignment horizontal="center"/>
    </xf>
    <xf numFmtId="0" fontId="1" fillId="21" borderId="5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0" fillId="17" borderId="11" xfId="0" applyFill="1" applyBorder="1"/>
    <xf numFmtId="0" fontId="1" fillId="17" borderId="12" xfId="0" applyFont="1" applyFill="1" applyBorder="1" applyAlignment="1">
      <alignment horizontal="center"/>
    </xf>
    <xf numFmtId="0" fontId="1" fillId="17" borderId="13" xfId="0" applyFont="1" applyFill="1" applyBorder="1" applyAlignment="1">
      <alignment horizontal="center"/>
    </xf>
    <xf numFmtId="0" fontId="0" fillId="17" borderId="14" xfId="0" applyFill="1" applyBorder="1"/>
    <xf numFmtId="0" fontId="1" fillId="17" borderId="15" xfId="0" applyFont="1" applyFill="1" applyBorder="1" applyAlignment="1">
      <alignment horizontal="center"/>
    </xf>
    <xf numFmtId="0" fontId="1" fillId="17" borderId="16" xfId="0" applyFont="1" applyFill="1" applyBorder="1" applyAlignment="1">
      <alignment horizontal="center"/>
    </xf>
    <xf numFmtId="0" fontId="1" fillId="22" borderId="19" xfId="0" applyFont="1" applyFill="1" applyBorder="1"/>
    <xf numFmtId="0" fontId="1" fillId="23" borderId="0" xfId="0" applyFont="1" applyFill="1" applyAlignment="1">
      <alignment horizontal="left"/>
    </xf>
    <xf numFmtId="0" fontId="1" fillId="23" borderId="7" xfId="0" applyFont="1" applyFill="1" applyBorder="1" applyAlignment="1">
      <alignment horizontal="left"/>
    </xf>
    <xf numFmtId="0" fontId="1" fillId="21" borderId="23" xfId="0" applyFont="1" applyFill="1" applyBorder="1"/>
    <xf numFmtId="0" fontId="1" fillId="21" borderId="24" xfId="0" applyFont="1" applyFill="1" applyBorder="1" applyAlignment="1">
      <alignment horizontal="center"/>
    </xf>
    <xf numFmtId="0" fontId="1" fillId="21" borderId="23" xfId="0" applyFont="1" applyFill="1" applyBorder="1" applyAlignment="1">
      <alignment horizontal="center"/>
    </xf>
    <xf numFmtId="0" fontId="1" fillId="24" borderId="8" xfId="0" applyFont="1" applyFill="1" applyBorder="1" applyAlignment="1">
      <alignment horizontal="left" indent="1"/>
    </xf>
    <xf numFmtId="10" fontId="18" fillId="24" borderId="9" xfId="3" applyNumberFormat="1" applyFill="1" applyBorder="1"/>
    <xf numFmtId="0" fontId="1" fillId="25" borderId="4" xfId="0" applyFont="1" applyFill="1" applyBorder="1" applyAlignment="1">
      <alignment horizontal="center"/>
    </xf>
    <xf numFmtId="0" fontId="1" fillId="25" borderId="5" xfId="0" applyFont="1" applyFill="1" applyBorder="1" applyAlignment="1">
      <alignment horizontal="center"/>
    </xf>
    <xf numFmtId="10" fontId="1" fillId="25" borderId="0" xfId="3" applyNumberFormat="1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25" borderId="7" xfId="0" applyFont="1" applyFill="1" applyBorder="1" applyAlignment="1">
      <alignment horizontal="center"/>
    </xf>
    <xf numFmtId="0" fontId="1" fillId="25" borderId="24" xfId="0" applyFont="1" applyFill="1" applyBorder="1" applyAlignment="1">
      <alignment horizontal="center"/>
    </xf>
    <xf numFmtId="0" fontId="1" fillId="25" borderId="23" xfId="0" applyFont="1" applyFill="1" applyBorder="1" applyAlignment="1">
      <alignment horizontal="center"/>
    </xf>
    <xf numFmtId="0" fontId="1" fillId="23" borderId="0" xfId="4" applyFont="1" applyFill="1" applyAlignment="1">
      <alignment horizontal="left"/>
    </xf>
    <xf numFmtId="0" fontId="1" fillId="26" borderId="0" xfId="0" applyFont="1" applyFill="1" applyAlignment="1">
      <alignment horizontal="left"/>
    </xf>
    <xf numFmtId="0" fontId="1" fillId="27" borderId="0" xfId="0" applyFont="1" applyFill="1" applyAlignment="1">
      <alignment horizontal="left"/>
    </xf>
    <xf numFmtId="0" fontId="24" fillId="0" borderId="0" xfId="0" applyFont="1"/>
    <xf numFmtId="0" fontId="27" fillId="0" borderId="0" xfId="0" applyFont="1"/>
    <xf numFmtId="0" fontId="28" fillId="0" borderId="0" xfId="0" applyFont="1"/>
    <xf numFmtId="0" fontId="20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6" fillId="12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 2" xfId="4" xr:uid="{00000000-0005-0000-0000-000006000000}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8C8C8"/>
      <rgbColor rgb="FF808080"/>
      <rgbColor rgb="FF9999FF"/>
      <rgbColor rgb="FF646464"/>
      <rgbColor rgb="FFFFF2CC"/>
      <rgbColor rgb="FFD6E4F0"/>
      <rgbColor rgb="FF660066"/>
      <rgbColor rgb="FFFF8080"/>
      <rgbColor rgb="FF0066CC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5E0B4"/>
      <rgbColor rgb="FFFFE699"/>
      <rgbColor rgb="FF9DC3E6"/>
      <rgbColor rgb="FFF4B183"/>
      <rgbColor rgb="FFCC99FF"/>
      <rgbColor rgb="FFFFD966"/>
      <rgbColor rgb="FF2E75B6"/>
      <rgbColor rgb="FF7CE0E2"/>
      <rgbColor rgb="FFA9D18E"/>
      <rgbColor rgb="FFFFCC00"/>
      <rgbColor rgb="FFFF9900"/>
      <rgbColor rgb="FFFF6600"/>
      <rgbColor rgb="FF666666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17E1-3A88-7E45-BA9B-B9B93392A511}">
  <dimension ref="A2:F6"/>
  <sheetViews>
    <sheetView tabSelected="1" workbookViewId="0">
      <selection activeCell="B5" sqref="B5"/>
    </sheetView>
  </sheetViews>
  <sheetFormatPr defaultColWidth="11.42578125" defaultRowHeight="12.75" x14ac:dyDescent="0.2"/>
  <cols>
    <col min="1" max="1" width="27.7109375" customWidth="1"/>
  </cols>
  <sheetData>
    <row r="2" spans="1:6" ht="39" customHeight="1" x14ac:dyDescent="0.3">
      <c r="A2" s="250" t="s">
        <v>586</v>
      </c>
      <c r="B2" s="250" t="s">
        <v>582</v>
      </c>
      <c r="C2" s="250"/>
      <c r="D2" s="250"/>
      <c r="E2" s="250"/>
      <c r="F2" s="251"/>
    </row>
    <row r="3" spans="1:6" ht="30.95" customHeight="1" x14ac:dyDescent="0.3">
      <c r="A3" s="249" t="s">
        <v>583</v>
      </c>
      <c r="B3" s="249" t="s">
        <v>584</v>
      </c>
      <c r="C3" s="249"/>
      <c r="D3" s="249"/>
      <c r="E3" s="249"/>
    </row>
    <row r="4" spans="1:6" ht="39" customHeight="1" x14ac:dyDescent="0.3">
      <c r="A4" s="249" t="s">
        <v>587</v>
      </c>
      <c r="B4" s="249" t="s">
        <v>585</v>
      </c>
      <c r="C4" s="249"/>
      <c r="D4" s="249"/>
      <c r="E4" s="249"/>
    </row>
    <row r="5" spans="1:6" ht="32.1" customHeight="1" x14ac:dyDescent="0.3">
      <c r="A5" s="249"/>
      <c r="B5" s="249"/>
      <c r="C5" s="249"/>
      <c r="D5" s="249"/>
      <c r="E5" s="249"/>
    </row>
    <row r="6" spans="1:6" ht="20.25" x14ac:dyDescent="0.3">
      <c r="A6" s="249"/>
      <c r="B6" s="249"/>
      <c r="C6" s="249"/>
      <c r="D6" s="249"/>
      <c r="E6" s="2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49"/>
  <sheetViews>
    <sheetView zoomScaleNormal="100" workbookViewId="0">
      <selection activeCell="G36" sqref="G36"/>
    </sheetView>
  </sheetViews>
  <sheetFormatPr defaultColWidth="8.7109375" defaultRowHeight="12.75" x14ac:dyDescent="0.2"/>
  <cols>
    <col min="1" max="1" width="41.85546875" customWidth="1"/>
    <col min="2" max="2" width="11.7109375" customWidth="1"/>
    <col min="7" max="7" width="9.7109375" customWidth="1"/>
    <col min="10" max="10" width="39.140625" customWidth="1"/>
    <col min="11" max="11" width="11.140625" customWidth="1"/>
    <col min="12" max="12" width="9.42578125" customWidth="1"/>
    <col min="13" max="13" width="11.42578125" customWidth="1"/>
    <col min="14" max="15" width="8" customWidth="1"/>
    <col min="16" max="16" width="10.28515625" customWidth="1"/>
  </cols>
  <sheetData>
    <row r="2" spans="1:17" ht="12.75" customHeight="1" x14ac:dyDescent="0.2">
      <c r="A2" s="252" t="s">
        <v>136</v>
      </c>
      <c r="B2" s="252"/>
      <c r="C2" s="252"/>
      <c r="D2" s="252"/>
      <c r="E2" s="252"/>
      <c r="F2" s="252"/>
      <c r="G2" s="252"/>
      <c r="H2" s="252"/>
      <c r="J2" s="253" t="s">
        <v>137</v>
      </c>
      <c r="K2" s="253"/>
      <c r="L2" s="253"/>
      <c r="M2" s="253"/>
      <c r="N2" s="253"/>
      <c r="O2" s="253"/>
      <c r="P2" s="253"/>
      <c r="Q2" s="253"/>
    </row>
    <row r="4" spans="1:17" ht="12.75" customHeight="1" x14ac:dyDescent="0.2">
      <c r="A4" s="61" t="s">
        <v>138</v>
      </c>
      <c r="B4" s="1">
        <v>2026</v>
      </c>
      <c r="C4" s="1">
        <v>2027</v>
      </c>
      <c r="D4" s="1">
        <v>2028</v>
      </c>
      <c r="E4" s="1">
        <v>2029</v>
      </c>
      <c r="F4" s="1">
        <v>2030</v>
      </c>
      <c r="G4" s="1" t="s">
        <v>139</v>
      </c>
      <c r="J4" s="61" t="s">
        <v>140</v>
      </c>
      <c r="K4" s="1">
        <v>2026</v>
      </c>
      <c r="L4" s="1">
        <v>2027</v>
      </c>
      <c r="M4" s="1">
        <v>2028</v>
      </c>
      <c r="N4" s="1">
        <v>2029</v>
      </c>
      <c r="O4" s="1">
        <v>2030</v>
      </c>
      <c r="P4" s="1" t="s">
        <v>139</v>
      </c>
    </row>
    <row r="5" spans="1:17" ht="12.75" customHeight="1" x14ac:dyDescent="0.2">
      <c r="A5" s="62" t="s">
        <v>141</v>
      </c>
      <c r="B5" s="63">
        <f>'HUBS Projection'!B24</f>
        <v>0.18</v>
      </c>
      <c r="C5" s="63">
        <f>'HUBS Projection'!C24</f>
        <v>0.16</v>
      </c>
      <c r="D5" s="63">
        <f>'HUBS Projection'!D24</f>
        <v>0.15</v>
      </c>
      <c r="E5" s="63">
        <f>'HUBS Projection'!E24</f>
        <v>0.14000000000000001</v>
      </c>
      <c r="F5" s="63">
        <f>'HUBS Projection'!F24</f>
        <v>0.13</v>
      </c>
      <c r="G5" s="63">
        <f>'HUBS Projection'!G24</f>
        <v>3.5000000000000003E-2</v>
      </c>
      <c r="J5" s="62" t="s">
        <v>141</v>
      </c>
      <c r="K5" s="63">
        <f>'CRM Projection'!B24</f>
        <v>9.5000000000000001E-2</v>
      </c>
      <c r="L5" s="63">
        <f>'CRM Projection'!C24</f>
        <v>0.105</v>
      </c>
      <c r="M5" s="63">
        <f>'CRM Projection'!D24</f>
        <v>0.11</v>
      </c>
      <c r="N5" s="63">
        <f>'CRM Projection'!E24</f>
        <v>0.1</v>
      </c>
      <c r="O5" s="63">
        <f>'CRM Projection'!F24</f>
        <v>0.09</v>
      </c>
      <c r="P5" s="63">
        <f>'CRM Projection'!G24</f>
        <v>3.5000000000000003E-2</v>
      </c>
    </row>
    <row r="6" spans="1:17" ht="12.75" customHeight="1" x14ac:dyDescent="0.2">
      <c r="A6" s="62" t="s">
        <v>5</v>
      </c>
      <c r="B6" s="63">
        <f>'HUBS Projection'!B25</f>
        <v>0.05</v>
      </c>
      <c r="C6" s="63">
        <f>'HUBS Projection'!C25</f>
        <v>0.08</v>
      </c>
      <c r="D6" s="63">
        <f>'HUBS Projection'!D25</f>
        <v>0.11</v>
      </c>
      <c r="E6" s="63">
        <f>'HUBS Projection'!E25</f>
        <v>0.13</v>
      </c>
      <c r="F6" s="63">
        <f>'HUBS Projection'!F25</f>
        <v>0.15</v>
      </c>
      <c r="G6" s="63">
        <f>'HUBS Projection'!G25</f>
        <v>0.15</v>
      </c>
      <c r="J6" s="62" t="s">
        <v>5</v>
      </c>
      <c r="K6" s="63">
        <f>'CRM Projection'!B25</f>
        <v>0.22500000000000001</v>
      </c>
      <c r="L6" s="63">
        <f>'CRM Projection'!C25</f>
        <v>0.23499999999999999</v>
      </c>
      <c r="M6" s="63">
        <f>'CRM Projection'!D25</f>
        <v>0.245</v>
      </c>
      <c r="N6" s="63">
        <f>'CRM Projection'!E25</f>
        <v>0.25</v>
      </c>
      <c r="O6" s="63">
        <f>'CRM Projection'!F25</f>
        <v>0.255</v>
      </c>
      <c r="P6" s="63">
        <f>O6</f>
        <v>0.255</v>
      </c>
    </row>
    <row r="7" spans="1:17" ht="12.75" customHeight="1" x14ac:dyDescent="0.2">
      <c r="A7" s="62" t="s">
        <v>142</v>
      </c>
      <c r="B7" s="63">
        <f>'HUBS Projection'!$B$13</f>
        <v>4.1157041273239839E-2</v>
      </c>
      <c r="C7" s="63">
        <f>'HUBS Projection'!$B$13</f>
        <v>4.1157041273239839E-2</v>
      </c>
      <c r="D7" s="63">
        <f>'HUBS Projection'!$B$13</f>
        <v>4.1157041273239839E-2</v>
      </c>
      <c r="E7" s="63">
        <f>'HUBS Projection'!$B$13</f>
        <v>4.1157041273239839E-2</v>
      </c>
      <c r="F7" s="63">
        <f>'HUBS Projection'!$B$13</f>
        <v>4.1157041273239839E-2</v>
      </c>
      <c r="G7" s="63">
        <f>'HUBS Projection'!$B$13</f>
        <v>4.1157041273239839E-2</v>
      </c>
      <c r="J7" s="62" t="s">
        <v>142</v>
      </c>
      <c r="K7" s="63">
        <f>'CRM Projection'!B26</f>
        <v>8.5000000000000006E-2</v>
      </c>
      <c r="L7" s="63">
        <f>'CRM Projection'!C26</f>
        <v>8.3000000000000004E-2</v>
      </c>
      <c r="M7" s="63">
        <f>'CRM Projection'!D26</f>
        <v>8.2000000000000003E-2</v>
      </c>
      <c r="N7" s="63">
        <f>'CRM Projection'!E26</f>
        <v>8.1000000000000003E-2</v>
      </c>
      <c r="O7" s="63">
        <f>'CRM Projection'!F26</f>
        <v>0.08</v>
      </c>
      <c r="P7" s="63">
        <f>O7</f>
        <v>0.08</v>
      </c>
    </row>
    <row r="8" spans="1:17" ht="12.75" customHeight="1" x14ac:dyDescent="0.2">
      <c r="A8" s="62" t="s">
        <v>143</v>
      </c>
      <c r="B8" s="63">
        <f>'HUBS Projection'!$B$17</f>
        <v>5.0916157035948796E-2</v>
      </c>
      <c r="C8" s="63">
        <f>'HUBS Projection'!$B$17</f>
        <v>5.0916157035948796E-2</v>
      </c>
      <c r="D8" s="63">
        <f>'HUBS Projection'!$B$17</f>
        <v>5.0916157035948796E-2</v>
      </c>
      <c r="E8" s="63">
        <f>'HUBS Projection'!$B$17</f>
        <v>5.0916157035948796E-2</v>
      </c>
      <c r="F8" s="63">
        <f>'HUBS Projection'!$B$17</f>
        <v>5.0916157035948796E-2</v>
      </c>
      <c r="G8" s="63">
        <f>'HUBS Projection'!$B$17</f>
        <v>5.0916157035948796E-2</v>
      </c>
      <c r="J8" s="62" t="s">
        <v>143</v>
      </c>
      <c r="K8" s="63">
        <f>'CRM Projection'!$B$17</f>
        <v>2.1060188127702918E-2</v>
      </c>
      <c r="L8" s="63">
        <f>'CRM Projection'!$B$17</f>
        <v>2.1060188127702918E-2</v>
      </c>
      <c r="M8" s="63">
        <f>'CRM Projection'!$B$17</f>
        <v>2.1060188127702918E-2</v>
      </c>
      <c r="N8" s="63">
        <f>'CRM Projection'!$B$17</f>
        <v>2.1060188127702918E-2</v>
      </c>
      <c r="O8" s="63">
        <f>'CRM Projection'!$B$17</f>
        <v>2.1060188127702918E-2</v>
      </c>
      <c r="P8" s="63">
        <f>'CRM Projection'!$B$17</f>
        <v>2.1060188127702918E-2</v>
      </c>
    </row>
    <row r="9" spans="1:17" ht="12.75" customHeight="1" x14ac:dyDescent="0.2">
      <c r="A9" s="62" t="s">
        <v>144</v>
      </c>
      <c r="B9" s="63">
        <f>'HUBS Projection'!$B$21</f>
        <v>-0.26729475573391748</v>
      </c>
      <c r="C9" s="63">
        <f>'HUBS Projection'!$B$21</f>
        <v>-0.26729475573391748</v>
      </c>
      <c r="D9" s="63">
        <f>'HUBS Projection'!$B$21</f>
        <v>-0.26729475573391748</v>
      </c>
      <c r="E9" s="63">
        <f>'HUBS Projection'!$B$21</f>
        <v>-0.26729475573391748</v>
      </c>
      <c r="F9" s="63">
        <f>'HUBS Projection'!$B$21</f>
        <v>-0.26729475573391748</v>
      </c>
      <c r="G9" s="63">
        <f>'HUBS Projection'!$B$21</f>
        <v>-0.26729475573391748</v>
      </c>
      <c r="J9" s="62" t="s">
        <v>144</v>
      </c>
      <c r="K9" s="63">
        <f>'CRM Projection'!$B$21</f>
        <v>-0.36503072086271704</v>
      </c>
      <c r="L9" s="63">
        <f>'CRM Projection'!$B$21</f>
        <v>-0.36503072086271704</v>
      </c>
      <c r="M9" s="63">
        <f>'CRM Projection'!$B$21</f>
        <v>-0.36503072086271704</v>
      </c>
      <c r="N9" s="63">
        <f>'CRM Projection'!$B$21</f>
        <v>-0.36503072086271704</v>
      </c>
      <c r="O9" s="63">
        <f>'CRM Projection'!$B$21</f>
        <v>-0.36503072086271704</v>
      </c>
      <c r="P9" s="63">
        <f>'CRM Projection'!$B$21</f>
        <v>-0.36503072086271704</v>
      </c>
    </row>
    <row r="10" spans="1:17" ht="12.75" customHeight="1" x14ac:dyDescent="0.2">
      <c r="A10" s="62" t="s">
        <v>27</v>
      </c>
      <c r="B10" s="63">
        <f>'HUBS Projection'!$B$39</f>
        <v>0.25</v>
      </c>
      <c r="C10" s="63">
        <f>'HUBS Projection'!$B$39</f>
        <v>0.25</v>
      </c>
      <c r="D10" s="63">
        <f>'HUBS Projection'!$B$39</f>
        <v>0.25</v>
      </c>
      <c r="E10" s="63">
        <f>'HUBS Projection'!$B$39</f>
        <v>0.25</v>
      </c>
      <c r="F10" s="63">
        <f>'HUBS Projection'!$B$39</f>
        <v>0.25</v>
      </c>
      <c r="G10" s="63">
        <f>'HUBS Projection'!$B$39</f>
        <v>0.25</v>
      </c>
      <c r="J10" s="62" t="s">
        <v>27</v>
      </c>
      <c r="K10" s="63">
        <f>'CRM Projection'!$B$39</f>
        <v>0.21</v>
      </c>
      <c r="L10" s="63">
        <f>'CRM Projection'!$B$39</f>
        <v>0.21</v>
      </c>
      <c r="M10" s="63">
        <f>'CRM Projection'!$B$39</f>
        <v>0.21</v>
      </c>
      <c r="N10" s="63">
        <f>'CRM Projection'!$B$39</f>
        <v>0.21</v>
      </c>
      <c r="O10" s="63">
        <f>'CRM Projection'!$B$39</f>
        <v>0.21</v>
      </c>
      <c r="P10" s="63">
        <f>'CRM Projection'!$B$39</f>
        <v>0.21</v>
      </c>
    </row>
    <row r="11" spans="1:17" ht="12.75" customHeight="1" x14ac:dyDescent="0.2"/>
    <row r="12" spans="1:17" ht="12.75" customHeight="1" x14ac:dyDescent="0.2">
      <c r="A12" s="64" t="s">
        <v>145</v>
      </c>
      <c r="B12" s="65"/>
      <c r="J12" s="64" t="s">
        <v>145</v>
      </c>
      <c r="K12" s="65"/>
    </row>
    <row r="13" spans="1:17" ht="12.75" customHeight="1" x14ac:dyDescent="0.2">
      <c r="A13" s="66" t="s">
        <v>146</v>
      </c>
      <c r="B13" s="34">
        <f>Beta!N3</f>
        <v>1.4171698554938394</v>
      </c>
      <c r="J13" s="66" t="s">
        <v>146</v>
      </c>
      <c r="K13" s="34">
        <f>Beta!N2</f>
        <v>1.2317361621900547</v>
      </c>
    </row>
    <row r="14" spans="1:17" ht="12.75" customHeight="1" x14ac:dyDescent="0.2">
      <c r="A14" s="66" t="s">
        <v>24</v>
      </c>
      <c r="B14" s="67">
        <v>0.06</v>
      </c>
      <c r="J14" s="66" t="s">
        <v>24</v>
      </c>
      <c r="K14" s="68">
        <f>B14</f>
        <v>0.06</v>
      </c>
    </row>
    <row r="15" spans="1:17" ht="12.75" customHeight="1" x14ac:dyDescent="0.2">
      <c r="A15" s="69" t="s">
        <v>147</v>
      </c>
      <c r="B15" s="70">
        <v>4.3900000000000002E-2</v>
      </c>
      <c r="J15" s="69" t="s">
        <v>147</v>
      </c>
      <c r="K15" s="71">
        <f>B15</f>
        <v>4.3900000000000002E-2</v>
      </c>
    </row>
    <row r="16" spans="1:17" ht="12.75" customHeight="1" x14ac:dyDescent="0.2">
      <c r="A16" s="66" t="s">
        <v>25</v>
      </c>
      <c r="B16" s="67">
        <f>B15+B14*B13</f>
        <v>0.12893019132963038</v>
      </c>
      <c r="J16" s="66" t="s">
        <v>25</v>
      </c>
      <c r="K16" s="67">
        <f>K15+K14*K13</f>
        <v>0.11780416973140329</v>
      </c>
    </row>
    <row r="17" spans="1:17" ht="12.75" customHeight="1" x14ac:dyDescent="0.2">
      <c r="A17" s="66" t="s">
        <v>148</v>
      </c>
      <c r="B17" s="68">
        <v>6.3E-3</v>
      </c>
      <c r="J17" s="66" t="s">
        <v>148</v>
      </c>
      <c r="K17" s="68">
        <f>'CRM Projection'!B43</f>
        <v>1.2500000000000001E-2</v>
      </c>
    </row>
    <row r="18" spans="1:17" ht="12.75" customHeight="1" x14ac:dyDescent="0.2">
      <c r="A18" s="66" t="s">
        <v>47</v>
      </c>
      <c r="B18" s="68">
        <f>B17+B15</f>
        <v>5.0200000000000002E-2</v>
      </c>
      <c r="J18" s="66" t="s">
        <v>47</v>
      </c>
      <c r="K18" s="68">
        <f>K17+K15</f>
        <v>5.6400000000000006E-2</v>
      </c>
    </row>
    <row r="19" spans="1:17" ht="12.75" customHeight="1" x14ac:dyDescent="0.2">
      <c r="A19" s="66" t="s">
        <v>26</v>
      </c>
      <c r="B19" s="67">
        <f>B18*(1-G10)</f>
        <v>3.7650000000000003E-2</v>
      </c>
      <c r="J19" s="66" t="s">
        <v>26</v>
      </c>
      <c r="K19" s="67">
        <f>K18*(1-P10)</f>
        <v>4.4556000000000005E-2</v>
      </c>
    </row>
    <row r="20" spans="1:17" ht="12.75" customHeight="1" x14ac:dyDescent="0.2">
      <c r="A20" s="66" t="s">
        <v>149</v>
      </c>
      <c r="B20" s="46">
        <f>'HUBS Projection'!B47</f>
        <v>52.74</v>
      </c>
      <c r="J20" s="66" t="s">
        <v>149</v>
      </c>
      <c r="K20" s="72">
        <f>'CRM Projection'!B47</f>
        <v>956</v>
      </c>
    </row>
    <row r="21" spans="1:17" ht="12.75" customHeight="1" x14ac:dyDescent="0.2">
      <c r="A21" s="66" t="s">
        <v>150</v>
      </c>
      <c r="B21" s="72">
        <f>'HUBS Projection'!B48</f>
        <v>262.06</v>
      </c>
      <c r="J21" s="66" t="s">
        <v>150</v>
      </c>
      <c r="K21" s="72">
        <f>'CRM Projection'!B48</f>
        <v>195.18</v>
      </c>
    </row>
    <row r="22" spans="1:17" ht="12.75" customHeight="1" x14ac:dyDescent="0.2">
      <c r="A22" s="66" t="s">
        <v>151</v>
      </c>
      <c r="B22" s="34">
        <f>'HUBS Projection'!B49</f>
        <v>13821.044400000001</v>
      </c>
      <c r="J22" s="66" t="s">
        <v>151</v>
      </c>
      <c r="K22" s="72">
        <f>'CRM Projection'!B49</f>
        <v>186592.08000000002</v>
      </c>
    </row>
    <row r="23" spans="1:17" ht="12.75" customHeight="1" x14ac:dyDescent="0.2">
      <c r="A23" s="66" t="s">
        <v>152</v>
      </c>
      <c r="B23" s="46">
        <f>'HUBS Projection'!B50</f>
        <v>39.703000000000003</v>
      </c>
      <c r="J23" s="66" t="s">
        <v>152</v>
      </c>
      <c r="K23" s="72">
        <f>'CRM Projection'!B50</f>
        <v>15262</v>
      </c>
    </row>
    <row r="24" spans="1:17" ht="13.5" customHeight="1" x14ac:dyDescent="0.2">
      <c r="A24" s="66" t="s">
        <v>153</v>
      </c>
      <c r="B24" s="67">
        <f>'HUBS Projection'!B53</f>
        <v>0.99713558014916281</v>
      </c>
      <c r="J24" s="66" t="s">
        <v>153</v>
      </c>
      <c r="K24" s="67">
        <f>'CRM Projection'!B53</f>
        <v>0.92439092635630649</v>
      </c>
    </row>
    <row r="25" spans="1:17" ht="13.5" customHeight="1" x14ac:dyDescent="0.2">
      <c r="A25" s="66" t="s">
        <v>154</v>
      </c>
      <c r="B25" s="68">
        <f>'HUBS Projection'!B52</f>
        <v>2.8644198508371924E-3</v>
      </c>
      <c r="J25" s="66" t="s">
        <v>154</v>
      </c>
      <c r="K25" s="67">
        <f>'CRM Projection'!B52</f>
        <v>7.56090736436935E-2</v>
      </c>
    </row>
    <row r="26" spans="1:17" ht="13.5" customHeight="1" x14ac:dyDescent="0.2">
      <c r="A26" s="66" t="s">
        <v>21</v>
      </c>
      <c r="B26" s="68">
        <f>'HUBS Projection'!B55</f>
        <v>0.12866872653759756</v>
      </c>
      <c r="J26" s="66" t="s">
        <v>21</v>
      </c>
      <c r="K26" s="68">
        <f>'CRM Projection'!B55</f>
        <v>0.11226594347191586</v>
      </c>
    </row>
    <row r="27" spans="1:17" ht="13.5" customHeight="1" x14ac:dyDescent="0.2">
      <c r="A27" s="73" t="s">
        <v>28</v>
      </c>
      <c r="B27" s="74">
        <f>G5</f>
        <v>3.5000000000000003E-2</v>
      </c>
      <c r="J27" s="73" t="s">
        <v>28</v>
      </c>
      <c r="K27" s="74">
        <f>P5</f>
        <v>3.5000000000000003E-2</v>
      </c>
    </row>
    <row r="28" spans="1:17" ht="13.5" customHeight="1" x14ac:dyDescent="0.2"/>
    <row r="31" spans="1:17" ht="12.75" customHeight="1" x14ac:dyDescent="0.2">
      <c r="A31" s="254" t="s">
        <v>155</v>
      </c>
      <c r="B31" s="254"/>
      <c r="C31" s="254"/>
      <c r="D31" s="254"/>
      <c r="E31" s="254"/>
      <c r="F31" s="254"/>
      <c r="G31" s="254"/>
      <c r="H31" s="254"/>
      <c r="J31" s="255" t="s">
        <v>156</v>
      </c>
      <c r="K31" s="255"/>
      <c r="L31" s="255"/>
      <c r="M31" s="255"/>
      <c r="N31" s="255"/>
      <c r="O31" s="255"/>
      <c r="P31" s="255"/>
      <c r="Q31" s="255"/>
    </row>
    <row r="32" spans="1:17" ht="12.75" customHeight="1" x14ac:dyDescent="0.2"/>
    <row r="33" spans="1:14" ht="12.75" customHeight="1" x14ac:dyDescent="0.2">
      <c r="A33" s="75" t="s">
        <v>18</v>
      </c>
      <c r="B33" s="76" t="s">
        <v>157</v>
      </c>
      <c r="K33" s="4" t="s">
        <v>50</v>
      </c>
      <c r="L33" s="4" t="s">
        <v>51</v>
      </c>
      <c r="M33" s="4" t="s">
        <v>52</v>
      </c>
      <c r="N33" s="4" t="s">
        <v>158</v>
      </c>
    </row>
    <row r="34" spans="1:14" ht="12.75" customHeight="1" x14ac:dyDescent="0.2">
      <c r="A34" s="77" t="s">
        <v>159</v>
      </c>
      <c r="B34" s="78">
        <v>17000</v>
      </c>
      <c r="J34" s="4" t="s">
        <v>160</v>
      </c>
      <c r="K34" s="5" t="s">
        <v>161</v>
      </c>
      <c r="L34" s="5" t="s">
        <v>162</v>
      </c>
      <c r="M34" s="5" t="s">
        <v>163</v>
      </c>
      <c r="N34" t="s">
        <v>164</v>
      </c>
    </row>
    <row r="35" spans="1:14" x14ac:dyDescent="0.2">
      <c r="A35" s="77" t="s">
        <v>165</v>
      </c>
      <c r="B35" s="30">
        <v>0.45</v>
      </c>
      <c r="J35" t="s">
        <v>166</v>
      </c>
      <c r="K35" s="6">
        <f>'Combined Financials'!B21</f>
        <v>6565</v>
      </c>
      <c r="L35" s="6">
        <f>'Combined Financials'!C21</f>
        <v>6565</v>
      </c>
      <c r="M35" s="6">
        <v>0</v>
      </c>
      <c r="N35" t="s">
        <v>167</v>
      </c>
    </row>
    <row r="36" spans="1:14" x14ac:dyDescent="0.2">
      <c r="A36" s="77" t="s">
        <v>168</v>
      </c>
      <c r="B36" s="78">
        <f>'HUBS-US-BS'!K57</f>
        <v>2066.2440000000001</v>
      </c>
      <c r="J36" t="s">
        <v>169</v>
      </c>
      <c r="K36" s="6">
        <f>'Combined Financials'!B22</f>
        <v>0</v>
      </c>
      <c r="L36" s="6">
        <f>'Combined Financials'!C22</f>
        <v>8500</v>
      </c>
      <c r="M36" s="6">
        <f>'Combined Financials'!D22</f>
        <v>17000</v>
      </c>
      <c r="N36" t="s">
        <v>170</v>
      </c>
    </row>
    <row r="37" spans="1:14" x14ac:dyDescent="0.2">
      <c r="A37" s="77" t="s">
        <v>171</v>
      </c>
      <c r="B37" s="78">
        <f>B34-B36</f>
        <v>14933.755999999999</v>
      </c>
      <c r="J37" t="s">
        <v>172</v>
      </c>
      <c r="K37" s="6">
        <f>'Combined Financials'!B23</f>
        <v>10435</v>
      </c>
      <c r="L37" s="6">
        <f>'Combined Financials'!C23</f>
        <v>1935</v>
      </c>
      <c r="M37" s="6">
        <f>'Combined Financials'!D23</f>
        <v>0</v>
      </c>
      <c r="N37" t="s">
        <v>173</v>
      </c>
    </row>
    <row r="38" spans="1:14" x14ac:dyDescent="0.2">
      <c r="A38" s="77" t="s">
        <v>174</v>
      </c>
      <c r="B38" s="79">
        <v>0.35</v>
      </c>
      <c r="J38" t="s">
        <v>175</v>
      </c>
      <c r="K38" s="6">
        <f>'Combined Financials'!B24</f>
        <v>0</v>
      </c>
      <c r="L38" s="6">
        <f>'Combined Financials'!C24</f>
        <v>43.549544010656831</v>
      </c>
      <c r="M38" s="6">
        <f>'Combined Financials'!D24</f>
        <v>87.099088021313662</v>
      </c>
      <c r="N38" t="s">
        <v>176</v>
      </c>
    </row>
    <row r="39" spans="1:14" x14ac:dyDescent="0.2">
      <c r="A39" s="77" t="s">
        <v>177</v>
      </c>
      <c r="B39" s="80">
        <v>7</v>
      </c>
      <c r="J39" t="s">
        <v>178</v>
      </c>
      <c r="K39" s="6">
        <f>'Combined Financials'!B19</f>
        <v>9565</v>
      </c>
      <c r="L39" s="6">
        <f>'Combined Financials'!C19</f>
        <v>9565</v>
      </c>
      <c r="M39" s="6">
        <f>'Combined Financials'!D19</f>
        <v>9565</v>
      </c>
      <c r="N39" t="s">
        <v>179</v>
      </c>
    </row>
    <row r="40" spans="1:14" ht="12.75" customHeight="1" x14ac:dyDescent="0.2">
      <c r="A40" s="81" t="s">
        <v>180</v>
      </c>
      <c r="B40" s="37">
        <f>'Combined Financials'!B32</f>
        <v>746.68779999999992</v>
      </c>
      <c r="J40" t="s">
        <v>181</v>
      </c>
      <c r="K40" s="6">
        <f>'Combined Financials'!B20</f>
        <v>3000</v>
      </c>
      <c r="L40" s="6">
        <f>'Combined Financials'!C20</f>
        <v>3000</v>
      </c>
      <c r="M40" s="6">
        <f>'Combined Financials'!D20</f>
        <v>0</v>
      </c>
      <c r="N40" t="s">
        <v>182</v>
      </c>
    </row>
    <row r="45" spans="1:14" ht="12.75" customHeight="1" x14ac:dyDescent="0.2">
      <c r="A45" s="256" t="s">
        <v>183</v>
      </c>
      <c r="B45" s="256"/>
      <c r="C45" s="256"/>
      <c r="D45" s="256"/>
      <c r="E45" s="256"/>
      <c r="F45" s="256"/>
      <c r="G45" s="256"/>
      <c r="H45" s="256"/>
    </row>
    <row r="46" spans="1:14" ht="12.75" customHeight="1" x14ac:dyDescent="0.2">
      <c r="B46" s="4" t="s">
        <v>184</v>
      </c>
      <c r="C46" s="4" t="s">
        <v>185</v>
      </c>
      <c r="D46" s="4" t="s">
        <v>186</v>
      </c>
      <c r="E46" s="4" t="s">
        <v>187</v>
      </c>
      <c r="F46" s="4" t="s">
        <v>188</v>
      </c>
      <c r="G46" s="4" t="s">
        <v>189</v>
      </c>
    </row>
    <row r="47" spans="1:14" x14ac:dyDescent="0.2">
      <c r="A47" t="s">
        <v>190</v>
      </c>
      <c r="B47">
        <v>50</v>
      </c>
      <c r="C47">
        <v>130</v>
      </c>
      <c r="D47">
        <v>200</v>
      </c>
      <c r="E47">
        <v>200</v>
      </c>
      <c r="F47">
        <v>200</v>
      </c>
      <c r="G47">
        <v>200</v>
      </c>
    </row>
    <row r="48" spans="1:14" x14ac:dyDescent="0.2">
      <c r="A48" t="s">
        <v>191</v>
      </c>
      <c r="B48">
        <v>62.5</v>
      </c>
      <c r="C48">
        <v>162.5</v>
      </c>
      <c r="D48">
        <v>250</v>
      </c>
      <c r="E48">
        <v>250</v>
      </c>
      <c r="F48">
        <v>250</v>
      </c>
      <c r="G48">
        <v>250</v>
      </c>
    </row>
    <row r="49" spans="1:7" x14ac:dyDescent="0.2">
      <c r="A49" t="s">
        <v>192</v>
      </c>
      <c r="B49">
        <v>0.45</v>
      </c>
      <c r="C49">
        <v>0.45</v>
      </c>
      <c r="D49">
        <v>0.45</v>
      </c>
      <c r="E49">
        <v>0.45</v>
      </c>
      <c r="F49">
        <v>0.45</v>
      </c>
      <c r="G49">
        <v>0.45</v>
      </c>
    </row>
  </sheetData>
  <mergeCells count="5">
    <mergeCell ref="A2:H2"/>
    <mergeCell ref="J2:Q2"/>
    <mergeCell ref="A31:H31"/>
    <mergeCell ref="J31:Q31"/>
    <mergeCell ref="A45:H4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zoomScaleNormal="100" workbookViewId="0">
      <selection activeCell="E9" sqref="E9"/>
    </sheetView>
  </sheetViews>
  <sheetFormatPr defaultColWidth="8.7109375" defaultRowHeight="12.75" x14ac:dyDescent="0.2"/>
  <cols>
    <col min="1" max="1" width="32" customWidth="1"/>
    <col min="2" max="6" width="14" customWidth="1"/>
    <col min="7" max="7" width="9.28515625" bestFit="1" customWidth="1"/>
    <col min="8" max="8" width="32" customWidth="1"/>
    <col min="9" max="13" width="14" customWidth="1"/>
  </cols>
  <sheetData>
    <row r="1" spans="1:13" ht="27.75" customHeight="1" x14ac:dyDescent="0.2">
      <c r="A1" s="3" t="s">
        <v>0</v>
      </c>
    </row>
    <row r="2" spans="1:13" ht="18" customHeight="1" x14ac:dyDescent="0.2">
      <c r="A2" s="258" t="s">
        <v>1</v>
      </c>
      <c r="B2" s="258"/>
      <c r="C2" s="258"/>
      <c r="D2" s="258"/>
      <c r="E2" s="258"/>
      <c r="F2" s="258"/>
      <c r="H2" s="259" t="s">
        <v>2</v>
      </c>
      <c r="I2" s="259"/>
      <c r="J2" s="259"/>
      <c r="K2" s="259"/>
      <c r="L2" s="259"/>
      <c r="M2" s="259"/>
    </row>
    <row r="3" spans="1:13" ht="15" customHeight="1" x14ac:dyDescent="0.2">
      <c r="A3" s="4" t="s">
        <v>3</v>
      </c>
      <c r="B3" s="5">
        <v>2026</v>
      </c>
      <c r="C3" s="5">
        <v>2027</v>
      </c>
      <c r="D3" s="5">
        <v>2028</v>
      </c>
      <c r="E3" s="5">
        <v>2029</v>
      </c>
      <c r="F3" s="5">
        <v>2030</v>
      </c>
      <c r="H3" s="4" t="s">
        <v>3</v>
      </c>
      <c r="I3" s="5">
        <v>2026</v>
      </c>
      <c r="J3" s="5">
        <v>2027</v>
      </c>
      <c r="K3" s="5">
        <v>2028</v>
      </c>
      <c r="L3" s="5">
        <v>2029</v>
      </c>
      <c r="M3" s="5">
        <v>2030</v>
      </c>
    </row>
    <row r="4" spans="1:13" ht="13.5" customHeight="1" x14ac:dyDescent="0.2">
      <c r="A4" s="4" t="s">
        <v>4</v>
      </c>
      <c r="B4" s="6">
        <f>'HUBS Projection'!B59</f>
        <v>3694.8679200000001</v>
      </c>
      <c r="C4" s="6">
        <f>'HUBS Projection'!C59</f>
        <v>4286.0467871999999</v>
      </c>
      <c r="D4" s="6">
        <f>'HUBS Projection'!D59</f>
        <v>4928.9538052799999</v>
      </c>
      <c r="E4" s="6">
        <f>'HUBS Projection'!E59</f>
        <v>5619.0073380192007</v>
      </c>
      <c r="F4" s="6">
        <f>'HUBS Projection'!F59</f>
        <v>6349.4782919616964</v>
      </c>
      <c r="H4" s="4" t="s">
        <v>4</v>
      </c>
      <c r="I4" s="6">
        <f>'CRM Projection'!B59</f>
        <v>45469.875</v>
      </c>
      <c r="J4" s="6">
        <f>'CRM Projection'!C59</f>
        <v>50244.211875000001</v>
      </c>
      <c r="K4" s="6">
        <f>'CRM Projection'!D59</f>
        <v>55771.075181250009</v>
      </c>
      <c r="L4" s="6">
        <f>'CRM Projection'!E59</f>
        <v>61348.182699375015</v>
      </c>
      <c r="M4" s="6">
        <f>'CRM Projection'!F59</f>
        <v>66869.519142318764</v>
      </c>
    </row>
    <row r="5" spans="1:13" ht="13.5" customHeight="1" x14ac:dyDescent="0.2">
      <c r="A5" s="4" t="s">
        <v>5</v>
      </c>
      <c r="B5" s="6">
        <f>'HUBS Projection'!B60</f>
        <v>184.74339600000002</v>
      </c>
      <c r="C5" s="6">
        <f>'HUBS Projection'!C60</f>
        <v>342.88374297600001</v>
      </c>
      <c r="D5" s="6">
        <f>'HUBS Projection'!D60</f>
        <v>542.18491858079994</v>
      </c>
      <c r="E5" s="6">
        <f>'HUBS Projection'!E60</f>
        <v>730.47095394249607</v>
      </c>
      <c r="F5" s="6">
        <f>'HUBS Projection'!F60</f>
        <v>952.42174379425444</v>
      </c>
      <c r="H5" s="4" t="s">
        <v>5</v>
      </c>
      <c r="I5" s="6">
        <f>'CRM Projection'!B60</f>
        <v>10230.721875000001</v>
      </c>
      <c r="J5" s="6">
        <f>'CRM Projection'!C60</f>
        <v>11807.389790625</v>
      </c>
      <c r="K5" s="6">
        <f>'CRM Projection'!D60</f>
        <v>13663.913419406252</v>
      </c>
      <c r="L5" s="6">
        <f>'CRM Projection'!E60</f>
        <v>15337.045674843754</v>
      </c>
      <c r="M5" s="6">
        <f>'CRM Projection'!F60</f>
        <v>17051.727381291286</v>
      </c>
    </row>
    <row r="6" spans="1:13" ht="13.5" customHeight="1" x14ac:dyDescent="0.2">
      <c r="A6" s="4" t="s">
        <v>6</v>
      </c>
      <c r="B6" s="6">
        <f>'HUBS Projection'!B61</f>
        <v>138.557547</v>
      </c>
      <c r="C6" s="6">
        <f>'HUBS Projection'!C61</f>
        <v>257.16280723199998</v>
      </c>
      <c r="D6" s="6">
        <f>'HUBS Projection'!D61</f>
        <v>406.63868893559993</v>
      </c>
      <c r="E6" s="6">
        <f>'HUBS Projection'!E61</f>
        <v>547.85321545687202</v>
      </c>
      <c r="F6" s="6">
        <f>'HUBS Projection'!F61</f>
        <v>714.31630784569086</v>
      </c>
      <c r="H6" s="4" t="s">
        <v>6</v>
      </c>
      <c r="I6" s="6">
        <f>'CRM Projection'!B61</f>
        <v>8082.2702812500011</v>
      </c>
      <c r="J6" s="6">
        <f>'CRM Projection'!C61</f>
        <v>9327.8379345937501</v>
      </c>
      <c r="K6" s="6">
        <f>'CRM Projection'!D61</f>
        <v>10794.491601330939</v>
      </c>
      <c r="L6" s="6">
        <f>'CRM Projection'!E61</f>
        <v>12116.266083126566</v>
      </c>
      <c r="M6" s="6">
        <f>'CRM Projection'!F61</f>
        <v>13470.864631220116</v>
      </c>
    </row>
    <row r="7" spans="1:13" ht="13.5" customHeight="1" x14ac:dyDescent="0.2">
      <c r="A7" s="4" t="s">
        <v>7</v>
      </c>
      <c r="B7" s="6">
        <f>'HUBS Projection'!B62</f>
        <v>152.06983148260983</v>
      </c>
      <c r="C7" s="6">
        <f>'HUBS Projection'!C62</f>
        <v>176.40100451982741</v>
      </c>
      <c r="D7" s="6">
        <f>'HUBS Projection'!D62</f>
        <v>202.86115519780151</v>
      </c>
      <c r="E7" s="6">
        <f>'HUBS Projection'!E62</f>
        <v>231.26171692549377</v>
      </c>
      <c r="F7" s="6">
        <f>'HUBS Projection'!F62</f>
        <v>261.32574012580795</v>
      </c>
      <c r="H7" s="4" t="s">
        <v>7</v>
      </c>
      <c r="I7" s="6">
        <f>'CRM Projection'!B62</f>
        <v>3864.9393750000004</v>
      </c>
      <c r="J7" s="6">
        <f>'CRM Projection'!C62</f>
        <v>4170.2695856250002</v>
      </c>
      <c r="K7" s="6">
        <f>'CRM Projection'!D62</f>
        <v>4573.2281648625012</v>
      </c>
      <c r="L7" s="6">
        <f>'CRM Projection'!E62</f>
        <v>4969.2027986493767</v>
      </c>
      <c r="M7" s="6">
        <f>'CRM Projection'!F62</f>
        <v>5349.5615313855014</v>
      </c>
    </row>
    <row r="8" spans="1:13" ht="13.5" customHeight="1" x14ac:dyDescent="0.2">
      <c r="A8" s="4" t="s">
        <v>8</v>
      </c>
      <c r="B8" s="6">
        <f>'HUBS Projection'!B63</f>
        <v>188.1284752418095</v>
      </c>
      <c r="C8" s="6">
        <f>'HUBS Projection'!C63</f>
        <v>218.22903128049902</v>
      </c>
      <c r="D8" s="6">
        <f>'HUBS Projection'!D63</f>
        <v>250.96338597257386</v>
      </c>
      <c r="E8" s="6">
        <f>'HUBS Projection'!E63</f>
        <v>286.09826000873426</v>
      </c>
      <c r="F8" s="6">
        <f>'HUBS Projection'!F63</f>
        <v>323.29103380986965</v>
      </c>
      <c r="H8" s="4" t="s">
        <v>8</v>
      </c>
      <c r="I8" s="6">
        <f>'CRM Projection'!B63</f>
        <v>957.60412164313573</v>
      </c>
      <c r="J8" s="6">
        <f>'CRM Projection'!C63</f>
        <v>1058.152554415665</v>
      </c>
      <c r="K8" s="6">
        <f>'CRM Projection'!D63</f>
        <v>1174.5493354013884</v>
      </c>
      <c r="L8" s="6">
        <f>'CRM Projection'!E63</f>
        <v>1292.0042689415272</v>
      </c>
      <c r="M8" s="6">
        <f>'CRM Projection'!F63</f>
        <v>1408.2846531462646</v>
      </c>
    </row>
    <row r="9" spans="1:13" ht="13.5" customHeight="1" x14ac:dyDescent="0.2">
      <c r="A9" s="4" t="s">
        <v>9</v>
      </c>
      <c r="B9" s="6">
        <f>'HUBS Projection'!B65</f>
        <v>-79.607818145487954</v>
      </c>
      <c r="C9" s="6">
        <f>'HUBS Projection'!C65</f>
        <v>-158.01901090327794</v>
      </c>
      <c r="D9" s="6">
        <f>'HUBS Projection'!D65</f>
        <v>-171.84567435731492</v>
      </c>
      <c r="E9" s="6">
        <f>'HUBS Projection'!E65</f>
        <v>-184.44769047685145</v>
      </c>
      <c r="F9" s="6">
        <f>'HUBS Projection'!F65</f>
        <v>-195.2510552047811</v>
      </c>
      <c r="H9" s="4" t="s">
        <v>9</v>
      </c>
      <c r="I9" s="6">
        <f>'CRM Projection'!B65</f>
        <v>-884.90124878763345</v>
      </c>
      <c r="J9" s="6">
        <f>'CRM Projection'!C65</f>
        <v>-1742.779631122703</v>
      </c>
      <c r="K9" s="6">
        <f>'CRM Projection'!D65</f>
        <v>-2017.4748967901396</v>
      </c>
      <c r="L9" s="6">
        <f>'CRM Projection'!E65</f>
        <v>-2035.8155776700514</v>
      </c>
      <c r="M9" s="6">
        <f>'CRM Projection'!F65</f>
        <v>-2015.4574218933449</v>
      </c>
    </row>
    <row r="10" spans="1:13" ht="13.5" customHeight="1" x14ac:dyDescent="0.2">
      <c r="A10" s="4" t="s">
        <v>10</v>
      </c>
      <c r="B10" s="6">
        <f>'HUBS Projection'!B66</f>
        <v>182.10672138628831</v>
      </c>
      <c r="C10" s="6">
        <f>'HUBS Projection'!C66</f>
        <v>373.35379137460632</v>
      </c>
      <c r="D10" s="6">
        <f>'HUBS Projection'!D66</f>
        <v>530.3821325181425</v>
      </c>
      <c r="E10" s="6">
        <f>'HUBS Projection'!E66</f>
        <v>677.46436285048298</v>
      </c>
      <c r="F10" s="6">
        <f>'HUBS Projection'!F66</f>
        <v>847.60206936641032</v>
      </c>
      <c r="H10" s="4" t="s">
        <v>10</v>
      </c>
      <c r="I10" s="6">
        <f>'CRM Projection'!B66</f>
        <v>11874.5067833945</v>
      </c>
      <c r="J10" s="6">
        <f>'CRM Projection'!C66</f>
        <v>14182.734596925788</v>
      </c>
      <c r="K10" s="6">
        <f>'CRM Projection'!D66</f>
        <v>16210.645327582191</v>
      </c>
      <c r="L10" s="6">
        <f>'CRM Projection'!E66</f>
        <v>17829.280190504465</v>
      </c>
      <c r="M10" s="6">
        <f>'CRM Projection'!F66</f>
        <v>19427.598931352699</v>
      </c>
    </row>
    <row r="11" spans="1:13" ht="13.5" customHeight="1" x14ac:dyDescent="0.2">
      <c r="A11" s="4" t="s">
        <v>11</v>
      </c>
      <c r="B11" s="6">
        <f>'HUBS Projection'!B67</f>
        <v>161.34647581220287</v>
      </c>
      <c r="C11" s="6">
        <f>'HUBS Projection'!C67</f>
        <v>293.08094459081218</v>
      </c>
      <c r="D11" s="6">
        <f>'HUBS Projection'!D67</f>
        <v>368.88365315924676</v>
      </c>
      <c r="E11" s="6">
        <f>'HUBS Projection'!E67</f>
        <v>417.46540144006394</v>
      </c>
      <c r="F11" s="6">
        <f>'HUBS Projection'!F67</f>
        <v>462.76398263448687</v>
      </c>
      <c r="H11" s="4" t="s">
        <v>11</v>
      </c>
      <c r="I11" s="6">
        <f>'CRM Projection'!B67</f>
        <v>10675.960055315967</v>
      </c>
      <c r="J11" s="6">
        <f>'CRM Projection'!C67</f>
        <v>11464.172084932612</v>
      </c>
      <c r="K11" s="6">
        <f>'CRM Projection'!D67</f>
        <v>11780.789193298131</v>
      </c>
      <c r="L11" s="6">
        <f>'CRM Projection'!E67</f>
        <v>11649.284481541146</v>
      </c>
      <c r="M11" s="6">
        <f>'CRM Projection'!F67</f>
        <v>11412.372287272085</v>
      </c>
    </row>
    <row r="12" spans="1:13" ht="15" customHeight="1" x14ac:dyDescent="0.2">
      <c r="A12" s="258" t="s">
        <v>12</v>
      </c>
      <c r="B12" s="258"/>
      <c r="C12" s="258"/>
      <c r="D12" s="258"/>
      <c r="E12" s="258"/>
      <c r="F12" s="258"/>
      <c r="H12" s="259" t="s">
        <v>12</v>
      </c>
      <c r="I12" s="259"/>
      <c r="J12" s="259"/>
      <c r="K12" s="259"/>
      <c r="L12" s="259"/>
      <c r="M12" s="259"/>
    </row>
    <row r="13" spans="1:13" ht="13.5" customHeight="1" x14ac:dyDescent="0.2">
      <c r="A13" s="7" t="s">
        <v>13</v>
      </c>
      <c r="B13" s="8">
        <f>'HUBS Projection'!B68</f>
        <v>1703.5404576368126</v>
      </c>
      <c r="H13" s="7" t="s">
        <v>13</v>
      </c>
      <c r="I13" s="9">
        <f>'CRM Projection'!B68</f>
        <v>56982.578102359934</v>
      </c>
    </row>
    <row r="14" spans="1:13" ht="13.5" customHeight="1" x14ac:dyDescent="0.2">
      <c r="A14" s="10" t="s">
        <v>14</v>
      </c>
      <c r="B14" s="8">
        <f>'HUBS Projection'!B69</f>
        <v>9365.6460829763619</v>
      </c>
      <c r="H14" s="7" t="s">
        <v>14</v>
      </c>
      <c r="I14" s="9">
        <f>'CRM Projection'!B69</f>
        <v>260238.39210943712</v>
      </c>
    </row>
    <row r="15" spans="1:13" ht="13.5" customHeight="1" x14ac:dyDescent="0.2">
      <c r="A15" s="7" t="s">
        <v>15</v>
      </c>
      <c r="B15" s="8">
        <f>'HUBS Projection'!B70</f>
        <v>5113.3472155666004</v>
      </c>
      <c r="H15" s="7" t="s">
        <v>15</v>
      </c>
      <c r="I15" s="9">
        <f>'CRM Projection'!B70</f>
        <v>152872.07774302128</v>
      </c>
    </row>
    <row r="16" spans="1:13" ht="13.5" customHeight="1" x14ac:dyDescent="0.2">
      <c r="A16" s="11" t="s">
        <v>16</v>
      </c>
      <c r="B16" s="12">
        <f>'HUBS Projection'!B71</f>
        <v>6816.8876732034132</v>
      </c>
      <c r="C16" s="13"/>
      <c r="D16" s="13"/>
      <c r="E16" s="13"/>
      <c r="F16" s="13"/>
      <c r="H16" s="11" t="s">
        <v>16</v>
      </c>
      <c r="I16" s="14">
        <f>'CRM Projection'!B71</f>
        <v>209854.6558453812</v>
      </c>
      <c r="J16" s="13"/>
      <c r="K16" s="13"/>
      <c r="L16" s="13"/>
      <c r="M16" s="13"/>
    </row>
    <row r="18" spans="1:13" ht="6" customHeight="1" x14ac:dyDescent="0.2"/>
    <row r="19" spans="1:13" ht="18" customHeight="1" x14ac:dyDescent="0.2">
      <c r="A19" s="260" t="s">
        <v>17</v>
      </c>
      <c r="B19" s="260"/>
      <c r="C19" s="260"/>
    </row>
    <row r="20" spans="1:13" ht="15" customHeight="1" x14ac:dyDescent="0.2">
      <c r="A20" s="15" t="s">
        <v>18</v>
      </c>
      <c r="B20" s="16" t="s">
        <v>19</v>
      </c>
      <c r="C20" s="17" t="s">
        <v>20</v>
      </c>
    </row>
    <row r="21" spans="1:13" ht="13.5" customHeight="1" x14ac:dyDescent="0.2">
      <c r="A21" s="18" t="s">
        <v>21</v>
      </c>
      <c r="B21" s="19">
        <f>'HUBS Projection'!B55</f>
        <v>0.12866872653759756</v>
      </c>
      <c r="C21" s="19">
        <f>'CRM Projection'!B55</f>
        <v>0.11226594347191586</v>
      </c>
    </row>
    <row r="22" spans="1:13" ht="13.5" customHeight="1" x14ac:dyDescent="0.2">
      <c r="A22" s="18" t="s">
        <v>22</v>
      </c>
      <c r="B22" s="20">
        <f>'HUBS Projection'!B29</f>
        <v>1.4171698554938394</v>
      </c>
      <c r="C22" s="20">
        <f>'CRM Projection'!B29</f>
        <v>1.2317361621900547</v>
      </c>
    </row>
    <row r="23" spans="1:13" ht="13.5" customHeight="1" x14ac:dyDescent="0.2">
      <c r="A23" s="18" t="s">
        <v>23</v>
      </c>
      <c r="B23" s="19">
        <f>'HUBS Projection'!B31</f>
        <v>4.3900000000000002E-2</v>
      </c>
      <c r="C23" s="19">
        <f>'CRM Projection'!B31</f>
        <v>4.3900000000000002E-2</v>
      </c>
    </row>
    <row r="24" spans="1:13" ht="13.5" customHeight="1" x14ac:dyDescent="0.2">
      <c r="A24" s="18" t="s">
        <v>24</v>
      </c>
      <c r="B24" s="19">
        <f>'HUBS Projection'!B30</f>
        <v>0.06</v>
      </c>
      <c r="C24" s="19">
        <f>'CRM Projection'!B30</f>
        <v>0.06</v>
      </c>
    </row>
    <row r="25" spans="1:13" ht="13.5" customHeight="1" x14ac:dyDescent="0.2">
      <c r="A25" s="18" t="s">
        <v>25</v>
      </c>
      <c r="B25" s="19">
        <f>'HUBS Projection'!B32</f>
        <v>0.12893019132963038</v>
      </c>
      <c r="C25" s="19">
        <f>'CRM Projection'!B32</f>
        <v>0.11780416973140329</v>
      </c>
    </row>
    <row r="26" spans="1:13" ht="13.5" customHeight="1" x14ac:dyDescent="0.2">
      <c r="A26" s="18" t="s">
        <v>26</v>
      </c>
      <c r="B26" s="19">
        <f>'HUBS Projection'!B45</f>
        <v>3.7650000000000003E-2</v>
      </c>
      <c r="C26" s="19">
        <f>'CRM Projection'!B45</f>
        <v>4.4556000000000005E-2</v>
      </c>
    </row>
    <row r="27" spans="1:13" ht="13.5" customHeight="1" x14ac:dyDescent="0.2">
      <c r="A27" s="18" t="s">
        <v>27</v>
      </c>
      <c r="B27" s="19">
        <f>'HUBS Projection'!B39</f>
        <v>0.25</v>
      </c>
      <c r="C27" s="19">
        <f>'CRM Projection'!B39</f>
        <v>0.21</v>
      </c>
    </row>
    <row r="28" spans="1:13" ht="13.5" customHeight="1" x14ac:dyDescent="0.2">
      <c r="A28" s="18" t="s">
        <v>28</v>
      </c>
      <c r="B28" s="19">
        <f>'HUBS Projection'!G24</f>
        <v>3.5000000000000003E-2</v>
      </c>
      <c r="C28" s="19">
        <f>'CRM Projection'!G24</f>
        <v>3.5000000000000003E-2</v>
      </c>
    </row>
    <row r="30" spans="1:13" ht="6" customHeight="1" x14ac:dyDescent="0.2"/>
    <row r="31" spans="1:13" ht="18" customHeight="1" x14ac:dyDescent="0.2">
      <c r="A31" s="219" t="s">
        <v>29</v>
      </c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</row>
    <row r="32" spans="1:13" ht="23.25" customHeight="1" x14ac:dyDescent="0.2">
      <c r="A32" s="21" t="s">
        <v>30</v>
      </c>
      <c r="B32" s="22" t="s">
        <v>31</v>
      </c>
      <c r="C32" s="22" t="s">
        <v>32</v>
      </c>
      <c r="D32" s="22" t="s">
        <v>33</v>
      </c>
      <c r="E32" s="22" t="s">
        <v>34</v>
      </c>
      <c r="F32" s="22" t="s">
        <v>35</v>
      </c>
    </row>
    <row r="33" spans="1:13" ht="13.5" customHeight="1" x14ac:dyDescent="0.2">
      <c r="A33" s="18" t="s">
        <v>36</v>
      </c>
      <c r="B33" s="6">
        <f>'HUBS Projection'!D78</f>
        <v>5847.9741517379025</v>
      </c>
      <c r="C33" s="6">
        <f>$B$16</f>
        <v>6816.8876732034132</v>
      </c>
      <c r="D33" s="6">
        <f>'HUBS Projection'!F76</f>
        <v>8148.9156907977067</v>
      </c>
      <c r="E33" s="6">
        <f>B16/'HUBS Projection'!B59</f>
        <v>1.844961124673548</v>
      </c>
      <c r="F33" s="6">
        <f>B16/'HUBS Projection'!B59</f>
        <v>1.844961124673548</v>
      </c>
    </row>
    <row r="34" spans="1:13" ht="13.5" customHeight="1" x14ac:dyDescent="0.2">
      <c r="A34" s="18" t="s">
        <v>37</v>
      </c>
      <c r="B34" s="6">
        <f>'Trading Comps'!F21</f>
        <v>12550.181040726287</v>
      </c>
      <c r="C34" s="6">
        <f>'Trading Comps'!G21</f>
        <v>14819.436075931006</v>
      </c>
      <c r="D34" s="6">
        <f>'Trading Comps'!H21</f>
        <v>18600.648659845199</v>
      </c>
      <c r="E34" s="6">
        <f>'Trading Comps'!C18</f>
        <v>4.2069360000000007</v>
      </c>
      <c r="F34" s="6">
        <f>'Trading Comps'!E18</f>
        <v>5.0341849999999999</v>
      </c>
    </row>
    <row r="35" spans="1:13" ht="13.5" customHeight="1" x14ac:dyDescent="0.2">
      <c r="A35" s="23" t="s">
        <v>38</v>
      </c>
      <c r="B35" s="24">
        <f>'Transaction Comps'!G17</f>
        <v>21605.583600000002</v>
      </c>
      <c r="C35" s="24">
        <f>'Transaction Comps'!H17</f>
        <v>28669.670064000005</v>
      </c>
      <c r="D35" s="24">
        <f>'Transaction Comps'!I17</f>
        <v>32514.837696000002</v>
      </c>
      <c r="E35" s="25"/>
      <c r="F35" s="25"/>
    </row>
    <row r="36" spans="1:13" ht="13.5" customHeight="1" x14ac:dyDescent="0.2">
      <c r="A36" s="26" t="s">
        <v>538</v>
      </c>
      <c r="B36" s="27">
        <f>AVERAGE(B33:B35)</f>
        <v>13334.579597488066</v>
      </c>
      <c r="C36" s="27">
        <f>AVERAGE(C33:C35)</f>
        <v>16768.66460437814</v>
      </c>
      <c r="D36" s="27">
        <f>AVERAGE(D33:D35)</f>
        <v>19754.800682214303</v>
      </c>
      <c r="E36" s="25"/>
      <c r="F36" s="25"/>
    </row>
    <row r="38" spans="1:13" ht="6" customHeight="1" x14ac:dyDescent="0.2"/>
    <row r="39" spans="1:13" ht="15" customHeight="1" x14ac:dyDescent="0.2">
      <c r="A39" s="257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</row>
  </sheetData>
  <mergeCells count="6">
    <mergeCell ref="A39:M39"/>
    <mergeCell ref="A2:F2"/>
    <mergeCell ref="H2:M2"/>
    <mergeCell ref="A12:F12"/>
    <mergeCell ref="H12:M12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8"/>
  <sheetViews>
    <sheetView zoomScaleNormal="100" workbookViewId="0">
      <selection activeCell="E21" sqref="E21"/>
    </sheetView>
  </sheetViews>
  <sheetFormatPr defaultColWidth="8.7109375" defaultRowHeight="12.75" x14ac:dyDescent="0.2"/>
  <cols>
    <col min="1" max="1" width="44.85546875" bestFit="1" customWidth="1"/>
    <col min="2" max="2" width="14" customWidth="1"/>
    <col min="3" max="3" width="15.28515625" customWidth="1"/>
    <col min="4" max="6" width="14" customWidth="1"/>
    <col min="7" max="7" width="11.42578125" customWidth="1"/>
  </cols>
  <sheetData>
    <row r="2" spans="1:6" x14ac:dyDescent="0.2">
      <c r="A2" t="s">
        <v>39</v>
      </c>
      <c r="B2" s="28">
        <f>Assumptions!B34</f>
        <v>17000</v>
      </c>
    </row>
    <row r="3" spans="1:6" x14ac:dyDescent="0.2">
      <c r="A3" t="s">
        <v>40</v>
      </c>
      <c r="B3" s="29">
        <f>Assumptions!B35</f>
        <v>0.45</v>
      </c>
      <c r="C3" s="28" t="s">
        <v>41</v>
      </c>
      <c r="D3" s="28"/>
      <c r="E3" s="28"/>
      <c r="F3" s="28"/>
    </row>
    <row r="4" spans="1:6" x14ac:dyDescent="0.2">
      <c r="A4" t="s">
        <v>42</v>
      </c>
      <c r="B4" s="6">
        <f>Assumptions!B36</f>
        <v>2066.2440000000001</v>
      </c>
      <c r="C4" s="28"/>
      <c r="D4" s="28"/>
      <c r="E4" s="28"/>
      <c r="F4" s="28"/>
    </row>
    <row r="5" spans="1:6" x14ac:dyDescent="0.2">
      <c r="A5" t="s">
        <v>545</v>
      </c>
      <c r="B5" s="30">
        <f>Assumptions!B38</f>
        <v>0.35</v>
      </c>
      <c r="C5" s="28"/>
      <c r="D5" s="28"/>
      <c r="E5" s="28"/>
      <c r="F5" s="28"/>
    </row>
    <row r="6" spans="1:6" x14ac:dyDescent="0.2">
      <c r="A6" t="s">
        <v>43</v>
      </c>
      <c r="B6" s="31">
        <f>Assumptions!B39</f>
        <v>7</v>
      </c>
      <c r="C6" s="28"/>
      <c r="D6" s="28"/>
      <c r="E6" s="28"/>
      <c r="F6" s="28"/>
    </row>
    <row r="7" spans="1:6" x14ac:dyDescent="0.2">
      <c r="A7" t="s">
        <v>44</v>
      </c>
      <c r="B7" s="6">
        <f>'CRM-US-BS'!K11*1000</f>
        <v>9565</v>
      </c>
      <c r="C7" s="28"/>
      <c r="D7" s="28"/>
      <c r="E7" s="28"/>
      <c r="F7" s="28"/>
    </row>
    <row r="8" spans="1:6" x14ac:dyDescent="0.2">
      <c r="A8" t="s">
        <v>45</v>
      </c>
      <c r="B8" s="6">
        <v>3000</v>
      </c>
      <c r="C8" s="28"/>
      <c r="D8" s="28"/>
      <c r="E8" s="28"/>
      <c r="F8" s="28"/>
    </row>
    <row r="9" spans="1:6" x14ac:dyDescent="0.2">
      <c r="A9" t="s">
        <v>46</v>
      </c>
      <c r="B9" s="6">
        <f>'CRM Projection'!B47</f>
        <v>956</v>
      </c>
      <c r="C9" s="28"/>
      <c r="D9" s="28"/>
      <c r="E9" s="28"/>
      <c r="F9" s="28"/>
    </row>
    <row r="10" spans="1:6" x14ac:dyDescent="0.2">
      <c r="A10" t="s">
        <v>47</v>
      </c>
      <c r="B10" s="32">
        <f>'CRM Projection'!B44</f>
        <v>5.6400000000000006E-2</v>
      </c>
      <c r="C10" s="28"/>
      <c r="D10" s="28"/>
      <c r="E10" s="28"/>
      <c r="F10" s="28"/>
    </row>
    <row r="11" spans="1:6" x14ac:dyDescent="0.2">
      <c r="A11" t="s">
        <v>27</v>
      </c>
      <c r="B11" s="32">
        <f>'CRM Projection'!B39</f>
        <v>0.21</v>
      </c>
      <c r="C11" s="28"/>
      <c r="D11" s="28"/>
      <c r="E11" s="28"/>
      <c r="F11" s="28"/>
    </row>
    <row r="12" spans="1:6" ht="12.75" customHeight="1" x14ac:dyDescent="0.2">
      <c r="B12" s="32"/>
      <c r="C12" s="28"/>
      <c r="D12" s="28"/>
      <c r="E12" s="28"/>
      <c r="F12" s="28"/>
    </row>
    <row r="13" spans="1:6" ht="12.75" customHeight="1" x14ac:dyDescent="0.2">
      <c r="A13" s="220"/>
      <c r="B13" s="221">
        <v>2026</v>
      </c>
      <c r="C13" s="221">
        <v>2027</v>
      </c>
      <c r="D13" s="221">
        <v>2028</v>
      </c>
      <c r="E13" s="221">
        <v>2029</v>
      </c>
      <c r="F13" s="222">
        <v>2030</v>
      </c>
    </row>
    <row r="14" spans="1:6" x14ac:dyDescent="0.2">
      <c r="A14" s="33" t="s">
        <v>48</v>
      </c>
      <c r="B14" s="6">
        <v>50</v>
      </c>
      <c r="C14" s="6">
        <v>130</v>
      </c>
      <c r="D14" s="6">
        <v>200</v>
      </c>
      <c r="E14" s="6">
        <v>200</v>
      </c>
      <c r="F14" s="34">
        <v>200</v>
      </c>
    </row>
    <row r="15" spans="1:6" ht="12.75" customHeight="1" x14ac:dyDescent="0.2">
      <c r="A15" s="35" t="s">
        <v>49</v>
      </c>
      <c r="B15" s="36">
        <v>62.5</v>
      </c>
      <c r="C15" s="36">
        <v>162.5</v>
      </c>
      <c r="D15" s="36">
        <v>250</v>
      </c>
      <c r="E15" s="36">
        <v>250</v>
      </c>
      <c r="F15" s="37">
        <v>250</v>
      </c>
    </row>
    <row r="16" spans="1:6" ht="12.75" customHeight="1" x14ac:dyDescent="0.2">
      <c r="B16" s="32"/>
      <c r="C16" s="28"/>
      <c r="D16" s="28"/>
      <c r="E16" s="28"/>
      <c r="F16" s="28"/>
    </row>
    <row r="17" spans="1:8" ht="12.75" customHeight="1" x14ac:dyDescent="0.2">
      <c r="A17" s="224"/>
      <c r="B17" s="225" t="s">
        <v>50</v>
      </c>
      <c r="C17" s="225" t="s">
        <v>51</v>
      </c>
      <c r="D17" s="226" t="s">
        <v>52</v>
      </c>
      <c r="E17" s="28"/>
      <c r="F17" s="28"/>
    </row>
    <row r="18" spans="1:8" ht="12.75" customHeight="1" x14ac:dyDescent="0.2">
      <c r="A18" s="227"/>
      <c r="B18" s="228" t="s">
        <v>53</v>
      </c>
      <c r="C18" s="228" t="s">
        <v>54</v>
      </c>
      <c r="D18" s="229" t="s">
        <v>55</v>
      </c>
      <c r="E18" s="28"/>
      <c r="F18" s="28"/>
    </row>
    <row r="19" spans="1:8" x14ac:dyDescent="0.2">
      <c r="A19" s="33" t="s">
        <v>56</v>
      </c>
      <c r="B19" s="6">
        <f>$B$7</f>
        <v>9565</v>
      </c>
      <c r="C19" s="6">
        <f>$B$7</f>
        <v>9565</v>
      </c>
      <c r="D19" s="34">
        <f>$B$7</f>
        <v>9565</v>
      </c>
      <c r="E19" s="28"/>
      <c r="F19" s="28"/>
    </row>
    <row r="20" spans="1:8" x14ac:dyDescent="0.2">
      <c r="A20" s="40" t="s">
        <v>57</v>
      </c>
      <c r="B20" s="41">
        <f>$B$8</f>
        <v>3000</v>
      </c>
      <c r="C20" s="41">
        <f>$B$8</f>
        <v>3000</v>
      </c>
      <c r="D20" s="42">
        <v>0</v>
      </c>
      <c r="E20" s="28"/>
      <c r="F20" s="28"/>
    </row>
    <row r="21" spans="1:8" x14ac:dyDescent="0.2">
      <c r="A21" s="33" t="s">
        <v>58</v>
      </c>
      <c r="B21" s="6">
        <f>B19-B20</f>
        <v>6565</v>
      </c>
      <c r="C21" s="6">
        <f>C19-C20</f>
        <v>6565</v>
      </c>
      <c r="D21" s="34">
        <v>0</v>
      </c>
      <c r="E21" s="28"/>
      <c r="F21" s="28"/>
    </row>
    <row r="22" spans="1:8" x14ac:dyDescent="0.2">
      <c r="A22" s="40" t="s">
        <v>59</v>
      </c>
      <c r="B22" s="41">
        <v>0</v>
      </c>
      <c r="C22" s="41">
        <f>B28/2</f>
        <v>8500</v>
      </c>
      <c r="D22" s="42">
        <f>B28</f>
        <v>17000</v>
      </c>
      <c r="E22" s="28"/>
      <c r="F22" s="28"/>
    </row>
    <row r="23" spans="1:8" x14ac:dyDescent="0.2">
      <c r="A23" s="33" t="s">
        <v>60</v>
      </c>
      <c r="B23" s="6">
        <f>B2-B21</f>
        <v>10435</v>
      </c>
      <c r="C23" s="6">
        <f>B2-C21-C22</f>
        <v>1935</v>
      </c>
      <c r="D23" s="34">
        <v>0</v>
      </c>
      <c r="E23" s="28"/>
      <c r="F23" s="28"/>
    </row>
    <row r="24" spans="1:8" x14ac:dyDescent="0.2">
      <c r="A24" s="33" t="s">
        <v>61</v>
      </c>
      <c r="B24" s="6">
        <v>0</v>
      </c>
      <c r="C24" s="6">
        <f>C22/Beta!B4</f>
        <v>43.549544010656831</v>
      </c>
      <c r="D24" s="34">
        <f>D22/Beta!B4</f>
        <v>87.099088021313662</v>
      </c>
      <c r="E24" s="28"/>
      <c r="F24" s="28"/>
    </row>
    <row r="25" spans="1:8" x14ac:dyDescent="0.2">
      <c r="A25" s="33" t="s">
        <v>62</v>
      </c>
      <c r="B25" s="6">
        <f>B24+$B$9</f>
        <v>956</v>
      </c>
      <c r="C25" s="6">
        <f>C24+$B$9</f>
        <v>999.54954401065686</v>
      </c>
      <c r="D25" s="34">
        <f>D24+$B$9</f>
        <v>1043.0990880213137</v>
      </c>
      <c r="E25" s="28"/>
      <c r="F25" s="28"/>
    </row>
    <row r="26" spans="1:8" ht="12.75" customHeight="1" x14ac:dyDescent="0.2">
      <c r="A26" s="35" t="s">
        <v>63</v>
      </c>
      <c r="B26" s="36">
        <f>B23*$B$10</f>
        <v>588.53400000000011</v>
      </c>
      <c r="C26" s="36">
        <f>C23*$B$10</f>
        <v>109.13400000000001</v>
      </c>
      <c r="D26" s="37">
        <f>D23*$B$10</f>
        <v>0</v>
      </c>
      <c r="E26" s="28"/>
      <c r="F26" s="28"/>
    </row>
    <row r="27" spans="1:8" x14ac:dyDescent="0.2">
      <c r="B27" s="32"/>
      <c r="C27" s="28"/>
      <c r="D27" s="28"/>
      <c r="E27" s="28"/>
      <c r="F27" s="28"/>
    </row>
    <row r="28" spans="1:8" x14ac:dyDescent="0.2">
      <c r="A28" t="s">
        <v>39</v>
      </c>
      <c r="B28" s="6">
        <f>B2</f>
        <v>17000</v>
      </c>
      <c r="C28" s="6"/>
      <c r="D28" s="6"/>
      <c r="E28" s="6"/>
      <c r="F28" s="6"/>
    </row>
    <row r="29" spans="1:8" x14ac:dyDescent="0.2">
      <c r="A29" s="43" t="s">
        <v>42</v>
      </c>
      <c r="B29" s="41">
        <f>B4</f>
        <v>2066.2440000000001</v>
      </c>
      <c r="C29" s="6"/>
      <c r="D29" s="6"/>
      <c r="E29" s="6"/>
      <c r="F29" s="6"/>
    </row>
    <row r="30" spans="1:8" x14ac:dyDescent="0.2">
      <c r="A30" t="s">
        <v>64</v>
      </c>
      <c r="B30" s="6">
        <f>B28-B29</f>
        <v>14933.755999999999</v>
      </c>
      <c r="C30" s="6"/>
      <c r="D30" s="6"/>
      <c r="E30" s="6"/>
      <c r="F30" s="6"/>
    </row>
    <row r="31" spans="1:8" x14ac:dyDescent="0.2">
      <c r="A31" s="43" t="s">
        <v>65</v>
      </c>
      <c r="B31" s="41">
        <f>B30*B5</f>
        <v>5226.8145999999997</v>
      </c>
      <c r="C31" s="6" t="s">
        <v>536</v>
      </c>
      <c r="D31" s="6"/>
      <c r="E31" s="6"/>
      <c r="F31" s="6"/>
    </row>
    <row r="32" spans="1:8" x14ac:dyDescent="0.2">
      <c r="A32" t="s">
        <v>66</v>
      </c>
      <c r="B32" s="6">
        <f>B31/B6</f>
        <v>746.68779999999992</v>
      </c>
      <c r="C32" s="6" t="s">
        <v>67</v>
      </c>
      <c r="D32" s="6"/>
      <c r="E32" s="6"/>
      <c r="F32" s="6"/>
      <c r="H32" t="s">
        <v>68</v>
      </c>
    </row>
    <row r="33" spans="1:6" ht="12.75" customHeight="1" x14ac:dyDescent="0.2"/>
    <row r="34" spans="1:6" ht="12.75" customHeight="1" x14ac:dyDescent="0.2">
      <c r="A34" s="220"/>
      <c r="B34" s="221">
        <v>2026</v>
      </c>
      <c r="C34" s="221">
        <v>2027</v>
      </c>
      <c r="D34" s="221">
        <v>2028</v>
      </c>
      <c r="E34" s="221">
        <v>2029</v>
      </c>
      <c r="F34" s="222">
        <v>2030</v>
      </c>
    </row>
    <row r="35" spans="1:6" x14ac:dyDescent="0.2">
      <c r="A35" s="33" t="s">
        <v>69</v>
      </c>
      <c r="B35" s="6">
        <f>B14+'HUBS Projection'!B59+'CRM Projection'!B59</f>
        <v>49214.742919999997</v>
      </c>
      <c r="C35" s="6">
        <f>C14+'HUBS Projection'!C59+'CRM Projection'!C59</f>
        <v>54660.258662200002</v>
      </c>
      <c r="D35" s="6">
        <f>D14+'HUBS Projection'!D59+'CRM Projection'!D59</f>
        <v>60900.028986530007</v>
      </c>
      <c r="E35" s="6">
        <f>E14+'HUBS Projection'!E59+'CRM Projection'!E59</f>
        <v>67167.190037394219</v>
      </c>
      <c r="F35" s="34">
        <f>F14+'HUBS Projection'!F59+'CRM Projection'!F59</f>
        <v>73418.997434280463</v>
      </c>
    </row>
    <row r="36" spans="1:6" x14ac:dyDescent="0.2">
      <c r="A36" s="33" t="s">
        <v>70</v>
      </c>
      <c r="B36" s="6">
        <f>'CRM Projection'!B60</f>
        <v>10230.721875000001</v>
      </c>
      <c r="C36" s="6">
        <f>'CRM Projection'!C60</f>
        <v>11807.389790625</v>
      </c>
      <c r="D36" s="6">
        <f>'CRM Projection'!D60</f>
        <v>13663.913419406252</v>
      </c>
      <c r="E36" s="6">
        <f>'CRM Projection'!E60</f>
        <v>15337.045674843754</v>
      </c>
      <c r="F36" s="34">
        <f>'CRM Projection'!F60</f>
        <v>17051.727381291286</v>
      </c>
    </row>
    <row r="37" spans="1:6" x14ac:dyDescent="0.2">
      <c r="A37" s="33" t="s">
        <v>71</v>
      </c>
      <c r="B37" s="6">
        <f>'HUBS Projection'!B60</f>
        <v>184.74339600000002</v>
      </c>
      <c r="C37" s="6">
        <f>'HUBS Projection'!C60</f>
        <v>342.88374297600001</v>
      </c>
      <c r="D37" s="6">
        <f>'HUBS Projection'!D60</f>
        <v>542.18491858079994</v>
      </c>
      <c r="E37" s="6">
        <f>'HUBS Projection'!E60</f>
        <v>730.47095394249607</v>
      </c>
      <c r="F37" s="34">
        <f>'HUBS Projection'!F60</f>
        <v>952.42174379425444</v>
      </c>
    </row>
    <row r="38" spans="1:6" x14ac:dyDescent="0.2">
      <c r="A38" s="33" t="s">
        <v>72</v>
      </c>
      <c r="B38" s="6">
        <f>B14*$B$3</f>
        <v>22.5</v>
      </c>
      <c r="C38" s="6">
        <f>C14*$B$3</f>
        <v>58.5</v>
      </c>
      <c r="D38" s="6">
        <f>D14*$B$3</f>
        <v>90</v>
      </c>
      <c r="E38" s="6">
        <f>E14*$B$3</f>
        <v>90</v>
      </c>
      <c r="F38" s="34">
        <f>F14*$B$3</f>
        <v>90</v>
      </c>
    </row>
    <row r="39" spans="1:6" x14ac:dyDescent="0.2">
      <c r="A39" s="33" t="s">
        <v>49</v>
      </c>
      <c r="B39" s="6">
        <f>B15</f>
        <v>62.5</v>
      </c>
      <c r="C39" s="6">
        <f>C15</f>
        <v>162.5</v>
      </c>
      <c r="D39" s="6">
        <f>D15</f>
        <v>250</v>
      </c>
      <c r="E39" s="6">
        <f>E15</f>
        <v>250</v>
      </c>
      <c r="F39" s="34">
        <f>F15</f>
        <v>250</v>
      </c>
    </row>
    <row r="40" spans="1:6" ht="12.75" customHeight="1" x14ac:dyDescent="0.2">
      <c r="A40" s="44" t="s">
        <v>73</v>
      </c>
      <c r="B40" s="24">
        <f>-$B$32</f>
        <v>-746.68779999999992</v>
      </c>
      <c r="C40" s="24">
        <f>-$B$32</f>
        <v>-746.68779999999992</v>
      </c>
      <c r="D40" s="24">
        <f>-$B$32</f>
        <v>-746.68779999999992</v>
      </c>
      <c r="E40" s="24">
        <f>-$B$32</f>
        <v>-746.68779999999992</v>
      </c>
      <c r="F40" s="45">
        <f>-$B$32</f>
        <v>-746.68779999999992</v>
      </c>
    </row>
    <row r="41" spans="1:6" ht="12.75" customHeight="1" x14ac:dyDescent="0.2">
      <c r="A41" s="33" t="s">
        <v>74</v>
      </c>
      <c r="B41" s="6">
        <f>SUM(B36:B40)</f>
        <v>9753.7774710000012</v>
      </c>
      <c r="C41" s="6">
        <f>SUM(C36:C40)</f>
        <v>11624.585733601001</v>
      </c>
      <c r="D41" s="6">
        <f>SUM(D36:D40)</f>
        <v>13799.410537987053</v>
      </c>
      <c r="E41" s="6">
        <f>SUM(E36:E40)</f>
        <v>15660.828828786252</v>
      </c>
      <c r="F41" s="34">
        <f>SUM(F36:F40)</f>
        <v>17597.46132508554</v>
      </c>
    </row>
    <row r="42" spans="1:6" ht="12.75" customHeight="1" x14ac:dyDescent="0.2">
      <c r="A42" s="44" t="s">
        <v>75</v>
      </c>
      <c r="B42" s="24">
        <f>'CRM Projection'!B62+'HUBS Projection'!B62+$B$32</f>
        <v>4763.69700648261</v>
      </c>
      <c r="C42" s="24">
        <f>'CRM Projection'!C62+'HUBS Projection'!C62+$B$32</f>
        <v>5093.3583901448274</v>
      </c>
      <c r="D42" s="24">
        <f>'CRM Projection'!D62+'HUBS Projection'!D62+$B$32</f>
        <v>5522.777120060302</v>
      </c>
      <c r="E42" s="24">
        <f>'CRM Projection'!E62+'HUBS Projection'!E62+$B$32</f>
        <v>5947.15231557487</v>
      </c>
      <c r="F42" s="45">
        <f>'CRM Projection'!F62+'HUBS Projection'!F62+$B$32</f>
        <v>6357.575071511309</v>
      </c>
    </row>
    <row r="43" spans="1:6" ht="13.5" customHeight="1" x14ac:dyDescent="0.2">
      <c r="A43" s="35" t="s">
        <v>76</v>
      </c>
      <c r="B43" s="36">
        <f>SUM(B41:B42)</f>
        <v>14517.47447748261</v>
      </c>
      <c r="C43" s="36">
        <f>SUM(C41:C42)</f>
        <v>16717.94412374583</v>
      </c>
      <c r="D43" s="36">
        <f>SUM(D41:D42)</f>
        <v>19322.187658047354</v>
      </c>
      <c r="E43" s="36">
        <f>SUM(E41:E42)</f>
        <v>21607.981144361122</v>
      </c>
      <c r="F43" s="37">
        <f>SUM(F41:F42)</f>
        <v>23955.03639659685</v>
      </c>
    </row>
    <row r="44" spans="1:6" ht="12.75" customHeight="1" x14ac:dyDescent="0.2"/>
    <row r="45" spans="1:6" ht="12.75" customHeight="1" x14ac:dyDescent="0.2">
      <c r="A45" s="223" t="s">
        <v>50</v>
      </c>
      <c r="B45" s="221">
        <v>2026</v>
      </c>
      <c r="C45" s="221">
        <v>2027</v>
      </c>
      <c r="D45" s="221">
        <v>2028</v>
      </c>
      <c r="E45" s="221">
        <v>2029</v>
      </c>
      <c r="F45" s="222">
        <v>2030</v>
      </c>
    </row>
    <row r="46" spans="1:6" x14ac:dyDescent="0.2">
      <c r="A46" s="33" t="s">
        <v>77</v>
      </c>
      <c r="B46" s="28">
        <f>B41</f>
        <v>9753.7774710000012</v>
      </c>
      <c r="C46" s="28">
        <f>C41</f>
        <v>11624.585733601001</v>
      </c>
      <c r="D46" s="28">
        <f>D41</f>
        <v>13799.410537987053</v>
      </c>
      <c r="E46" s="28">
        <f>E41</f>
        <v>15660.828828786252</v>
      </c>
      <c r="F46" s="46">
        <f>F41</f>
        <v>17597.46132508554</v>
      </c>
    </row>
    <row r="47" spans="1:6" x14ac:dyDescent="0.2">
      <c r="A47" s="40" t="s">
        <v>63</v>
      </c>
      <c r="B47" s="47">
        <f>B107</f>
        <v>912.53400000000011</v>
      </c>
      <c r="C47" s="47">
        <f t="shared" ref="C47:F47" si="0">C107</f>
        <v>353.48480222978759</v>
      </c>
      <c r="D47" s="47">
        <f t="shared" si="0"/>
        <v>324</v>
      </c>
      <c r="E47" s="47">
        <f t="shared" si="0"/>
        <v>324</v>
      </c>
      <c r="F47" s="48">
        <f t="shared" si="0"/>
        <v>324</v>
      </c>
    </row>
    <row r="48" spans="1:6" x14ac:dyDescent="0.2">
      <c r="A48" s="33" t="s">
        <v>78</v>
      </c>
      <c r="B48" s="28">
        <f>B46-B47</f>
        <v>8841.2434710000016</v>
      </c>
      <c r="C48" s="28">
        <f>C46-C47</f>
        <v>11271.100931371213</v>
      </c>
      <c r="D48" s="28">
        <f>D46-D47</f>
        <v>13475.410537987053</v>
      </c>
      <c r="E48" s="28">
        <f>E46-E47</f>
        <v>15336.828828786252</v>
      </c>
      <c r="F48" s="46">
        <f>F46-F47</f>
        <v>17273.46132508554</v>
      </c>
    </row>
    <row r="49" spans="1:6" x14ac:dyDescent="0.2">
      <c r="A49" s="40" t="s">
        <v>79</v>
      </c>
      <c r="B49" s="47">
        <f>B48*(1-$B$11)</f>
        <v>6984.5823420900015</v>
      </c>
      <c r="C49" s="47">
        <f>C48*(1-$B$11)</f>
        <v>8904.1697357832581</v>
      </c>
      <c r="D49" s="47">
        <f>D48*(1-$B$11)</f>
        <v>10645.574325009771</v>
      </c>
      <c r="E49" s="47">
        <f>E48*(1-$B$11)</f>
        <v>12116.094774741139</v>
      </c>
      <c r="F49" s="48">
        <f>F48*(1-$B$11)</f>
        <v>13646.034446817577</v>
      </c>
    </row>
    <row r="50" spans="1:6" x14ac:dyDescent="0.2">
      <c r="A50" s="33" t="s">
        <v>80</v>
      </c>
      <c r="B50" s="6">
        <f>B49/$B$25</f>
        <v>7.3060484749895416</v>
      </c>
      <c r="C50" s="6">
        <f>C49/$B$25</f>
        <v>9.3139850792711911</v>
      </c>
      <c r="D50" s="6">
        <f>D49/$B$25</f>
        <v>11.135537996872145</v>
      </c>
      <c r="E50" s="6">
        <f>E49/$B$25</f>
        <v>12.673739304122531</v>
      </c>
      <c r="F50" s="34">
        <f>F49/$B$25</f>
        <v>14.274094609641818</v>
      </c>
    </row>
    <row r="51" spans="1:6" x14ac:dyDescent="0.2">
      <c r="A51" s="40" t="s">
        <v>81</v>
      </c>
      <c r="B51" s="41">
        <f>('CRM Projection'!B60-$B$78)*(1-$B$11)/$B$25</f>
        <v>8.1865170305962351</v>
      </c>
      <c r="C51" s="41">
        <f>('CRM Projection'!C60-$B$78)*(1-$B$11)/$B$25</f>
        <v>9.4894120654746352</v>
      </c>
      <c r="D51" s="41">
        <f>('CRM Projection'!D60-$B$78)*(1-$B$11)/$B$25</f>
        <v>11.023568620639058</v>
      </c>
      <c r="E51" s="41">
        <f>('CRM Projection'!E60-$B$78)*(1-$B$11)/$B$25</f>
        <v>12.406177911220258</v>
      </c>
      <c r="F51" s="42">
        <f>('CRM Projection'!F60-$B$78)*(1-$B$11)/$B$25</f>
        <v>13.823121999184224</v>
      </c>
    </row>
    <row r="52" spans="1:6" ht="12.75" customHeight="1" x14ac:dyDescent="0.2">
      <c r="A52" s="35" t="s">
        <v>537</v>
      </c>
      <c r="B52" s="49">
        <f>B50/B51-1</f>
        <v>-0.10755105648910712</v>
      </c>
      <c r="C52" s="49">
        <f>C50/C51-1</f>
        <v>-1.8486602224989324E-2</v>
      </c>
      <c r="D52" s="49">
        <f>D50/D51-1</f>
        <v>1.0157271214645602E-2</v>
      </c>
      <c r="E52" s="49">
        <f>E50/E51-1</f>
        <v>2.1566786710376595E-2</v>
      </c>
      <c r="F52" s="50">
        <f>F50/F51-1</f>
        <v>3.2624512066391942E-2</v>
      </c>
    </row>
    <row r="53" spans="1:6" ht="12.75" customHeight="1" x14ac:dyDescent="0.2"/>
    <row r="54" spans="1:6" ht="12.75" customHeight="1" x14ac:dyDescent="0.2">
      <c r="A54" s="223" t="s">
        <v>51</v>
      </c>
      <c r="B54" s="221">
        <v>2026</v>
      </c>
      <c r="C54" s="221">
        <v>2027</v>
      </c>
      <c r="D54" s="221">
        <v>2028</v>
      </c>
      <c r="E54" s="221">
        <v>2029</v>
      </c>
      <c r="F54" s="222">
        <v>2030</v>
      </c>
    </row>
    <row r="55" spans="1:6" x14ac:dyDescent="0.2">
      <c r="A55" s="33" t="s">
        <v>77</v>
      </c>
      <c r="B55" s="28">
        <f>B41</f>
        <v>9753.7774710000012</v>
      </c>
      <c r="C55" s="28">
        <f>C41</f>
        <v>11624.585733601001</v>
      </c>
      <c r="D55" s="28">
        <f>D41</f>
        <v>13799.410537987053</v>
      </c>
      <c r="E55" s="28">
        <f>E41</f>
        <v>15660.828828786252</v>
      </c>
      <c r="F55" s="46">
        <f>F41</f>
        <v>17597.46132508554</v>
      </c>
    </row>
    <row r="56" spans="1:6" x14ac:dyDescent="0.2">
      <c r="A56" s="40" t="s">
        <v>63</v>
      </c>
      <c r="B56" s="47">
        <f>$C$26+B78</f>
        <v>433.13400000000001</v>
      </c>
      <c r="C56" s="47">
        <f>B56</f>
        <v>433.13400000000001</v>
      </c>
      <c r="D56" s="47">
        <f t="shared" ref="D56:F56" si="1">C56</f>
        <v>433.13400000000001</v>
      </c>
      <c r="E56" s="47">
        <f t="shared" si="1"/>
        <v>433.13400000000001</v>
      </c>
      <c r="F56" s="48">
        <f t="shared" si="1"/>
        <v>433.13400000000001</v>
      </c>
    </row>
    <row r="57" spans="1:6" x14ac:dyDescent="0.2">
      <c r="A57" s="33" t="s">
        <v>78</v>
      </c>
      <c r="B57" s="28">
        <f>B55-B56</f>
        <v>9320.6434710000012</v>
      </c>
      <c r="C57" s="28">
        <f>C55-C56</f>
        <v>11191.451733601001</v>
      </c>
      <c r="D57" s="28">
        <f>D55-D56</f>
        <v>13366.276537987053</v>
      </c>
      <c r="E57" s="28">
        <f>E55-E56</f>
        <v>15227.694828786252</v>
      </c>
      <c r="F57" s="46">
        <f>F55-F56</f>
        <v>17164.327325085542</v>
      </c>
    </row>
    <row r="58" spans="1:6" x14ac:dyDescent="0.2">
      <c r="A58" s="40" t="s">
        <v>79</v>
      </c>
      <c r="B58" s="47">
        <f>B57*(1-$B$11)</f>
        <v>7363.3083420900011</v>
      </c>
      <c r="C58" s="47">
        <f>C57*(1-$B$11)</f>
        <v>8841.2468695447915</v>
      </c>
      <c r="D58" s="47">
        <f>D57*(1-$B$11)</f>
        <v>10559.358465009773</v>
      </c>
      <c r="E58" s="47">
        <f>E57*(1-$B$11)</f>
        <v>12029.878914741141</v>
      </c>
      <c r="F58" s="48">
        <f>F57*(1-$B$11)</f>
        <v>13559.818586817579</v>
      </c>
    </row>
    <row r="59" spans="1:6" x14ac:dyDescent="0.2">
      <c r="A59" s="33" t="s">
        <v>80</v>
      </c>
      <c r="B59" s="6">
        <f>B58/$C$25</f>
        <v>7.3666266832007041</v>
      </c>
      <c r="C59" s="6">
        <f>C58/$C$25</f>
        <v>8.8452312569416058</v>
      </c>
      <c r="D59" s="6">
        <f>D58/$C$25</f>
        <v>10.564117134845286</v>
      </c>
      <c r="E59" s="6">
        <f>E58/$C$25</f>
        <v>12.035300287839341</v>
      </c>
      <c r="F59" s="34">
        <f>F58/$C$25</f>
        <v>13.565929440985277</v>
      </c>
    </row>
    <row r="60" spans="1:6" x14ac:dyDescent="0.2">
      <c r="A60" s="40" t="s">
        <v>81</v>
      </c>
      <c r="B60" s="41">
        <f>B51</f>
        <v>8.1865170305962351</v>
      </c>
      <c r="C60" s="41">
        <f>C51</f>
        <v>9.4894120654746352</v>
      </c>
      <c r="D60" s="41">
        <f>D51</f>
        <v>11.023568620639058</v>
      </c>
      <c r="E60" s="41">
        <f>E51</f>
        <v>12.406177911220258</v>
      </c>
      <c r="F60" s="42">
        <f>F51</f>
        <v>13.823121999184224</v>
      </c>
    </row>
    <row r="61" spans="1:6" ht="12.75" customHeight="1" x14ac:dyDescent="0.2">
      <c r="A61" s="35" t="s">
        <v>537</v>
      </c>
      <c r="B61" s="49">
        <f>B59/B60-1</f>
        <v>-0.10015130296941643</v>
      </c>
      <c r="C61" s="49">
        <f>C59/C60-1</f>
        <v>-6.7884164381137424E-2</v>
      </c>
      <c r="D61" s="49">
        <f>D59/D60-1</f>
        <v>-4.1679015353844218E-2</v>
      </c>
      <c r="E61" s="49">
        <f>E59/E60-1</f>
        <v>-2.9894591713495511E-2</v>
      </c>
      <c r="F61" s="50">
        <f>F59/F60-1</f>
        <v>-1.8605967466258644E-2</v>
      </c>
    </row>
    <row r="62" spans="1:6" ht="12.75" customHeight="1" x14ac:dyDescent="0.2"/>
    <row r="63" spans="1:6" ht="12.75" customHeight="1" x14ac:dyDescent="0.2">
      <c r="A63" s="223" t="s">
        <v>52</v>
      </c>
      <c r="B63" s="221">
        <v>2026</v>
      </c>
      <c r="C63" s="221">
        <v>2027</v>
      </c>
      <c r="D63" s="221">
        <v>2028</v>
      </c>
      <c r="E63" s="221">
        <v>2029</v>
      </c>
      <c r="F63" s="222">
        <v>2030</v>
      </c>
    </row>
    <row r="64" spans="1:6" x14ac:dyDescent="0.2">
      <c r="A64" s="33" t="s">
        <v>77</v>
      </c>
      <c r="B64" s="28">
        <f>B41</f>
        <v>9753.7774710000012</v>
      </c>
      <c r="C64" s="28">
        <f>C41</f>
        <v>11624.585733601001</v>
      </c>
      <c r="D64" s="28">
        <f>D41</f>
        <v>13799.410537987053</v>
      </c>
      <c r="E64" s="28">
        <f>E41</f>
        <v>15660.828828786252</v>
      </c>
      <c r="F64" s="46">
        <f>F41</f>
        <v>17597.46132508554</v>
      </c>
    </row>
    <row r="65" spans="1:6" x14ac:dyDescent="0.2">
      <c r="A65" s="40" t="s">
        <v>63</v>
      </c>
      <c r="B65" s="47">
        <f>$D$26</f>
        <v>0</v>
      </c>
      <c r="C65" s="47">
        <f>$D$26</f>
        <v>0</v>
      </c>
      <c r="D65" s="47">
        <f>$D$26</f>
        <v>0</v>
      </c>
      <c r="E65" s="47">
        <f>$D$26</f>
        <v>0</v>
      </c>
      <c r="F65" s="48">
        <f>$D$26</f>
        <v>0</v>
      </c>
    </row>
    <row r="66" spans="1:6" x14ac:dyDescent="0.2">
      <c r="A66" s="33" t="s">
        <v>78</v>
      </c>
      <c r="B66" s="28">
        <f>B64-B65</f>
        <v>9753.7774710000012</v>
      </c>
      <c r="C66" s="28">
        <f>C64-C65</f>
        <v>11624.585733601001</v>
      </c>
      <c r="D66" s="28">
        <f>D64-D65</f>
        <v>13799.410537987053</v>
      </c>
      <c r="E66" s="28">
        <f>E64-E65</f>
        <v>15660.828828786252</v>
      </c>
      <c r="F66" s="46">
        <f>F64-F65</f>
        <v>17597.46132508554</v>
      </c>
    </row>
    <row r="67" spans="1:6" x14ac:dyDescent="0.2">
      <c r="A67" s="40" t="s">
        <v>79</v>
      </c>
      <c r="B67" s="47">
        <f>B66*(1-$B$11)</f>
        <v>7705.4842020900014</v>
      </c>
      <c r="C67" s="47">
        <f>C66*(1-$B$11)</f>
        <v>9183.4227295447909</v>
      </c>
      <c r="D67" s="47">
        <f>D66*(1-$B$11)</f>
        <v>10901.534325009772</v>
      </c>
      <c r="E67" s="47">
        <f>E66*(1-$B$11)</f>
        <v>12372.05477474114</v>
      </c>
      <c r="F67" s="48">
        <f>F66*(1-$B$11)</f>
        <v>13901.994446817578</v>
      </c>
    </row>
    <row r="68" spans="1:6" x14ac:dyDescent="0.2">
      <c r="A68" s="33" t="s">
        <v>80</v>
      </c>
      <c r="B68" s="6">
        <f>B67/$D$25</f>
        <v>7.3871066426745404</v>
      </c>
      <c r="C68" s="6">
        <f>C67/$D$25</f>
        <v>8.8039792527909349</v>
      </c>
      <c r="D68" s="6">
        <f>D67/$D$25</f>
        <v>10.45110138643609</v>
      </c>
      <c r="E68" s="6">
        <f>E67/$D$25</f>
        <v>11.86086242123945</v>
      </c>
      <c r="F68" s="34">
        <f>F67/$D$25</f>
        <v>13.327587576736063</v>
      </c>
    </row>
    <row r="69" spans="1:6" x14ac:dyDescent="0.2">
      <c r="A69" s="40" t="s">
        <v>81</v>
      </c>
      <c r="B69" s="41">
        <f>B60</f>
        <v>8.1865170305962351</v>
      </c>
      <c r="C69" s="41">
        <f>C60</f>
        <v>9.4894120654746352</v>
      </c>
      <c r="D69" s="41">
        <f>D60</f>
        <v>11.023568620639058</v>
      </c>
      <c r="E69" s="41">
        <f>E60</f>
        <v>12.406177911220258</v>
      </c>
      <c r="F69" s="42">
        <f>F60</f>
        <v>13.823121999184224</v>
      </c>
    </row>
    <row r="70" spans="1:6" ht="12.75" customHeight="1" x14ac:dyDescent="0.2">
      <c r="A70" s="35" t="s">
        <v>537</v>
      </c>
      <c r="B70" s="49">
        <f>B68/B69-1</f>
        <v>-9.764963352961753E-2</v>
      </c>
      <c r="C70" s="49">
        <f>C68/C69-1</f>
        <v>-7.2231325603143826E-2</v>
      </c>
      <c r="D70" s="49">
        <f>D68/D69-1</f>
        <v>-5.1931207933078594E-2</v>
      </c>
      <c r="E70" s="49">
        <f>E68/E69-1</f>
        <v>-4.3955156365089731E-2</v>
      </c>
      <c r="F70" s="50">
        <f>F68/F69-1</f>
        <v>-3.5848227518892273E-2</v>
      </c>
    </row>
    <row r="74" spans="1:6" ht="15.75" x14ac:dyDescent="0.25">
      <c r="A74" s="193" t="s">
        <v>82</v>
      </c>
      <c r="B74" s="191"/>
      <c r="C74" s="191"/>
      <c r="D74" s="191"/>
      <c r="E74" s="191"/>
      <c r="F74" s="191"/>
    </row>
    <row r="76" spans="1:6" x14ac:dyDescent="0.2">
      <c r="A76" s="190" t="s">
        <v>83</v>
      </c>
      <c r="B76" s="191"/>
      <c r="C76" s="191"/>
      <c r="D76" s="191"/>
      <c r="E76" s="191"/>
      <c r="F76" s="191"/>
    </row>
    <row r="77" spans="1:6" x14ac:dyDescent="0.2">
      <c r="B77" s="51">
        <v>2026</v>
      </c>
      <c r="C77" s="51">
        <v>2027</v>
      </c>
      <c r="D77" s="51">
        <v>2028</v>
      </c>
      <c r="E77" s="51">
        <v>2029</v>
      </c>
      <c r="F77" s="51">
        <v>2030</v>
      </c>
    </row>
    <row r="78" spans="1:6" x14ac:dyDescent="0.2">
      <c r="A78" s="52" t="s">
        <v>84</v>
      </c>
      <c r="B78" s="6">
        <v>324</v>
      </c>
      <c r="C78" s="6">
        <v>324</v>
      </c>
      <c r="D78" s="6">
        <v>324</v>
      </c>
      <c r="E78" s="6">
        <v>324</v>
      </c>
      <c r="F78" s="6">
        <v>324</v>
      </c>
    </row>
    <row r="79" spans="1:6" x14ac:dyDescent="0.2">
      <c r="A79" s="52" t="s">
        <v>85</v>
      </c>
      <c r="B79" s="6">
        <v>1.7310000000000001</v>
      </c>
      <c r="C79" s="6">
        <f>B79*(1+$B$80)</f>
        <v>1.8002400000000001</v>
      </c>
      <c r="D79" s="6">
        <f>C79*(1+$B$80)</f>
        <v>1.8722496000000002</v>
      </c>
      <c r="E79" s="6">
        <f>D79*(1+$B$80)</f>
        <v>1.9471395840000003</v>
      </c>
      <c r="F79" s="6">
        <f>E79*(1+$B$80)</f>
        <v>2.0250251673600004</v>
      </c>
    </row>
    <row r="80" spans="1:6" x14ac:dyDescent="0.2">
      <c r="A80" s="52" t="s">
        <v>86</v>
      </c>
      <c r="B80" s="29">
        <v>0.04</v>
      </c>
    </row>
    <row r="81" spans="1:6" x14ac:dyDescent="0.2">
      <c r="A81" s="52" t="s">
        <v>87</v>
      </c>
      <c r="B81" s="6">
        <v>4704</v>
      </c>
      <c r="C81" s="53" t="s">
        <v>88</v>
      </c>
    </row>
    <row r="82" spans="1:6" x14ac:dyDescent="0.2">
      <c r="A82" s="52" t="s">
        <v>89</v>
      </c>
      <c r="B82" s="6">
        <v>15524</v>
      </c>
      <c r="C82" s="53" t="s">
        <v>90</v>
      </c>
    </row>
    <row r="83" spans="1:6" x14ac:dyDescent="0.2">
      <c r="A83" s="52" t="s">
        <v>91</v>
      </c>
      <c r="B83" s="6">
        <v>59142</v>
      </c>
    </row>
    <row r="85" spans="1:6" x14ac:dyDescent="0.2">
      <c r="A85" s="190" t="s">
        <v>92</v>
      </c>
      <c r="B85" s="191"/>
      <c r="C85" s="191"/>
      <c r="D85" s="191"/>
      <c r="E85" s="191"/>
      <c r="F85" s="191"/>
    </row>
    <row r="86" spans="1:6" x14ac:dyDescent="0.2">
      <c r="B86" s="51">
        <v>2026</v>
      </c>
      <c r="C86" s="51">
        <v>2027</v>
      </c>
      <c r="D86" s="51">
        <v>2028</v>
      </c>
      <c r="E86" s="51">
        <v>2029</v>
      </c>
      <c r="F86" s="51">
        <v>2030</v>
      </c>
    </row>
    <row r="87" spans="1:6" x14ac:dyDescent="0.2">
      <c r="A87" s="52" t="s">
        <v>93</v>
      </c>
      <c r="B87" s="6">
        <f>'CRM Projection'!B59</f>
        <v>45469.875</v>
      </c>
      <c r="C87" s="6">
        <f>'CRM Projection'!C59</f>
        <v>50244.211875000001</v>
      </c>
      <c r="D87" s="6">
        <f>'CRM Projection'!D59</f>
        <v>55771.075181250009</v>
      </c>
      <c r="E87" s="6">
        <f>'CRM Projection'!E59</f>
        <v>61348.182699375015</v>
      </c>
      <c r="F87" s="6">
        <f>'CRM Projection'!F59</f>
        <v>66869.519142318764</v>
      </c>
    </row>
    <row r="88" spans="1:6" x14ac:dyDescent="0.2">
      <c r="A88" s="52" t="s">
        <v>94</v>
      </c>
      <c r="B88" s="6">
        <f>'HUBS Projection'!B59</f>
        <v>3694.8679200000001</v>
      </c>
      <c r="C88" s="6">
        <f>'HUBS Projection'!C59</f>
        <v>4286.0467871999999</v>
      </c>
      <c r="D88" s="6">
        <f>'HUBS Projection'!D59</f>
        <v>4928.9538052799999</v>
      </c>
      <c r="E88" s="6">
        <f>'HUBS Projection'!E59</f>
        <v>5619.0073380192007</v>
      </c>
      <c r="F88" s="6">
        <f>'HUBS Projection'!F59</f>
        <v>6349.4782919616964</v>
      </c>
    </row>
    <row r="89" spans="1:6" ht="13.5" thickBot="1" x14ac:dyDescent="0.25">
      <c r="A89" s="186" t="s">
        <v>48</v>
      </c>
      <c r="B89" s="24">
        <f>B14</f>
        <v>50</v>
      </c>
      <c r="C89" s="24">
        <f>C14</f>
        <v>130</v>
      </c>
      <c r="D89" s="24">
        <f>D14</f>
        <v>200</v>
      </c>
      <c r="E89" s="24">
        <f>E14</f>
        <v>200</v>
      </c>
      <c r="F89" s="24">
        <f>F14</f>
        <v>200</v>
      </c>
    </row>
    <row r="90" spans="1:6" ht="13.5" thickTop="1" x14ac:dyDescent="0.2">
      <c r="A90" s="57" t="s">
        <v>95</v>
      </c>
      <c r="B90" s="6">
        <f>SUM(B87:B89)</f>
        <v>49214.742919999997</v>
      </c>
      <c r="C90" s="6">
        <f>SUM(C87:C89)</f>
        <v>54660.258662200002</v>
      </c>
      <c r="D90" s="6">
        <f>SUM(D87:D89)</f>
        <v>60900.028986530007</v>
      </c>
      <c r="E90" s="6">
        <f>SUM(E87:E89)</f>
        <v>67167.190037394219</v>
      </c>
      <c r="F90" s="6">
        <f>SUM(F87:F89)</f>
        <v>73418.997434280463</v>
      </c>
    </row>
    <row r="92" spans="1:6" x14ac:dyDescent="0.2">
      <c r="A92" s="52" t="s">
        <v>70</v>
      </c>
      <c r="B92" s="6">
        <f>'CRM Projection'!B60</f>
        <v>10230.721875000001</v>
      </c>
      <c r="C92" s="6">
        <f>'CRM Projection'!C60</f>
        <v>11807.389790625</v>
      </c>
      <c r="D92" s="6">
        <f>'CRM Projection'!D60</f>
        <v>13663.913419406252</v>
      </c>
      <c r="E92" s="6">
        <f>'CRM Projection'!E60</f>
        <v>15337.045674843754</v>
      </c>
      <c r="F92" s="6">
        <f>'CRM Projection'!F60</f>
        <v>17051.727381291286</v>
      </c>
    </row>
    <row r="93" spans="1:6" x14ac:dyDescent="0.2">
      <c r="A93" s="52" t="s">
        <v>71</v>
      </c>
      <c r="B93" s="6">
        <f>'HUBS Projection'!B60</f>
        <v>184.74339600000002</v>
      </c>
      <c r="C93" s="6">
        <f>'HUBS Projection'!C60</f>
        <v>342.88374297600001</v>
      </c>
      <c r="D93" s="6">
        <f>'HUBS Projection'!D60</f>
        <v>542.18491858079994</v>
      </c>
      <c r="E93" s="6">
        <f>'HUBS Projection'!E60</f>
        <v>730.47095394249607</v>
      </c>
      <c r="F93" s="6">
        <f>'HUBS Projection'!F60</f>
        <v>952.42174379425444</v>
      </c>
    </row>
    <row r="94" spans="1:6" x14ac:dyDescent="0.2">
      <c r="A94" s="52" t="s">
        <v>96</v>
      </c>
      <c r="B94" s="6">
        <f>B89*$B$3</f>
        <v>22.5</v>
      </c>
      <c r="C94" s="6">
        <f>C89*$B$3</f>
        <v>58.5</v>
      </c>
      <c r="D94" s="6">
        <f>D89*$B$3</f>
        <v>90</v>
      </c>
      <c r="E94" s="6">
        <f>E89*$B$3</f>
        <v>90</v>
      </c>
      <c r="F94" s="6">
        <f>F89*$B$3</f>
        <v>90</v>
      </c>
    </row>
    <row r="95" spans="1:6" x14ac:dyDescent="0.2">
      <c r="A95" s="52" t="s">
        <v>49</v>
      </c>
      <c r="B95" s="6">
        <f>B15</f>
        <v>62.5</v>
      </c>
      <c r="C95" s="6">
        <f>C15</f>
        <v>162.5</v>
      </c>
      <c r="D95" s="6">
        <f>D15</f>
        <v>250</v>
      </c>
      <c r="E95" s="6">
        <f>E15</f>
        <v>250</v>
      </c>
      <c r="F95" s="6">
        <f>F15</f>
        <v>250</v>
      </c>
    </row>
    <row r="96" spans="1:6" ht="13.5" thickBot="1" x14ac:dyDescent="0.25">
      <c r="A96" s="186" t="s">
        <v>97</v>
      </c>
      <c r="B96" s="24">
        <f>-$B$32</f>
        <v>-746.68779999999992</v>
      </c>
      <c r="C96" s="24">
        <f>-$B$32</f>
        <v>-746.68779999999992</v>
      </c>
      <c r="D96" s="24">
        <f>-$B$32</f>
        <v>-746.68779999999992</v>
      </c>
      <c r="E96" s="24">
        <f>-$B$32</f>
        <v>-746.68779999999992</v>
      </c>
      <c r="F96" s="24">
        <f>-$B$32</f>
        <v>-746.68779999999992</v>
      </c>
    </row>
    <row r="97" spans="1:6" ht="13.5" thickTop="1" x14ac:dyDescent="0.2">
      <c r="A97" s="57" t="s">
        <v>74</v>
      </c>
      <c r="B97" s="58">
        <f>SUM(B92:B96)</f>
        <v>9753.7774710000012</v>
      </c>
      <c r="C97" s="58">
        <f>SUM(C92:C96)</f>
        <v>11624.585733601001</v>
      </c>
      <c r="D97" s="58">
        <f>SUM(D92:D96)</f>
        <v>13799.410537987053</v>
      </c>
      <c r="E97" s="58">
        <f>SUM(E92:E96)</f>
        <v>15660.828828786252</v>
      </c>
      <c r="F97" s="58">
        <f>SUM(F92:F96)</f>
        <v>17597.46132508554</v>
      </c>
    </row>
    <row r="99" spans="1:6" x14ac:dyDescent="0.2">
      <c r="A99" s="52" t="s">
        <v>98</v>
      </c>
      <c r="B99" s="6">
        <f>'CRM Projection'!B62</f>
        <v>3864.9393750000004</v>
      </c>
      <c r="C99" s="6">
        <f>'CRM Projection'!C62</f>
        <v>4170.2695856250002</v>
      </c>
      <c r="D99" s="6">
        <f>'CRM Projection'!D62</f>
        <v>4573.2281648625012</v>
      </c>
      <c r="E99" s="6">
        <f>'CRM Projection'!E62</f>
        <v>4969.2027986493767</v>
      </c>
      <c r="F99" s="6">
        <f>'CRM Projection'!F62</f>
        <v>5349.5615313855014</v>
      </c>
    </row>
    <row r="100" spans="1:6" x14ac:dyDescent="0.2">
      <c r="A100" s="52" t="s">
        <v>99</v>
      </c>
      <c r="B100" s="6">
        <f>'HUBS Projection'!B62</f>
        <v>152.06983148260983</v>
      </c>
      <c r="C100" s="6">
        <f>'HUBS Projection'!C62</f>
        <v>176.40100451982741</v>
      </c>
      <c r="D100" s="6">
        <f>'HUBS Projection'!D62</f>
        <v>202.86115519780151</v>
      </c>
      <c r="E100" s="6">
        <f>'HUBS Projection'!E62</f>
        <v>231.26171692549377</v>
      </c>
      <c r="F100" s="6">
        <f>'HUBS Projection'!F62</f>
        <v>261.32574012580795</v>
      </c>
    </row>
    <row r="101" spans="1:6" x14ac:dyDescent="0.2">
      <c r="A101" s="52" t="s">
        <v>100</v>
      </c>
      <c r="B101" s="6">
        <f>$B$32</f>
        <v>746.68779999999992</v>
      </c>
      <c r="C101" s="6">
        <f>$B$32</f>
        <v>746.68779999999992</v>
      </c>
      <c r="D101" s="6">
        <f>$B$32</f>
        <v>746.68779999999992</v>
      </c>
      <c r="E101" s="6">
        <f>$B$32</f>
        <v>746.68779999999992</v>
      </c>
      <c r="F101" s="6">
        <f>$B$32</f>
        <v>746.68779999999992</v>
      </c>
    </row>
    <row r="102" spans="1:6" ht="13.5" thickBot="1" x14ac:dyDescent="0.25">
      <c r="A102" s="187" t="s">
        <v>101</v>
      </c>
      <c r="B102" s="24">
        <f>SUM(B99:B101)</f>
        <v>4763.69700648261</v>
      </c>
      <c r="C102" s="24">
        <f>SUM(C99:C101)</f>
        <v>5093.3583901448274</v>
      </c>
      <c r="D102" s="24">
        <f>SUM(D99:D101)</f>
        <v>5522.777120060302</v>
      </c>
      <c r="E102" s="24">
        <f>SUM(E99:E101)</f>
        <v>5947.15231557487</v>
      </c>
      <c r="F102" s="24">
        <f>SUM(F99:F101)</f>
        <v>6357.575071511309</v>
      </c>
    </row>
    <row r="103" spans="1:6" ht="13.5" thickTop="1" x14ac:dyDescent="0.2">
      <c r="A103" s="57" t="s">
        <v>76</v>
      </c>
      <c r="B103" s="6">
        <f>B97+B102</f>
        <v>14517.47447748261</v>
      </c>
      <c r="C103" s="6">
        <f>C97+C102</f>
        <v>16717.94412374583</v>
      </c>
      <c r="D103" s="6">
        <f>D97+D102</f>
        <v>19322.187658047354</v>
      </c>
      <c r="E103" s="6">
        <f>E97+E102</f>
        <v>21607.981144361122</v>
      </c>
      <c r="F103" s="6">
        <f>F97+F102</f>
        <v>23955.03639659685</v>
      </c>
    </row>
    <row r="105" spans="1:6" x14ac:dyDescent="0.2">
      <c r="A105" s="52" t="s">
        <v>102</v>
      </c>
      <c r="B105" s="6">
        <f>B78</f>
        <v>324</v>
      </c>
      <c r="C105" s="6">
        <f>C78</f>
        <v>324</v>
      </c>
      <c r="D105" s="6">
        <f>D78</f>
        <v>324</v>
      </c>
      <c r="E105" s="6">
        <f>E78</f>
        <v>324</v>
      </c>
      <c r="F105" s="6">
        <f>F78</f>
        <v>324</v>
      </c>
    </row>
    <row r="106" spans="1:6" ht="13.5" thickBot="1" x14ac:dyDescent="0.25">
      <c r="A106" s="186" t="s">
        <v>103</v>
      </c>
      <c r="B106" s="24">
        <f>B122</f>
        <v>588.53400000000011</v>
      </c>
      <c r="C106" s="24">
        <f>C122</f>
        <v>29.484802229787565</v>
      </c>
      <c r="D106" s="24">
        <f>D122</f>
        <v>0</v>
      </c>
      <c r="E106" s="24">
        <f>E122</f>
        <v>0</v>
      </c>
      <c r="F106" s="24">
        <f>F122</f>
        <v>0</v>
      </c>
    </row>
    <row r="107" spans="1:6" ht="14.25" thickTop="1" thickBot="1" x14ac:dyDescent="0.25">
      <c r="A107" s="188" t="s">
        <v>104</v>
      </c>
      <c r="B107" s="189">
        <f>B105+B106</f>
        <v>912.53400000000011</v>
      </c>
      <c r="C107" s="189">
        <f>C105+C106</f>
        <v>353.48480222978759</v>
      </c>
      <c r="D107" s="189">
        <f>D105+D106</f>
        <v>324</v>
      </c>
      <c r="E107" s="189">
        <f>E105+E106</f>
        <v>324</v>
      </c>
      <c r="F107" s="189">
        <f>F105+F106</f>
        <v>324</v>
      </c>
    </row>
    <row r="108" spans="1:6" ht="13.5" thickTop="1" x14ac:dyDescent="0.2">
      <c r="A108" s="57" t="s">
        <v>78</v>
      </c>
      <c r="B108" s="6">
        <f>B97-B107</f>
        <v>8841.2434710000016</v>
      </c>
      <c r="C108" s="6">
        <f>C97-C107</f>
        <v>11271.100931371213</v>
      </c>
      <c r="D108" s="6">
        <f>D97-D107</f>
        <v>13475.410537987053</v>
      </c>
      <c r="E108" s="6">
        <f>E97-E107</f>
        <v>15336.828828786252</v>
      </c>
      <c r="F108" s="6">
        <f>F97-F107</f>
        <v>17273.46132508554</v>
      </c>
    </row>
    <row r="109" spans="1:6" ht="13.5" thickBot="1" x14ac:dyDescent="0.25">
      <c r="A109" s="186" t="s">
        <v>105</v>
      </c>
      <c r="B109" s="24">
        <f>B108*$B$11</f>
        <v>1856.6611289100003</v>
      </c>
      <c r="C109" s="24">
        <f>C108*$B$11</f>
        <v>2366.9311955879548</v>
      </c>
      <c r="D109" s="24">
        <f>D108*$B$11</f>
        <v>2829.8362129772809</v>
      </c>
      <c r="E109" s="24">
        <f>E108*$B$11</f>
        <v>3220.7340540451128</v>
      </c>
      <c r="F109" s="24">
        <f>F108*$B$11</f>
        <v>3627.4268782679633</v>
      </c>
    </row>
    <row r="110" spans="1:6" ht="13.5" thickTop="1" x14ac:dyDescent="0.2">
      <c r="A110" s="57" t="s">
        <v>79</v>
      </c>
      <c r="B110" s="6">
        <f>B108-B109</f>
        <v>6984.5823420900015</v>
      </c>
      <c r="C110" s="6">
        <f>C108-C109</f>
        <v>8904.1697357832581</v>
      </c>
      <c r="D110" s="6">
        <f>D108-D109</f>
        <v>10645.574325009771</v>
      </c>
      <c r="E110" s="6">
        <f>E108-E109</f>
        <v>12116.094774741139</v>
      </c>
      <c r="F110" s="6">
        <f>F108-F109</f>
        <v>13646.034446817577</v>
      </c>
    </row>
    <row r="112" spans="1:6" x14ac:dyDescent="0.2">
      <c r="A112" s="52" t="s">
        <v>106</v>
      </c>
      <c r="B112" s="6">
        <f>$B$9</f>
        <v>956</v>
      </c>
      <c r="C112" s="6">
        <f>$B$9</f>
        <v>956</v>
      </c>
      <c r="D112" s="6">
        <f>$B$9</f>
        <v>956</v>
      </c>
      <c r="E112" s="6">
        <f>$B$9</f>
        <v>956</v>
      </c>
      <c r="F112" s="6">
        <f>$B$9</f>
        <v>956</v>
      </c>
    </row>
    <row r="113" spans="1:6" x14ac:dyDescent="0.2">
      <c r="A113" s="57" t="s">
        <v>107</v>
      </c>
      <c r="B113" s="6">
        <f>B110/B112</f>
        <v>7.3060484749895416</v>
      </c>
      <c r="C113" s="6">
        <f>C110/C112</f>
        <v>9.3139850792711911</v>
      </c>
      <c r="D113" s="6">
        <f>D110/D112</f>
        <v>11.135537996872145</v>
      </c>
      <c r="E113" s="6">
        <f>E110/E112</f>
        <v>12.673739304122531</v>
      </c>
      <c r="F113" s="6">
        <f>F110/F112</f>
        <v>14.274094609641818</v>
      </c>
    </row>
    <row r="114" spans="1:6" x14ac:dyDescent="0.2">
      <c r="A114" s="52" t="s">
        <v>108</v>
      </c>
      <c r="B114" s="6">
        <f>B51</f>
        <v>8.1865170305962351</v>
      </c>
      <c r="C114" s="6">
        <f>C51</f>
        <v>9.4894120654746352</v>
      </c>
      <c r="D114" s="6">
        <f>D51</f>
        <v>11.023568620639058</v>
      </c>
      <c r="E114" s="6">
        <f>E51</f>
        <v>12.406177911220258</v>
      </c>
      <c r="F114" s="6">
        <f>F51</f>
        <v>13.823121999184224</v>
      </c>
    </row>
    <row r="115" spans="1:6" x14ac:dyDescent="0.2">
      <c r="A115" s="57" t="s">
        <v>109</v>
      </c>
      <c r="B115" s="192">
        <f>(B113-B114)/B114</f>
        <v>-0.10755105648910716</v>
      </c>
      <c r="C115" s="192">
        <f>(C113-C114)/C114</f>
        <v>-1.8486602224989341E-2</v>
      </c>
      <c r="D115" s="192">
        <f>(D113-D114)/D114</f>
        <v>1.0157271214645595E-2</v>
      </c>
      <c r="E115" s="192">
        <f>(E113-E114)/E114</f>
        <v>2.1566786710376627E-2</v>
      </c>
      <c r="F115" s="192">
        <f>(F113-F114)/F114</f>
        <v>3.262451206639197E-2</v>
      </c>
    </row>
    <row r="116" spans="1:6" x14ac:dyDescent="0.2">
      <c r="A116" s="57"/>
      <c r="B116" s="59"/>
      <c r="C116" s="59"/>
      <c r="D116" s="59"/>
      <c r="E116" s="59"/>
      <c r="F116" s="59"/>
    </row>
    <row r="117" spans="1:6" x14ac:dyDescent="0.2">
      <c r="A117" s="57"/>
      <c r="B117" s="59"/>
      <c r="C117" s="59"/>
      <c r="D117" s="59"/>
      <c r="E117" s="59"/>
      <c r="F117" s="59"/>
    </row>
    <row r="119" spans="1:6" x14ac:dyDescent="0.2">
      <c r="A119" s="190" t="s">
        <v>110</v>
      </c>
      <c r="B119" s="191"/>
      <c r="C119" s="191"/>
      <c r="D119" s="191"/>
      <c r="E119" s="191"/>
      <c r="F119" s="191"/>
    </row>
    <row r="120" spans="1:6" x14ac:dyDescent="0.2">
      <c r="B120" s="51">
        <v>2026</v>
      </c>
      <c r="C120" s="51">
        <v>2027</v>
      </c>
      <c r="D120" s="51">
        <v>2028</v>
      </c>
      <c r="E120" s="51">
        <v>2029</v>
      </c>
      <c r="F120" s="51">
        <v>2030</v>
      </c>
    </row>
    <row r="121" spans="1:6" x14ac:dyDescent="0.2">
      <c r="A121" s="52" t="s">
        <v>111</v>
      </c>
      <c r="B121" s="56">
        <f>$B$23</f>
        <v>10435</v>
      </c>
      <c r="C121" s="56">
        <f>B124</f>
        <v>522.78018137921208</v>
      </c>
      <c r="D121" s="56">
        <f>C124</f>
        <v>0</v>
      </c>
      <c r="E121" s="56">
        <f>D124</f>
        <v>0</v>
      </c>
      <c r="F121" s="56">
        <f>E124</f>
        <v>0</v>
      </c>
    </row>
    <row r="122" spans="1:6" x14ac:dyDescent="0.2">
      <c r="A122" s="52" t="s">
        <v>112</v>
      </c>
      <c r="B122" s="56">
        <f>B121*$B$10</f>
        <v>588.53400000000011</v>
      </c>
      <c r="C122" s="56">
        <f>C121*$B$10</f>
        <v>29.484802229787565</v>
      </c>
      <c r="D122" s="56">
        <f>D121*$B$10</f>
        <v>0</v>
      </c>
      <c r="E122" s="56">
        <f>E121*$B$10</f>
        <v>0</v>
      </c>
      <c r="F122" s="56">
        <f>F121*$B$10</f>
        <v>0</v>
      </c>
    </row>
    <row r="123" spans="1:6" x14ac:dyDescent="0.2">
      <c r="A123" s="52" t="s">
        <v>113</v>
      </c>
      <c r="B123" s="56">
        <f>MIN(B121,MAX(B136-B138,0))</f>
        <v>9912.2198186207879</v>
      </c>
      <c r="C123" s="56">
        <f>MIN(C121,MAX(C136-C138,0))</f>
        <v>522.78018137921208</v>
      </c>
      <c r="D123" s="56">
        <f>MIN(D121,MAX(D136-D138,0))</f>
        <v>0</v>
      </c>
      <c r="E123" s="56">
        <f>MIN(E121,MAX(E136-E138,0))</f>
        <v>0</v>
      </c>
      <c r="F123" s="56">
        <f>MIN(F121,MAX(F136-F138,0))</f>
        <v>0</v>
      </c>
    </row>
    <row r="124" spans="1:6" x14ac:dyDescent="0.2">
      <c r="A124" s="54" t="s">
        <v>114</v>
      </c>
      <c r="B124" s="55">
        <f>MAX(B121-B123,0)</f>
        <v>522.78018137921208</v>
      </c>
      <c r="C124" s="55">
        <f>MAX(C121-C123,0)</f>
        <v>0</v>
      </c>
      <c r="D124" s="55">
        <f>MAX(D121-D123,0)</f>
        <v>0</v>
      </c>
      <c r="E124" s="55">
        <f>MAX(E121-E123,0)</f>
        <v>0</v>
      </c>
      <c r="F124" s="55">
        <f>MAX(F121-F123,0)</f>
        <v>0</v>
      </c>
    </row>
    <row r="125" spans="1:6" x14ac:dyDescent="0.2">
      <c r="A125" s="57"/>
      <c r="B125" s="56"/>
      <c r="C125" s="56"/>
      <c r="D125" s="56"/>
      <c r="E125" s="56"/>
      <c r="F125" s="56"/>
    </row>
    <row r="126" spans="1:6" x14ac:dyDescent="0.2">
      <c r="A126" s="57"/>
      <c r="B126" s="56"/>
      <c r="C126" s="56"/>
      <c r="D126" s="56"/>
      <c r="E126" s="56"/>
      <c r="F126" s="56"/>
    </row>
    <row r="128" spans="1:6" x14ac:dyDescent="0.2">
      <c r="A128" s="190" t="s">
        <v>115</v>
      </c>
      <c r="B128" s="191"/>
      <c r="C128" s="191"/>
      <c r="D128" s="191"/>
      <c r="E128" s="191"/>
      <c r="F128" s="191"/>
    </row>
    <row r="129" spans="1:6" x14ac:dyDescent="0.2">
      <c r="B129" s="51">
        <v>2026</v>
      </c>
      <c r="C129" s="51">
        <v>2027</v>
      </c>
      <c r="D129" s="51">
        <v>2028</v>
      </c>
      <c r="E129" s="51">
        <v>2029</v>
      </c>
      <c r="F129" s="51">
        <v>2030</v>
      </c>
    </row>
    <row r="130" spans="1:6" x14ac:dyDescent="0.2">
      <c r="A130" s="52" t="s">
        <v>116</v>
      </c>
      <c r="B130" s="6">
        <f>B110</f>
        <v>6984.5823420900015</v>
      </c>
      <c r="C130" s="6">
        <f>C110</f>
        <v>8904.1697357832581</v>
      </c>
      <c r="D130" s="6">
        <f>D110</f>
        <v>10645.574325009771</v>
      </c>
      <c r="E130" s="6">
        <f>E110</f>
        <v>12116.094774741139</v>
      </c>
      <c r="F130" s="6">
        <f>F110</f>
        <v>13646.034446817577</v>
      </c>
    </row>
    <row r="131" spans="1:6" x14ac:dyDescent="0.2">
      <c r="A131" s="52" t="s">
        <v>117</v>
      </c>
      <c r="B131" s="6">
        <f>B102</f>
        <v>4763.69700648261</v>
      </c>
      <c r="C131" s="6">
        <f>C102</f>
        <v>5093.3583901448274</v>
      </c>
      <c r="D131" s="6">
        <f>D102</f>
        <v>5522.777120060302</v>
      </c>
      <c r="E131" s="6">
        <f>E102</f>
        <v>5947.15231557487</v>
      </c>
      <c r="F131" s="6">
        <f>F102</f>
        <v>6357.575071511309</v>
      </c>
    </row>
    <row r="132" spans="1:6" ht="13.5" thickBot="1" x14ac:dyDescent="0.25">
      <c r="A132" s="186" t="s">
        <v>118</v>
      </c>
      <c r="B132" s="24">
        <f>'CRM Projection'!B65+'HUBS Projection'!B65</f>
        <v>-964.5090669331214</v>
      </c>
      <c r="C132" s="24">
        <f>'CRM Projection'!C65+'HUBS Projection'!C65</f>
        <v>-1900.7986420259808</v>
      </c>
      <c r="D132" s="24">
        <f>'CRM Projection'!D65+'HUBS Projection'!D65</f>
        <v>-2189.3205711474548</v>
      </c>
      <c r="E132" s="24">
        <f>'CRM Projection'!E65+'HUBS Projection'!E65</f>
        <v>-2220.2632681469031</v>
      </c>
      <c r="F132" s="24">
        <f>'CRM Projection'!F65+'HUBS Projection'!F65</f>
        <v>-2210.708477098126</v>
      </c>
    </row>
    <row r="133" spans="1:6" ht="13.5" thickTop="1" x14ac:dyDescent="0.2">
      <c r="A133" s="57" t="s">
        <v>119</v>
      </c>
      <c r="B133" s="6">
        <f>B130+B131-B132</f>
        <v>12712.788415505733</v>
      </c>
      <c r="C133" s="6">
        <f>C130+C131-C132</f>
        <v>15898.326767954066</v>
      </c>
      <c r="D133" s="6">
        <f>D130+D131-D132</f>
        <v>18357.672016217526</v>
      </c>
      <c r="E133" s="6">
        <f>E130+E131-E132</f>
        <v>20283.510358462914</v>
      </c>
      <c r="F133" s="6">
        <f>F130+F131-F132</f>
        <v>22214.317995427013</v>
      </c>
    </row>
    <row r="135" spans="1:6" ht="13.5" thickBot="1" x14ac:dyDescent="0.25">
      <c r="A135" s="186" t="s">
        <v>120</v>
      </c>
      <c r="B135" s="24">
        <f>'CRM Projection'!B63+'HUBS Projection'!B63</f>
        <v>1145.7325968849452</v>
      </c>
      <c r="C135" s="24">
        <f>'CRM Projection'!C63+'HUBS Projection'!C63</f>
        <v>1276.3815856961639</v>
      </c>
      <c r="D135" s="24">
        <f>'CRM Projection'!D63+'HUBS Projection'!D63</f>
        <v>1425.5127213739622</v>
      </c>
      <c r="E135" s="24">
        <f>'CRM Projection'!E63+'HUBS Projection'!E63</f>
        <v>1578.1025289502616</v>
      </c>
      <c r="F135" s="24">
        <f>'CRM Projection'!F63+'HUBS Projection'!F63</f>
        <v>1731.5756869561342</v>
      </c>
    </row>
    <row r="136" spans="1:6" ht="13.5" thickTop="1" x14ac:dyDescent="0.2">
      <c r="A136" s="57" t="s">
        <v>10</v>
      </c>
      <c r="B136" s="6">
        <f>B133-B135</f>
        <v>11567.055818620787</v>
      </c>
      <c r="C136" s="6">
        <f>C133-C135</f>
        <v>14621.945182257901</v>
      </c>
      <c r="D136" s="6">
        <f>D133-D135</f>
        <v>16932.159294843565</v>
      </c>
      <c r="E136" s="6">
        <f>E133-E135</f>
        <v>18705.407829512653</v>
      </c>
      <c r="F136" s="6">
        <f>F133-F135</f>
        <v>20482.742308470879</v>
      </c>
    </row>
    <row r="138" spans="1:6" x14ac:dyDescent="0.2">
      <c r="A138" s="52" t="s">
        <v>121</v>
      </c>
      <c r="B138" s="6">
        <f>B79*$B$9</f>
        <v>1654.836</v>
      </c>
      <c r="C138" s="6">
        <f>C79*$B$9</f>
        <v>1721.02944</v>
      </c>
      <c r="D138" s="6">
        <f>D79*$B$9</f>
        <v>1789.8706176000001</v>
      </c>
      <c r="E138" s="6">
        <f>E79*$B$9</f>
        <v>1861.4654423040004</v>
      </c>
      <c r="F138" s="6">
        <f>F79*$B$9</f>
        <v>1935.9240599961604</v>
      </c>
    </row>
    <row r="139" spans="1:6" ht="13.5" thickBot="1" x14ac:dyDescent="0.25">
      <c r="A139" s="186" t="s">
        <v>122</v>
      </c>
      <c r="B139" s="24">
        <f>B123</f>
        <v>9912.2198186207879</v>
      </c>
      <c r="C139" s="24">
        <f>C123</f>
        <v>522.78018137921208</v>
      </c>
      <c r="D139" s="24">
        <f>D123</f>
        <v>0</v>
      </c>
      <c r="E139" s="24">
        <f>E123</f>
        <v>0</v>
      </c>
      <c r="F139" s="24">
        <f>F123</f>
        <v>0</v>
      </c>
    </row>
    <row r="140" spans="1:6" ht="13.5" thickTop="1" x14ac:dyDescent="0.2">
      <c r="A140" s="57" t="s">
        <v>123</v>
      </c>
      <c r="B140" s="6">
        <f>B136-B138-B139</f>
        <v>0</v>
      </c>
      <c r="C140" s="6">
        <f>C136-C138-C139</f>
        <v>12378.135560878689</v>
      </c>
      <c r="D140" s="6">
        <f>D136-D138-D139</f>
        <v>15142.288677243565</v>
      </c>
      <c r="E140" s="6">
        <f>E136-E138-E139</f>
        <v>16843.942387208652</v>
      </c>
      <c r="F140" s="6">
        <f>F136-F138-F139</f>
        <v>18546.818248474719</v>
      </c>
    </row>
    <row r="141" spans="1:6" x14ac:dyDescent="0.2">
      <c r="A141" s="57"/>
      <c r="B141" s="56"/>
      <c r="C141" s="56"/>
      <c r="D141" s="56"/>
      <c r="E141" s="56"/>
      <c r="F141" s="56"/>
    </row>
    <row r="142" spans="1:6" x14ac:dyDescent="0.2">
      <c r="A142" s="57"/>
      <c r="B142" s="56"/>
      <c r="C142" s="56"/>
      <c r="D142" s="56"/>
      <c r="E142" s="56"/>
      <c r="F142" s="56"/>
    </row>
    <row r="144" spans="1:6" x14ac:dyDescent="0.2">
      <c r="A144" s="218" t="s">
        <v>576</v>
      </c>
      <c r="B144" s="191"/>
      <c r="C144" s="191"/>
      <c r="D144" s="191"/>
      <c r="E144" s="191"/>
      <c r="F144" s="191"/>
    </row>
    <row r="145" spans="1:7" x14ac:dyDescent="0.2">
      <c r="B145" s="51">
        <v>2026</v>
      </c>
      <c r="C145" s="51">
        <v>2027</v>
      </c>
      <c r="D145" s="51">
        <v>2028</v>
      </c>
      <c r="E145" s="51">
        <v>2029</v>
      </c>
      <c r="F145" s="51">
        <v>2030</v>
      </c>
    </row>
    <row r="146" spans="1:7" x14ac:dyDescent="0.2">
      <c r="A146" s="52" t="s">
        <v>124</v>
      </c>
      <c r="B146" s="6">
        <f>$B$81+B140</f>
        <v>4704</v>
      </c>
      <c r="C146" s="6">
        <f>B146+C140</f>
        <v>17082.135560878691</v>
      </c>
      <c r="D146" s="6">
        <f>C146+D140</f>
        <v>32224.424238122258</v>
      </c>
      <c r="E146" s="6">
        <f>D146+E140</f>
        <v>49068.366625330906</v>
      </c>
      <c r="F146" s="6">
        <f>E146+F140</f>
        <v>67615.184873805629</v>
      </c>
    </row>
    <row r="147" spans="1:7" x14ac:dyDescent="0.2">
      <c r="A147" s="52" t="s">
        <v>125</v>
      </c>
      <c r="B147" s="6">
        <v>67648</v>
      </c>
      <c r="C147" s="6">
        <v>67648</v>
      </c>
      <c r="D147" s="6">
        <v>67648</v>
      </c>
      <c r="E147" s="6">
        <v>67648</v>
      </c>
      <c r="F147" s="6">
        <v>67648</v>
      </c>
      <c r="G147" s="53" t="s">
        <v>126</v>
      </c>
    </row>
    <row r="148" spans="1:7" x14ac:dyDescent="0.2">
      <c r="A148" s="52" t="s">
        <v>127</v>
      </c>
      <c r="B148" s="6">
        <f>5227-$B$32</f>
        <v>4480.3122000000003</v>
      </c>
      <c r="C148" s="6">
        <f>MAX(B148-$B$32,0)</f>
        <v>3733.6244000000006</v>
      </c>
      <c r="D148" s="6">
        <f>MAX(C148-$B$32,0)</f>
        <v>2986.9366000000009</v>
      </c>
      <c r="E148" s="6">
        <f>MAX(D148-$B$32,0)</f>
        <v>2240.2488000000012</v>
      </c>
      <c r="F148" s="6">
        <f>MAX(E148-$B$32,0)</f>
        <v>1493.5610000000013</v>
      </c>
    </row>
    <row r="149" spans="1:7" x14ac:dyDescent="0.2">
      <c r="B149" s="6"/>
      <c r="C149" s="6"/>
      <c r="D149" s="6"/>
      <c r="E149" s="6"/>
      <c r="F149" s="6"/>
    </row>
    <row r="150" spans="1:7" x14ac:dyDescent="0.2">
      <c r="A150" s="52" t="s">
        <v>128</v>
      </c>
      <c r="B150" s="6">
        <f>B124</f>
        <v>522.78018137921208</v>
      </c>
      <c r="C150" s="6">
        <f>C124</f>
        <v>0</v>
      </c>
      <c r="D150" s="6">
        <f>D124</f>
        <v>0</v>
      </c>
      <c r="E150" s="6">
        <f>E124</f>
        <v>0</v>
      </c>
      <c r="F150" s="6">
        <f>F124</f>
        <v>0</v>
      </c>
    </row>
    <row r="151" spans="1:7" x14ac:dyDescent="0.2">
      <c r="A151" s="52" t="s">
        <v>129</v>
      </c>
      <c r="B151" s="6">
        <f>$B$82</f>
        <v>15524</v>
      </c>
      <c r="C151" s="6">
        <f>$B$82</f>
        <v>15524</v>
      </c>
      <c r="D151" s="6">
        <f>$B$82</f>
        <v>15524</v>
      </c>
      <c r="E151" s="6">
        <f>$B$82</f>
        <v>15524</v>
      </c>
      <c r="F151" s="6">
        <f>$B$82</f>
        <v>15524</v>
      </c>
    </row>
    <row r="152" spans="1:7" ht="13.5" thickBot="1" x14ac:dyDescent="0.25">
      <c r="A152" s="187" t="s">
        <v>130</v>
      </c>
      <c r="B152" s="24">
        <f>B150+B151</f>
        <v>16046.780181379212</v>
      </c>
      <c r="C152" s="24">
        <f>C150+C151</f>
        <v>15524</v>
      </c>
      <c r="D152" s="24">
        <f>D150+D151</f>
        <v>15524</v>
      </c>
      <c r="E152" s="24">
        <f>E150+E151</f>
        <v>15524</v>
      </c>
      <c r="F152" s="24">
        <f>F150+F151</f>
        <v>15524</v>
      </c>
    </row>
    <row r="153" spans="1:7" ht="13.5" thickTop="1" x14ac:dyDescent="0.2"/>
    <row r="154" spans="1:7" x14ac:dyDescent="0.2">
      <c r="A154" s="52" t="s">
        <v>131</v>
      </c>
      <c r="B154" s="56">
        <f>$B$83+B110-B138</f>
        <v>64471.746342089995</v>
      </c>
      <c r="C154" s="56">
        <f>B154+C110-C138</f>
        <v>71654.886637873249</v>
      </c>
      <c r="D154" s="56">
        <f>C154+D110-D138</f>
        <v>80510.590345283024</v>
      </c>
      <c r="E154" s="56">
        <f>D154+E110-E138</f>
        <v>90765.219677720161</v>
      </c>
      <c r="F154" s="56">
        <f>E154+F110-F138</f>
        <v>102475.33006454157</v>
      </c>
    </row>
    <row r="155" spans="1:7" x14ac:dyDescent="0.2">
      <c r="A155" s="52"/>
      <c r="B155" s="56"/>
      <c r="C155" s="56"/>
      <c r="D155" s="56"/>
      <c r="E155" s="56"/>
      <c r="F155" s="56"/>
    </row>
    <row r="156" spans="1:7" x14ac:dyDescent="0.2">
      <c r="A156" s="190" t="s">
        <v>132</v>
      </c>
      <c r="B156" s="191"/>
      <c r="C156" s="191"/>
      <c r="D156" s="191"/>
      <c r="E156" s="191"/>
      <c r="F156" s="191"/>
    </row>
    <row r="157" spans="1:7" x14ac:dyDescent="0.2">
      <c r="B157" s="51">
        <v>2026</v>
      </c>
      <c r="C157" s="51">
        <v>2027</v>
      </c>
      <c r="D157" s="51">
        <v>2028</v>
      </c>
      <c r="E157" s="51">
        <v>2029</v>
      </c>
      <c r="F157" s="51">
        <v>2030</v>
      </c>
    </row>
    <row r="158" spans="1:7" x14ac:dyDescent="0.2">
      <c r="A158" s="52" t="s">
        <v>133</v>
      </c>
      <c r="B158" s="60">
        <f>B152/B103</f>
        <v>1.1053424069226805</v>
      </c>
      <c r="C158" s="60">
        <f>C152/C103</f>
        <v>0.92858307726666123</v>
      </c>
      <c r="D158" s="60">
        <f>D152/D103</f>
        <v>0.80342869424179952</v>
      </c>
      <c r="E158" s="60">
        <f>E152/E103</f>
        <v>0.71843824262366063</v>
      </c>
      <c r="F158" s="60">
        <f>F152/F103</f>
        <v>0.64804743950234212</v>
      </c>
    </row>
    <row r="159" spans="1:7" x14ac:dyDescent="0.2">
      <c r="A159" s="52" t="s">
        <v>134</v>
      </c>
      <c r="B159" s="60">
        <f>B150/B103</f>
        <v>3.601040815949582E-2</v>
      </c>
      <c r="C159" s="60">
        <f>C150/C103</f>
        <v>0</v>
      </c>
      <c r="D159" s="60">
        <f>D150/D103</f>
        <v>0</v>
      </c>
      <c r="E159" s="60">
        <f>E150/E103</f>
        <v>0</v>
      </c>
      <c r="F159" s="60">
        <f>F150/F103</f>
        <v>0</v>
      </c>
    </row>
    <row r="160" spans="1:7" x14ac:dyDescent="0.2">
      <c r="A160" s="52" t="s">
        <v>135</v>
      </c>
      <c r="B160" s="60">
        <f>IF(B107=0,"N/M",B103/B107)</f>
        <v>15.908968298696387</v>
      </c>
      <c r="C160" s="60">
        <f>IF(C107=0,"N/M",C103/C107)</f>
        <v>47.294661660950574</v>
      </c>
      <c r="D160" s="60">
        <f>IF(D107=0,"N/M",D103/D107)</f>
        <v>59.636381660639984</v>
      </c>
      <c r="E160" s="60">
        <f>IF(E107=0,"N/M",E103/E107)</f>
        <v>66.691299828275064</v>
      </c>
      <c r="F160" s="60">
        <f>IF(F107=0,"N/M",F103/F107)</f>
        <v>73.935297520360649</v>
      </c>
    </row>
    <row r="163" spans="1:6" x14ac:dyDescent="0.2">
      <c r="A163" s="190" t="s">
        <v>577</v>
      </c>
      <c r="B163" s="191"/>
      <c r="C163" s="191"/>
      <c r="D163" s="191"/>
      <c r="E163" s="191"/>
      <c r="F163" s="191"/>
    </row>
    <row r="164" spans="1:6" x14ac:dyDescent="0.2">
      <c r="A164" s="57" t="s">
        <v>546</v>
      </c>
      <c r="B164" s="207" t="s">
        <v>559</v>
      </c>
      <c r="C164" s="207" t="s">
        <v>560</v>
      </c>
      <c r="D164" s="207" t="s">
        <v>561</v>
      </c>
      <c r="E164" s="207" t="s">
        <v>562</v>
      </c>
    </row>
    <row r="165" spans="1:6" x14ac:dyDescent="0.2">
      <c r="A165" s="52" t="s">
        <v>240</v>
      </c>
      <c r="B165" s="6">
        <f>'CRM Projection'!G3</f>
        <v>41525</v>
      </c>
      <c r="C165" s="6">
        <f>'HUBS Projection'!G3</f>
        <v>3131.2440000000001</v>
      </c>
      <c r="D165" s="6">
        <f>SUM(B165:C165)</f>
        <v>44656.243999999999</v>
      </c>
    </row>
    <row r="166" spans="1:6" x14ac:dyDescent="0.2">
      <c r="A166" s="52" t="s">
        <v>547</v>
      </c>
      <c r="B166" s="6">
        <f>'CRM-US-BS'!K16*1000</f>
        <v>14339</v>
      </c>
      <c r="C166" s="6">
        <f>'HUBS-US-BS'!K14</f>
        <v>419.14600000000002</v>
      </c>
      <c r="D166" s="6">
        <f t="shared" ref="D166:D177" si="2">SUM(B166:C166)</f>
        <v>14758.146000000001</v>
      </c>
      <c r="E166" s="29">
        <f>D166/$D$165</f>
        <v>0.33048336980602311</v>
      </c>
    </row>
    <row r="167" spans="1:6" x14ac:dyDescent="0.2">
      <c r="A167" s="52" t="s">
        <v>548</v>
      </c>
      <c r="B167" s="6">
        <f>'CRM-US-BS'!K19*1000</f>
        <v>2243</v>
      </c>
      <c r="C167" s="6">
        <f>'HUBS-US-BS'!K17</f>
        <v>100.611</v>
      </c>
      <c r="D167" s="6">
        <f t="shared" si="2"/>
        <v>2343.6109999999999</v>
      </c>
      <c r="E167" s="29">
        <f t="shared" ref="E167:E171" si="3">D167/$D$165</f>
        <v>5.2481149108733818E-2</v>
      </c>
    </row>
    <row r="168" spans="1:6" x14ac:dyDescent="0.2">
      <c r="A168" s="52" t="s">
        <v>549</v>
      </c>
      <c r="B168" s="6">
        <f>'CRM-US-BS'!K23*1000</f>
        <v>5123</v>
      </c>
      <c r="C168" s="6">
        <f>'HUBS-US-BS'!K21</f>
        <v>342.69</v>
      </c>
      <c r="D168" s="6">
        <f t="shared" si="2"/>
        <v>5465.69</v>
      </c>
      <c r="E168" s="29"/>
    </row>
    <row r="169" spans="1:6" x14ac:dyDescent="0.2">
      <c r="A169" s="52" t="s">
        <v>550</v>
      </c>
      <c r="B169" s="6">
        <f>'CRM-US-IS'!K14</f>
        <v>1931</v>
      </c>
      <c r="C169" s="6">
        <f>'HUBS-US-IS'!K13</f>
        <v>34.5</v>
      </c>
      <c r="D169" s="6">
        <f t="shared" si="2"/>
        <v>1965.5</v>
      </c>
      <c r="E169" s="29">
        <f>D169/$D$168</f>
        <v>0.35960692977464881</v>
      </c>
    </row>
    <row r="170" spans="1:6" ht="13.5" thickBot="1" x14ac:dyDescent="0.25">
      <c r="A170" s="186" t="s">
        <v>551</v>
      </c>
      <c r="B170" s="24">
        <f>'CRM-US-BS'!K46*1000</f>
        <v>4678</v>
      </c>
      <c r="C170" s="24">
        <f>'HUBS-US-BS'!K42</f>
        <v>24.763999999999999</v>
      </c>
      <c r="D170" s="24">
        <f t="shared" si="2"/>
        <v>4702.7640000000001</v>
      </c>
      <c r="E170" s="29">
        <f t="shared" si="3"/>
        <v>0.10531033465331299</v>
      </c>
    </row>
    <row r="171" spans="1:6" ht="13.5" thickTop="1" x14ac:dyDescent="0.2">
      <c r="A171" s="52" t="s">
        <v>552</v>
      </c>
      <c r="B171" s="100">
        <f>'CRM-US-BS'!K48*1000</f>
        <v>27617</v>
      </c>
      <c r="C171">
        <f>'HUBS-US-BS'!K43</f>
        <v>1403.0039999999999</v>
      </c>
      <c r="D171" s="6">
        <f t="shared" si="2"/>
        <v>29020.004000000001</v>
      </c>
      <c r="E171" s="29">
        <f t="shared" si="3"/>
        <v>0.64985322097398079</v>
      </c>
    </row>
    <row r="172" spans="1:6" x14ac:dyDescent="0.2">
      <c r="A172" s="217" t="s">
        <v>553</v>
      </c>
      <c r="B172" s="216">
        <f>'CRM-US-BS'!K45*1000</f>
        <v>4823</v>
      </c>
      <c r="C172" s="216">
        <f>'HUBS-US-BS'!K41</f>
        <v>39.703000000000003</v>
      </c>
      <c r="D172" s="216">
        <f t="shared" si="2"/>
        <v>4862.7030000000004</v>
      </c>
      <c r="E172" s="29" t="s">
        <v>563</v>
      </c>
    </row>
    <row r="173" spans="1:6" x14ac:dyDescent="0.2">
      <c r="A173" s="52" t="s">
        <v>554</v>
      </c>
      <c r="B173" s="206">
        <f>B151-B172</f>
        <v>10701</v>
      </c>
      <c r="C173" s="6">
        <v>0</v>
      </c>
      <c r="D173" s="6">
        <f t="shared" si="2"/>
        <v>10701</v>
      </c>
      <c r="E173" s="29"/>
    </row>
    <row r="174" spans="1:6" x14ac:dyDescent="0.2">
      <c r="A174" s="52" t="s">
        <v>555</v>
      </c>
      <c r="B174" s="6">
        <f>'CRM-US-BS'!K37*1000</f>
        <v>6815</v>
      </c>
      <c r="C174" s="6">
        <v>0</v>
      </c>
      <c r="D174" s="6">
        <f t="shared" si="2"/>
        <v>6815</v>
      </c>
      <c r="E174" s="29"/>
    </row>
    <row r="175" spans="1:6" x14ac:dyDescent="0.2">
      <c r="A175" s="52" t="s">
        <v>556</v>
      </c>
      <c r="B175" s="98">
        <f>'CRM-US-IS'!K15</f>
        <v>1700</v>
      </c>
      <c r="C175" s="6"/>
      <c r="D175" s="6">
        <f t="shared" si="2"/>
        <v>1700</v>
      </c>
      <c r="E175" s="29">
        <f>D175/D174</f>
        <v>0.24944974321349964</v>
      </c>
    </row>
    <row r="176" spans="1:6" x14ac:dyDescent="0.2">
      <c r="A176" s="205" t="s">
        <v>557</v>
      </c>
      <c r="B176" s="196">
        <f>('CRM-US-BS'!K56+'CRM-US-BS'!K57)*1000</f>
        <v>6301</v>
      </c>
      <c r="C176" s="216">
        <f>'HUBS-US-BS'!K52</f>
        <v>97.834000000000003</v>
      </c>
      <c r="D176" s="216">
        <f t="shared" si="2"/>
        <v>6398.8339999999998</v>
      </c>
      <c r="E176" s="29" t="s">
        <v>563</v>
      </c>
    </row>
    <row r="177" spans="1:6" x14ac:dyDescent="0.2">
      <c r="A177" s="52" t="s">
        <v>558</v>
      </c>
      <c r="B177" s="28">
        <f>B31</f>
        <v>5226.8145999999997</v>
      </c>
      <c r="C177" s="6"/>
      <c r="D177" s="6">
        <f t="shared" si="2"/>
        <v>5226.8145999999997</v>
      </c>
      <c r="E177" s="208">
        <f>B32</f>
        <v>746.68779999999992</v>
      </c>
    </row>
    <row r="181" spans="1:6" ht="15" x14ac:dyDescent="0.25">
      <c r="A181" s="215" t="s">
        <v>575</v>
      </c>
      <c r="B181" s="191"/>
      <c r="C181" s="191"/>
      <c r="D181" s="191"/>
      <c r="E181" s="191"/>
      <c r="F181" s="191"/>
    </row>
    <row r="182" spans="1:6" x14ac:dyDescent="0.2">
      <c r="A182" s="57" t="s">
        <v>564</v>
      </c>
      <c r="B182" s="51">
        <v>2026</v>
      </c>
      <c r="C182" s="51">
        <v>2027</v>
      </c>
      <c r="D182" s="51">
        <v>2028</v>
      </c>
      <c r="E182" s="51">
        <v>2029</v>
      </c>
      <c r="F182" s="51">
        <v>2030</v>
      </c>
    </row>
    <row r="183" spans="1:6" x14ac:dyDescent="0.2">
      <c r="A183" s="52" t="s">
        <v>124</v>
      </c>
      <c r="B183" s="206">
        <f>B81+B140</f>
        <v>4704</v>
      </c>
      <c r="C183" s="206">
        <f>B183+C140</f>
        <v>17082.135560878691</v>
      </c>
      <c r="D183" s="206">
        <f>C183+D140</f>
        <v>32224.424238122258</v>
      </c>
      <c r="E183" s="206">
        <f>D183+E140</f>
        <v>49068.366625330906</v>
      </c>
      <c r="F183" s="206">
        <f>E183+F140</f>
        <v>67615.184873805629</v>
      </c>
    </row>
    <row r="184" spans="1:6" x14ac:dyDescent="0.2">
      <c r="A184" s="52" t="s">
        <v>565</v>
      </c>
      <c r="B184" s="206">
        <f>$E$166*B90</f>
        <v>16264.654084338717</v>
      </c>
      <c r="C184" s="206">
        <f>$E$166*C90</f>
        <v>18064.306477152721</v>
      </c>
      <c r="D184" s="206">
        <f>$E$166*D90</f>
        <v>20126.446800752925</v>
      </c>
      <c r="E184" s="206">
        <f>$E$166*E90</f>
        <v>22197.639303959586</v>
      </c>
      <c r="F184" s="206">
        <f>$E$166*F90</f>
        <v>24263.757679860773</v>
      </c>
    </row>
    <row r="185" spans="1:6" ht="13.5" thickBot="1" x14ac:dyDescent="0.25">
      <c r="A185" s="186" t="s">
        <v>386</v>
      </c>
      <c r="B185" s="209">
        <f>$E$167*B90</f>
        <v>2582.846261532522</v>
      </c>
      <c r="C185" s="209">
        <f>$E$167*C90</f>
        <v>2868.6331851728778</v>
      </c>
      <c r="D185" s="209">
        <f>$E$167*D90</f>
        <v>3196.1035019682931</v>
      </c>
      <c r="E185" s="209">
        <f>$E$167*E90</f>
        <v>3525.0113155671465</v>
      </c>
      <c r="F185" s="209">
        <f>$E$167*F90</f>
        <v>3853.1133517622188</v>
      </c>
    </row>
    <row r="186" spans="1:6" ht="13.5" thickTop="1" x14ac:dyDescent="0.2">
      <c r="A186" s="57" t="s">
        <v>389</v>
      </c>
      <c r="B186" s="210">
        <f>SUM(B183:B185)</f>
        <v>23551.500345871242</v>
      </c>
      <c r="C186" s="210">
        <f t="shared" ref="C186:F186" si="4">SUM(C183:C185)</f>
        <v>38015.075223204287</v>
      </c>
      <c r="D186" s="210">
        <f t="shared" si="4"/>
        <v>55546.974540843468</v>
      </c>
      <c r="E186" s="210">
        <f t="shared" si="4"/>
        <v>74791.017244857634</v>
      </c>
      <c r="F186" s="210">
        <f t="shared" si="4"/>
        <v>95732.055905428628</v>
      </c>
    </row>
    <row r="187" spans="1:6" x14ac:dyDescent="0.2">
      <c r="A187" s="52"/>
    </row>
    <row r="188" spans="1:6" x14ac:dyDescent="0.2">
      <c r="A188" s="52" t="s">
        <v>566</v>
      </c>
      <c r="B188" s="206">
        <f>D168*(1-E169)+B135</f>
        <v>4645.9225968849451</v>
      </c>
      <c r="C188" s="206">
        <f>B188*(1-$E$169)+C135</f>
        <v>4251.5982215446502</v>
      </c>
      <c r="D188" s="206">
        <f>C188*(1-$E$169)+D135</f>
        <v>4148.2067598335834</v>
      </c>
      <c r="E188" s="206">
        <f>D188*(1-$E$169)+E135</f>
        <v>4234.5853918096464</v>
      </c>
      <c r="F188" s="206">
        <f>E188*(1-$E$169)+F135</f>
        <v>4443.3748271485347</v>
      </c>
    </row>
    <row r="189" spans="1:6" x14ac:dyDescent="0.2">
      <c r="A189" s="52" t="s">
        <v>125</v>
      </c>
      <c r="B189" s="28">
        <f>B147</f>
        <v>67648</v>
      </c>
      <c r="C189" s="28">
        <f>C147</f>
        <v>67648</v>
      </c>
      <c r="D189" s="28">
        <f>D147</f>
        <v>67648</v>
      </c>
      <c r="E189" s="28">
        <f>E147</f>
        <v>67648</v>
      </c>
      <c r="F189" s="28">
        <f>F147</f>
        <v>67648</v>
      </c>
    </row>
    <row r="190" spans="1:6" x14ac:dyDescent="0.2">
      <c r="A190" s="52" t="s">
        <v>127</v>
      </c>
      <c r="B190" s="206">
        <f>D177-E177</f>
        <v>4480.1268</v>
      </c>
      <c r="C190" s="206">
        <f>B190-$E$177</f>
        <v>3733.4390000000003</v>
      </c>
      <c r="D190" s="206">
        <f t="shared" ref="D190:F190" si="5">C190-$E$177</f>
        <v>2986.7512000000006</v>
      </c>
      <c r="E190" s="206">
        <f t="shared" si="5"/>
        <v>2240.0634000000009</v>
      </c>
      <c r="F190" s="206">
        <f t="shared" si="5"/>
        <v>1493.375600000001</v>
      </c>
    </row>
    <row r="191" spans="1:6" x14ac:dyDescent="0.2">
      <c r="A191" s="52" t="s">
        <v>403</v>
      </c>
      <c r="B191" s="206">
        <f>D174*(1-E175)</f>
        <v>5115</v>
      </c>
      <c r="C191" s="206">
        <f>B191*(1-$E$175)</f>
        <v>3839.0645634629491</v>
      </c>
      <c r="D191" s="206">
        <f t="shared" ref="D191:F191" si="6">C191*(1-$E$175)</f>
        <v>2881.4108939270704</v>
      </c>
      <c r="E191" s="206">
        <f t="shared" si="6"/>
        <v>2162.6436863443823</v>
      </c>
      <c r="F191" s="206">
        <f t="shared" si="6"/>
        <v>1623.1727741234799</v>
      </c>
    </row>
    <row r="192" spans="1:6" ht="13.5" thickBot="1" x14ac:dyDescent="0.25">
      <c r="A192" s="186" t="s">
        <v>567</v>
      </c>
      <c r="B192" s="209">
        <f>B209-B186-B188-B189-B190-B191</f>
        <v>18681.694033463398</v>
      </c>
      <c r="C192" s="209">
        <f t="shared" ref="C192:F192" si="7">C209-C186-C188-C189-C190-C191</f>
        <v>17407.681912515909</v>
      </c>
      <c r="D192" s="209">
        <f t="shared" si="7"/>
        <v>15251.266377952164</v>
      </c>
      <c r="E192" s="209">
        <f t="shared" si="7"/>
        <v>12373.661004841266</v>
      </c>
      <c r="F192" s="209">
        <f t="shared" si="7"/>
        <v>8941.2391109033306</v>
      </c>
    </row>
    <row r="193" spans="1:6" ht="13.5" thickTop="1" x14ac:dyDescent="0.2">
      <c r="A193" s="57" t="s">
        <v>568</v>
      </c>
      <c r="B193" s="210">
        <f>SUM(B186:B192)</f>
        <v>124122.24377621958</v>
      </c>
      <c r="C193" s="210">
        <f t="shared" ref="C193:F193" si="8">SUM(C186:C192)</f>
        <v>134894.8589207278</v>
      </c>
      <c r="D193" s="210">
        <f t="shared" si="8"/>
        <v>148462.60977255629</v>
      </c>
      <c r="E193" s="210">
        <f t="shared" si="8"/>
        <v>163449.97072785292</v>
      </c>
      <c r="F193" s="210">
        <f t="shared" si="8"/>
        <v>179881.21821760398</v>
      </c>
    </row>
    <row r="194" spans="1:6" x14ac:dyDescent="0.2">
      <c r="A194" s="52"/>
    </row>
    <row r="195" spans="1:6" x14ac:dyDescent="0.2">
      <c r="A195" s="57" t="s">
        <v>569</v>
      </c>
    </row>
    <row r="196" spans="1:6" x14ac:dyDescent="0.2">
      <c r="A196" s="52" t="s">
        <v>412</v>
      </c>
      <c r="B196" s="206">
        <f>$E$170*B90</f>
        <v>5182.8210467819663</v>
      </c>
      <c r="C196" s="206">
        <f>$E$170*C90</f>
        <v>5756.2901319529328</v>
      </c>
      <c r="D196" s="206">
        <f>$E$170*D90</f>
        <v>6413.4024329679369</v>
      </c>
      <c r="E196" s="206">
        <f>$E$170*E90</f>
        <v>7073.3992605606554</v>
      </c>
      <c r="F196" s="206">
        <f>$E$170*F90</f>
        <v>7731.7791897148036</v>
      </c>
    </row>
    <row r="197" spans="1:6" x14ac:dyDescent="0.2">
      <c r="A197" s="52" t="s">
        <v>570</v>
      </c>
      <c r="B197" s="206">
        <f>$E$171*B90</f>
        <v>31982.359205968416</v>
      </c>
      <c r="C197" s="206">
        <f>$E$171*C90</f>
        <v>35521.145150901604</v>
      </c>
      <c r="D197" s="206">
        <f>$E$171*D90</f>
        <v>39576.079994305321</v>
      </c>
      <c r="E197" s="206">
        <f>$E$171*E90</f>
        <v>43648.814789572105</v>
      </c>
      <c r="F197" s="206">
        <f>$E$171*F90</f>
        <v>47711.571963347589</v>
      </c>
    </row>
    <row r="198" spans="1:6" ht="13.5" thickBot="1" x14ac:dyDescent="0.25">
      <c r="A198" s="186" t="s">
        <v>571</v>
      </c>
      <c r="B198" s="95">
        <f>$D$172</f>
        <v>4862.7030000000004</v>
      </c>
      <c r="C198" s="95">
        <f t="shared" ref="C198:F198" si="9">$D$172</f>
        <v>4862.7030000000004</v>
      </c>
      <c r="D198" s="95">
        <f t="shared" si="9"/>
        <v>4862.7030000000004</v>
      </c>
      <c r="E198" s="95">
        <f t="shared" si="9"/>
        <v>4862.7030000000004</v>
      </c>
      <c r="F198" s="95">
        <f t="shared" si="9"/>
        <v>4862.7030000000004</v>
      </c>
    </row>
    <row r="199" spans="1:6" ht="13.5" thickTop="1" x14ac:dyDescent="0.2">
      <c r="A199" s="57" t="s">
        <v>417</v>
      </c>
      <c r="B199" s="210">
        <f>SUM(B196:B198)</f>
        <v>42027.883252750384</v>
      </c>
      <c r="C199" s="210">
        <f t="shared" ref="C199:F199" si="10">SUM(C196:C198)</f>
        <v>46140.138282854539</v>
      </c>
      <c r="D199" s="210">
        <f t="shared" si="10"/>
        <v>50852.18542727326</v>
      </c>
      <c r="E199" s="210">
        <f t="shared" si="10"/>
        <v>55584.917050132761</v>
      </c>
      <c r="F199" s="210">
        <f t="shared" si="10"/>
        <v>60306.054153062396</v>
      </c>
    </row>
    <row r="200" spans="1:6" x14ac:dyDescent="0.2">
      <c r="A200" s="52"/>
    </row>
    <row r="201" spans="1:6" x14ac:dyDescent="0.2">
      <c r="A201" s="52" t="s">
        <v>572</v>
      </c>
      <c r="B201" s="28">
        <f>$D$173</f>
        <v>10701</v>
      </c>
      <c r="C201" s="28">
        <f t="shared" ref="C201:F201" si="11">$D$173</f>
        <v>10701</v>
      </c>
      <c r="D201" s="28">
        <f t="shared" si="11"/>
        <v>10701</v>
      </c>
      <c r="E201" s="28">
        <f t="shared" si="11"/>
        <v>10701</v>
      </c>
      <c r="F201" s="28">
        <f t="shared" si="11"/>
        <v>10701</v>
      </c>
    </row>
    <row r="202" spans="1:6" ht="13.5" thickBot="1" x14ac:dyDescent="0.25">
      <c r="A202" s="186" t="s">
        <v>128</v>
      </c>
      <c r="B202" s="95">
        <f>B150</f>
        <v>522.78018137921208</v>
      </c>
      <c r="C202" s="95">
        <f>C150</f>
        <v>0</v>
      </c>
      <c r="D202" s="95">
        <f>D150</f>
        <v>0</v>
      </c>
      <c r="E202" s="95">
        <f>E150</f>
        <v>0</v>
      </c>
      <c r="F202" s="95">
        <f>F150</f>
        <v>0</v>
      </c>
    </row>
    <row r="203" spans="1:6" ht="13.5" thickTop="1" x14ac:dyDescent="0.2">
      <c r="A203" s="57" t="s">
        <v>130</v>
      </c>
      <c r="B203" s="28">
        <f>B201+B198+B202</f>
        <v>16086.483181379213</v>
      </c>
      <c r="C203" s="28">
        <f t="shared" ref="C203:F203" si="12">C201+C198+C202</f>
        <v>15563.703000000001</v>
      </c>
      <c r="D203" s="28">
        <f t="shared" si="12"/>
        <v>15563.703000000001</v>
      </c>
      <c r="E203" s="28">
        <f t="shared" si="12"/>
        <v>15563.703000000001</v>
      </c>
      <c r="F203" s="28">
        <f t="shared" si="12"/>
        <v>15563.703000000001</v>
      </c>
    </row>
    <row r="204" spans="1:6" ht="13.5" thickBot="1" x14ac:dyDescent="0.25">
      <c r="A204" s="186" t="s">
        <v>573</v>
      </c>
      <c r="B204" s="95">
        <f>$D$176</f>
        <v>6398.8339999999998</v>
      </c>
      <c r="C204" s="95">
        <f t="shared" ref="C204:F204" si="13">$D$176</f>
        <v>6398.8339999999998</v>
      </c>
      <c r="D204" s="95">
        <f t="shared" si="13"/>
        <v>6398.8339999999998</v>
      </c>
      <c r="E204" s="95">
        <f t="shared" si="13"/>
        <v>6398.8339999999998</v>
      </c>
      <c r="F204" s="95">
        <f t="shared" si="13"/>
        <v>6398.8339999999998</v>
      </c>
    </row>
    <row r="205" spans="1:6" ht="13.5" thickTop="1" x14ac:dyDescent="0.2">
      <c r="A205" s="57" t="s">
        <v>426</v>
      </c>
      <c r="B205" s="210">
        <f>B204+B201+B199+B202</f>
        <v>59650.497434129597</v>
      </c>
      <c r="C205" s="210">
        <f t="shared" ref="C205:F205" si="14">C204+C201+C199+C202</f>
        <v>63239.972282854535</v>
      </c>
      <c r="D205" s="210">
        <f t="shared" si="14"/>
        <v>67952.019427273262</v>
      </c>
      <c r="E205" s="210">
        <f t="shared" si="14"/>
        <v>72684.751050132763</v>
      </c>
      <c r="F205" s="210">
        <f t="shared" si="14"/>
        <v>77405.888153062391</v>
      </c>
    </row>
    <row r="206" spans="1:6" x14ac:dyDescent="0.2">
      <c r="A206" s="52"/>
    </row>
    <row r="207" spans="1:6" x14ac:dyDescent="0.2">
      <c r="A207" s="57" t="s">
        <v>131</v>
      </c>
      <c r="B207" s="211">
        <f>B154</f>
        <v>64471.746342089995</v>
      </c>
      <c r="C207" s="211">
        <f>C154</f>
        <v>71654.886637873249</v>
      </c>
      <c r="D207" s="211">
        <f>D154</f>
        <v>80510.590345283024</v>
      </c>
      <c r="E207" s="211">
        <f>E154</f>
        <v>90765.219677720161</v>
      </c>
      <c r="F207" s="211">
        <f>F154</f>
        <v>102475.33006454157</v>
      </c>
    </row>
    <row r="208" spans="1:6" x14ac:dyDescent="0.2">
      <c r="A208" s="52"/>
    </row>
    <row r="209" spans="1:6" x14ac:dyDescent="0.2">
      <c r="A209" s="54" t="s">
        <v>574</v>
      </c>
      <c r="B209" s="214">
        <f>B207+B205</f>
        <v>124122.24377621959</v>
      </c>
      <c r="C209" s="214">
        <f t="shared" ref="C209:F209" si="15">C207+C205</f>
        <v>134894.8589207278</v>
      </c>
      <c r="D209" s="214">
        <f t="shared" si="15"/>
        <v>148462.60977255629</v>
      </c>
      <c r="E209" s="214">
        <f t="shared" si="15"/>
        <v>163449.97072785292</v>
      </c>
      <c r="F209" s="214">
        <f t="shared" si="15"/>
        <v>179881.21821760398</v>
      </c>
    </row>
    <row r="210" spans="1:6" x14ac:dyDescent="0.2">
      <c r="A210" s="212"/>
      <c r="B210" s="213">
        <f>B209-B193</f>
        <v>0</v>
      </c>
      <c r="C210" s="213">
        <f t="shared" ref="C210:F210" si="16">C209-C193</f>
        <v>0</v>
      </c>
      <c r="D210" s="213">
        <f t="shared" si="16"/>
        <v>0</v>
      </c>
      <c r="E210" s="213">
        <f t="shared" si="16"/>
        <v>0</v>
      </c>
      <c r="F210" s="213">
        <f t="shared" si="16"/>
        <v>0</v>
      </c>
    </row>
    <row r="212" spans="1:6" ht="15" x14ac:dyDescent="0.25">
      <c r="A212" s="215" t="s">
        <v>578</v>
      </c>
      <c r="B212" s="191"/>
      <c r="C212" s="191"/>
      <c r="D212" s="191"/>
      <c r="E212" s="191"/>
      <c r="F212" s="191"/>
    </row>
    <row r="213" spans="1:6" x14ac:dyDescent="0.2">
      <c r="A213" s="52"/>
      <c r="B213" s="57">
        <v>2026</v>
      </c>
      <c r="C213" s="57">
        <v>2027</v>
      </c>
      <c r="D213" s="57">
        <v>2028</v>
      </c>
      <c r="E213" s="57">
        <v>2029</v>
      </c>
      <c r="F213" s="57">
        <v>2030</v>
      </c>
    </row>
    <row r="214" spans="1:6" x14ac:dyDescent="0.2">
      <c r="A214" s="52" t="s">
        <v>133</v>
      </c>
      <c r="B214" s="6">
        <f>B203/B103</f>
        <v>1.108077248996044</v>
      </c>
      <c r="C214" s="6">
        <f t="shared" ref="C214:F214" si="17">C203/C103</f>
        <v>0.9309579506186787</v>
      </c>
      <c r="D214" s="6">
        <f t="shared" si="17"/>
        <v>0.80548348227629341</v>
      </c>
      <c r="E214" s="6">
        <f t="shared" si="17"/>
        <v>0.72027566555247335</v>
      </c>
      <c r="F214" s="6">
        <f t="shared" si="17"/>
        <v>0.64970483627447317</v>
      </c>
    </row>
    <row r="215" spans="1:6" x14ac:dyDescent="0.2">
      <c r="A215" s="52" t="s">
        <v>579</v>
      </c>
      <c r="B215" s="6">
        <f>(B203-B183)/B103</f>
        <v>0.78405394815978924</v>
      </c>
      <c r="C215" s="6">
        <f t="shared" ref="C215:F215" si="18">(C203-C183)/C103</f>
        <v>-9.0826512496948619E-2</v>
      </c>
      <c r="D215" s="6">
        <f t="shared" si="18"/>
        <v>-0.86225853578144684</v>
      </c>
      <c r="E215" s="6">
        <f t="shared" si="18"/>
        <v>-1.5505689032903647</v>
      </c>
      <c r="F215" s="6">
        <f t="shared" si="18"/>
        <v>-2.1728826043946348</v>
      </c>
    </row>
    <row r="216" spans="1:6" x14ac:dyDescent="0.2">
      <c r="A216" s="52" t="s">
        <v>135</v>
      </c>
      <c r="B216" s="6">
        <f>B103/B107</f>
        <v>15.908968298696387</v>
      </c>
      <c r="C216" s="6">
        <f t="shared" ref="C216:F216" si="19">C103/C107</f>
        <v>47.294661660950574</v>
      </c>
      <c r="D216" s="6">
        <f t="shared" si="19"/>
        <v>59.636381660639984</v>
      </c>
      <c r="E216" s="6">
        <f t="shared" si="19"/>
        <v>66.691299828275064</v>
      </c>
      <c r="F216" s="6">
        <f t="shared" si="19"/>
        <v>73.935297520360649</v>
      </c>
    </row>
    <row r="217" spans="1:6" x14ac:dyDescent="0.2">
      <c r="A217" s="52" t="s">
        <v>580</v>
      </c>
      <c r="B217" s="29">
        <f>B110/B207</f>
        <v>0.10833555376380674</v>
      </c>
      <c r="C217" s="29">
        <f t="shared" ref="C217:F217" si="20">C110/C207</f>
        <v>0.12426465456267921</v>
      </c>
      <c r="D217" s="29">
        <f t="shared" si="20"/>
        <v>0.13222576408090489</v>
      </c>
      <c r="E217" s="29">
        <f t="shared" si="20"/>
        <v>0.13348829890746397</v>
      </c>
      <c r="F217" s="29">
        <f t="shared" si="20"/>
        <v>0.13316409362353804</v>
      </c>
    </row>
    <row r="218" spans="1:6" x14ac:dyDescent="0.2">
      <c r="A218" t="s">
        <v>581</v>
      </c>
      <c r="B218" s="29">
        <f>B110/B193</f>
        <v>5.6271802133085261E-2</v>
      </c>
      <c r="C218" s="29">
        <f t="shared" ref="C218:F218" si="21">C110/C193</f>
        <v>6.6008221566219036E-2</v>
      </c>
      <c r="D218" s="29">
        <f t="shared" si="21"/>
        <v>7.170542361688724E-2</v>
      </c>
      <c r="E218" s="29">
        <f t="shared" si="21"/>
        <v>7.4127237348452335E-2</v>
      </c>
      <c r="F218" s="29">
        <f t="shared" si="21"/>
        <v>7.586136330425472E-2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1"/>
  <sheetViews>
    <sheetView zoomScaleNormal="100" workbookViewId="0">
      <selection activeCell="G26" sqref="G26"/>
    </sheetView>
  </sheetViews>
  <sheetFormatPr defaultColWidth="8.7109375" defaultRowHeight="12.75" x14ac:dyDescent="0.2"/>
  <cols>
    <col min="1" max="1" width="23.42578125" customWidth="1"/>
    <col min="2" max="2" width="9.42578125" customWidth="1"/>
    <col min="3" max="3" width="12.7109375" customWidth="1"/>
    <col min="4" max="4" width="12.140625" customWidth="1"/>
    <col min="5" max="5" width="13.140625" customWidth="1"/>
    <col min="6" max="6" width="15.42578125" customWidth="1"/>
    <col min="7" max="7" width="14.85546875" customWidth="1"/>
    <col min="8" max="8" width="15.7109375" customWidth="1"/>
  </cols>
  <sheetData>
    <row r="2" spans="1:10" ht="24.95" customHeight="1" x14ac:dyDescent="0.25">
      <c r="A2" s="261" t="s">
        <v>37</v>
      </c>
      <c r="B2" s="261"/>
      <c r="C2" s="261"/>
      <c r="D2" s="261"/>
      <c r="E2" s="261"/>
      <c r="F2" s="261"/>
      <c r="G2" s="261"/>
      <c r="H2" s="261"/>
      <c r="I2" s="261"/>
      <c r="J2" s="261"/>
    </row>
    <row r="3" spans="1:10" ht="12.75" customHeight="1" x14ac:dyDescent="0.2">
      <c r="A3" s="82"/>
      <c r="B3" s="82"/>
      <c r="C3" s="82"/>
      <c r="D3" s="262" t="s">
        <v>4</v>
      </c>
      <c r="E3" s="262"/>
      <c r="F3" s="2" t="s">
        <v>193</v>
      </c>
      <c r="G3" s="262" t="s">
        <v>194</v>
      </c>
      <c r="H3" s="262"/>
      <c r="I3" s="262" t="s">
        <v>195</v>
      </c>
      <c r="J3" s="262"/>
    </row>
    <row r="4" spans="1:10" ht="12.75" customHeight="1" x14ac:dyDescent="0.2">
      <c r="A4" s="83" t="s">
        <v>196</v>
      </c>
      <c r="B4" s="2" t="s">
        <v>197</v>
      </c>
      <c r="C4" s="2" t="s">
        <v>198</v>
      </c>
      <c r="D4" s="2" t="s">
        <v>199</v>
      </c>
      <c r="E4" s="2" t="s">
        <v>200</v>
      </c>
      <c r="F4" s="2" t="s">
        <v>201</v>
      </c>
      <c r="G4" s="2" t="s">
        <v>201</v>
      </c>
      <c r="H4" s="2" t="s">
        <v>202</v>
      </c>
      <c r="I4" s="2" t="s">
        <v>203</v>
      </c>
      <c r="J4" s="2" t="s">
        <v>204</v>
      </c>
    </row>
    <row r="5" spans="1:10" ht="12.75" customHeight="1" x14ac:dyDescent="0.2">
      <c r="A5" s="4" t="s">
        <v>205</v>
      </c>
      <c r="B5" t="s">
        <v>206</v>
      </c>
      <c r="C5" s="6">
        <f>'Raw Comps'!F20</f>
        <v>12522.567287</v>
      </c>
      <c r="D5" s="6">
        <f>'Raw Comps'!D6</f>
        <v>3183.3779300000001</v>
      </c>
      <c r="E5" s="6">
        <f>'Raw Comps'!E6</f>
        <v>3483.6276859999998</v>
      </c>
      <c r="F5" s="6">
        <f>'Raw Comps'!J20</f>
        <v>4.2900200000000002</v>
      </c>
      <c r="G5" s="6">
        <f>C5/'Raw Comps'!F6</f>
        <v>14.934706519972194</v>
      </c>
      <c r="H5" s="6">
        <f>C5/'Raw Comps'!H6</f>
        <v>13.024703632561119</v>
      </c>
      <c r="I5" s="84">
        <f>'Raw Comps'!G6</f>
        <v>26.339558</v>
      </c>
      <c r="J5" s="84">
        <f>'Raw Comps'!I6</f>
        <v>27.599028000000001</v>
      </c>
    </row>
    <row r="6" spans="1:10" ht="12.75" customHeight="1" x14ac:dyDescent="0.2">
      <c r="A6" s="4" t="s">
        <v>207</v>
      </c>
      <c r="B6" t="s">
        <v>208</v>
      </c>
      <c r="C6" s="6">
        <f>'Raw Comps'!F21</f>
        <v>12774.137037</v>
      </c>
      <c r="D6" s="6">
        <f>'Raw Comps'!D7</f>
        <v>5502.4628910000001</v>
      </c>
      <c r="E6" s="6">
        <f>'Raw Comps'!E7</f>
        <v>6159.3964839999999</v>
      </c>
      <c r="F6" s="6">
        <f>'Raw Comps'!J21</f>
        <v>2.696529</v>
      </c>
      <c r="G6" s="6">
        <f>C6/'Raw Comps'!F7</f>
        <v>19.904778544581728</v>
      </c>
      <c r="H6" s="6">
        <f>C6/'Raw Comps'!H7</f>
        <v>15.133553542064215</v>
      </c>
      <c r="I6" s="84">
        <f>'Raw Comps'!G7</f>
        <v>11.663183</v>
      </c>
      <c r="J6" s="84">
        <f>'Raw Comps'!I7</f>
        <v>13.704162999999999</v>
      </c>
    </row>
    <row r="7" spans="1:10" ht="12.75" customHeight="1" x14ac:dyDescent="0.2">
      <c r="A7" s="4" t="s">
        <v>209</v>
      </c>
      <c r="B7" t="s">
        <v>210</v>
      </c>
      <c r="C7" s="6">
        <f>'Raw Comps'!F22</f>
        <v>14273.04472</v>
      </c>
      <c r="D7" s="6">
        <f>'Raw Comps'!D8</f>
        <v>2531.1391600000002</v>
      </c>
      <c r="E7" s="6">
        <f>'Raw Comps'!E8</f>
        <v>2777.7619629999999</v>
      </c>
      <c r="F7" s="6">
        <f>'Raw Comps'!J22</f>
        <v>6.119624</v>
      </c>
      <c r="G7" s="6">
        <f>C7/'Raw Comps'!F8</f>
        <v>19.331431687859745</v>
      </c>
      <c r="H7" s="6">
        <f>C7/'Raw Comps'!H8</f>
        <v>16.932540855890647</v>
      </c>
      <c r="I7" s="84">
        <f>'Raw Comps'!G8</f>
        <v>29.170010000000001</v>
      </c>
      <c r="J7" s="84">
        <f>'Raw Comps'!I8</f>
        <v>30.345859999999998</v>
      </c>
    </row>
    <row r="8" spans="1:10" ht="12.75" customHeight="1" x14ac:dyDescent="0.2">
      <c r="A8" s="4" t="s">
        <v>211</v>
      </c>
      <c r="B8" t="s">
        <v>212</v>
      </c>
      <c r="C8" s="6">
        <f>'Raw Comps'!F23</f>
        <v>19493.448691000001</v>
      </c>
      <c r="D8" s="6">
        <f>'Raw Comps'!D9</f>
        <v>4960.8027339999999</v>
      </c>
      <c r="E8" s="6">
        <f>'Raw Comps'!E9</f>
        <v>5240.9624020000001</v>
      </c>
      <c r="F8" s="6">
        <f>'Raw Comps'!J23</f>
        <v>4.1238520000000003</v>
      </c>
      <c r="G8" s="6">
        <f>C8/'Raw Comps'!F9</f>
        <v>7.8562476283034899</v>
      </c>
      <c r="H8" s="6">
        <f>C8/'Raw Comps'!H9</f>
        <v>7.397900782452183</v>
      </c>
      <c r="I8" s="84">
        <f>'Raw Comps'!G9</f>
        <v>50.017451999999999</v>
      </c>
      <c r="J8" s="84">
        <f>'Raw Comps'!I9</f>
        <v>50.276978</v>
      </c>
    </row>
    <row r="9" spans="1:10" ht="12.75" customHeight="1" x14ac:dyDescent="0.2">
      <c r="A9" s="4" t="s">
        <v>213</v>
      </c>
      <c r="B9" t="s">
        <v>214</v>
      </c>
      <c r="C9" s="6">
        <f>'Raw Comps'!F24</f>
        <v>11414.653753000001</v>
      </c>
      <c r="D9" s="6">
        <f>'Raw Comps'!D10</f>
        <v>2519.6320799999999</v>
      </c>
      <c r="E9" s="6">
        <f>'Raw Comps'!E10</f>
        <v>2677.524414</v>
      </c>
      <c r="F9" s="6">
        <f>'Raw Comps'!J24</f>
        <v>4.6315720000000002</v>
      </c>
      <c r="G9" s="6">
        <f>C9/'Raw Comps'!F10</f>
        <v>14.072704540010811</v>
      </c>
      <c r="H9" s="6">
        <f>C9/'Raw Comps'!H10</f>
        <v>13.125149800993178</v>
      </c>
      <c r="I9" s="84">
        <f>'Raw Comps'!G10</f>
        <v>32.192005000000002</v>
      </c>
      <c r="J9" s="84">
        <f>'Raw Comps'!I10</f>
        <v>32.480674999999998</v>
      </c>
    </row>
    <row r="10" spans="1:10" ht="12.75" customHeight="1" x14ac:dyDescent="0.2">
      <c r="A10" s="4" t="s">
        <v>215</v>
      </c>
      <c r="B10" t="s">
        <v>216</v>
      </c>
      <c r="C10" s="6">
        <f>'Raw Comps'!F25</f>
        <v>10503.002267</v>
      </c>
      <c r="D10" s="6">
        <f>'Raw Comps'!D11</f>
        <v>2007.6473390000001</v>
      </c>
      <c r="E10" s="6">
        <f>'Raw Comps'!E11</f>
        <v>2304.9592290000001</v>
      </c>
      <c r="F10" s="6">
        <f>'Raw Comps'!J25</f>
        <v>5.4367979999999996</v>
      </c>
      <c r="G10" s="6">
        <f>C10/'Raw Comps'!F11</f>
        <v>17.291852985807303</v>
      </c>
      <c r="H10" s="6">
        <f>C10/'Raw Comps'!H11</f>
        <v>14.75351724484571</v>
      </c>
      <c r="I10" s="84">
        <f>'Raw Comps'!G11</f>
        <v>30.254116</v>
      </c>
      <c r="J10" s="84">
        <f>'Raw Comps'!I11</f>
        <v>30.8855</v>
      </c>
    </row>
    <row r="11" spans="1:10" ht="13.5" customHeight="1" x14ac:dyDescent="0.2">
      <c r="A11" s="85" t="s">
        <v>217</v>
      </c>
      <c r="B11" s="86" t="s">
        <v>218</v>
      </c>
      <c r="C11" s="24">
        <f>'Raw Comps'!F26</f>
        <v>16364.767049</v>
      </c>
      <c r="D11" s="24">
        <f>'Raw Comps'!D12</f>
        <v>3866.2543949999999</v>
      </c>
      <c r="E11" s="24">
        <f>'Raw Comps'!E12</f>
        <v>4182.0424800000001</v>
      </c>
      <c r="F11" s="24">
        <f>'Raw Comps'!J26</f>
        <v>4.5618619999999996</v>
      </c>
      <c r="G11" s="24">
        <f>C11/'Raw Comps'!F12</f>
        <v>14.234910303174679</v>
      </c>
      <c r="H11" s="24">
        <f>C11/'Raw Comps'!H12</f>
        <v>13.073736385179419</v>
      </c>
      <c r="I11" s="87">
        <f>'Raw Comps'!G12</f>
        <v>29.734776</v>
      </c>
      <c r="J11" s="87">
        <f>'Raw Comps'!I12</f>
        <v>29.93103</v>
      </c>
    </row>
    <row r="12" spans="1:10" ht="13.5" customHeight="1" x14ac:dyDescent="0.2">
      <c r="A12" s="4" t="s">
        <v>219</v>
      </c>
      <c r="F12" s="28">
        <f>AVERAGE(F5:F11)</f>
        <v>4.5514652857142863</v>
      </c>
      <c r="G12" s="28">
        <f>AVERAGE(G5:G11)</f>
        <v>15.375233172815708</v>
      </c>
      <c r="H12" s="28">
        <f>AVERAGE(H5:H11)</f>
        <v>13.348728891998068</v>
      </c>
    </row>
    <row r="13" spans="1:10" ht="12.75" customHeight="1" x14ac:dyDescent="0.2">
      <c r="A13" s="4" t="s">
        <v>220</v>
      </c>
      <c r="F13" s="28">
        <f>MEDIAN(F5:F11)</f>
        <v>4.5618619999999996</v>
      </c>
      <c r="G13" s="28">
        <f>MEDIAN(G5:G11)</f>
        <v>14.934706519972194</v>
      </c>
      <c r="H13" s="28">
        <f>MEDIAN(H5:H11)</f>
        <v>13.125149800993178</v>
      </c>
    </row>
    <row r="15" spans="1:10" ht="12.75" customHeight="1" x14ac:dyDescent="0.2">
      <c r="A15" s="4" t="s">
        <v>221</v>
      </c>
    </row>
    <row r="16" spans="1:10" ht="26.1" customHeight="1" x14ac:dyDescent="0.25">
      <c r="A16" s="263" t="s">
        <v>222</v>
      </c>
      <c r="B16" s="263"/>
      <c r="C16" s="263"/>
      <c r="D16" s="263"/>
      <c r="E16" s="263"/>
      <c r="F16" s="263"/>
      <c r="G16" s="263"/>
      <c r="H16" s="263"/>
    </row>
    <row r="17" spans="1:9" ht="12.75" customHeight="1" x14ac:dyDescent="0.2">
      <c r="A17" s="88" t="s">
        <v>30</v>
      </c>
      <c r="B17" s="89" t="s">
        <v>223</v>
      </c>
      <c r="C17" s="89" t="s">
        <v>224</v>
      </c>
      <c r="D17" s="89" t="s">
        <v>225</v>
      </c>
      <c r="E17" s="89" t="s">
        <v>226</v>
      </c>
      <c r="F17" s="89" t="s">
        <v>227</v>
      </c>
      <c r="G17" s="89" t="s">
        <v>228</v>
      </c>
      <c r="H17" s="89" t="s">
        <v>229</v>
      </c>
    </row>
    <row r="18" spans="1:9" x14ac:dyDescent="0.2">
      <c r="A18" t="s">
        <v>230</v>
      </c>
      <c r="B18" s="6">
        <f>'HUBS Projection'!B59</f>
        <v>3694.8679200000001</v>
      </c>
      <c r="C18" s="6">
        <f>_xlfn.PERCENTILE.INC(F5:F11,0.25)</f>
        <v>4.2069360000000007</v>
      </c>
      <c r="D18" s="6">
        <f>F13</f>
        <v>4.5618619999999996</v>
      </c>
      <c r="E18" s="6">
        <f>_xlfn.PERCENTILE.INC(F5:F11,0.75)</f>
        <v>5.0341849999999999</v>
      </c>
      <c r="F18" s="6">
        <f>B18*C18</f>
        <v>15544.072867893123</v>
      </c>
      <c r="G18" s="6">
        <f>B18*D18</f>
        <v>16855.477559267038</v>
      </c>
      <c r="H18" s="6">
        <f>B18*E18</f>
        <v>18600.648659845199</v>
      </c>
      <c r="I18" t="s">
        <v>541</v>
      </c>
    </row>
    <row r="19" spans="1:9" x14ac:dyDescent="0.2">
      <c r="A19" t="s">
        <v>231</v>
      </c>
      <c r="B19" s="6">
        <v>886.7</v>
      </c>
      <c r="C19" s="6">
        <f>_xlfn.PERCENTILE.INC(G5:G11,0.25)</f>
        <v>14.153807421592745</v>
      </c>
      <c r="D19" s="6">
        <f>G13</f>
        <v>14.934706519972194</v>
      </c>
      <c r="E19" s="6">
        <f>_xlfn.PERCENTILE.INC(G5:G11,0.75)</f>
        <v>18.311642336833522</v>
      </c>
      <c r="F19" s="6">
        <f>B19*C19</f>
        <v>12550.181040726287</v>
      </c>
      <c r="G19" s="6">
        <f>B19*D19</f>
        <v>13242.604271259344</v>
      </c>
      <c r="H19" s="6">
        <f>B19*E19</f>
        <v>16236.933260070286</v>
      </c>
      <c r="I19" t="s">
        <v>542</v>
      </c>
    </row>
    <row r="20" spans="1:9" ht="12.75" customHeight="1" x14ac:dyDescent="0.2">
      <c r="A20" s="86" t="s">
        <v>232</v>
      </c>
      <c r="B20" s="24">
        <v>1094.0999999999999</v>
      </c>
      <c r="C20" s="24">
        <f>_xlfn.PERCENTILE.INC(H5:H11,0.25)</f>
        <v>13.049220008870268</v>
      </c>
      <c r="D20" s="24">
        <f>H13</f>
        <v>13.125149800993178</v>
      </c>
      <c r="E20" s="24">
        <f>_xlfn.PERCENTILE.INC(H5:H11,0.75)</f>
        <v>14.943535393454962</v>
      </c>
      <c r="F20" s="24">
        <f>B20*C20</f>
        <v>14277.15161170496</v>
      </c>
      <c r="G20" s="24">
        <f>B20*D20</f>
        <v>14360.226397266635</v>
      </c>
      <c r="H20" s="24">
        <f>B20*E20</f>
        <v>16349.722073979072</v>
      </c>
    </row>
    <row r="21" spans="1:9" ht="12.75" customHeight="1" x14ac:dyDescent="0.2">
      <c r="A21" t="s">
        <v>233</v>
      </c>
      <c r="B21" s="6"/>
      <c r="C21" s="6"/>
      <c r="D21" s="6"/>
      <c r="E21" s="6"/>
      <c r="F21" s="6">
        <f>MIN(F18:F20)</f>
        <v>12550.181040726287</v>
      </c>
      <c r="G21" s="6">
        <f>AVERAGE(G18:G20)</f>
        <v>14819.436075931006</v>
      </c>
      <c r="H21" s="6">
        <f>MAX(H18:H20)</f>
        <v>18600.648659845199</v>
      </c>
    </row>
  </sheetData>
  <mergeCells count="5">
    <mergeCell ref="A2:J2"/>
    <mergeCell ref="D3:E3"/>
    <mergeCell ref="G3:H3"/>
    <mergeCell ref="I3:J3"/>
    <mergeCell ref="A16:H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7"/>
  <sheetViews>
    <sheetView zoomScaleNormal="100" workbookViewId="0">
      <selection activeCell="D24" sqref="D24"/>
    </sheetView>
  </sheetViews>
  <sheetFormatPr defaultColWidth="8.7109375" defaultRowHeight="12.75" x14ac:dyDescent="0.2"/>
  <cols>
    <col min="1" max="1" width="21" customWidth="1"/>
    <col min="2" max="2" width="22.85546875" customWidth="1"/>
    <col min="3" max="3" width="13.28515625" customWidth="1"/>
    <col min="4" max="4" width="15.42578125" customWidth="1"/>
    <col min="5" max="5" width="18.140625" customWidth="1"/>
    <col min="6" max="6" width="21" customWidth="1"/>
    <col min="7" max="7" width="18.42578125" customWidth="1"/>
    <col min="8" max="8" width="18.140625" customWidth="1"/>
    <col min="9" max="9" width="18.85546875" customWidth="1"/>
  </cols>
  <sheetData>
    <row r="2" spans="1:9" x14ac:dyDescent="0.2">
      <c r="A2" t="s">
        <v>234</v>
      </c>
    </row>
    <row r="3" spans="1:9" ht="12.75" customHeight="1" x14ac:dyDescent="0.2">
      <c r="A3" s="194" t="s">
        <v>235</v>
      </c>
      <c r="B3" s="194"/>
      <c r="C3" s="194"/>
      <c r="D3" s="194"/>
      <c r="E3" s="194"/>
      <c r="F3" s="194"/>
      <c r="G3" s="194"/>
    </row>
    <row r="4" spans="1:9" ht="12.75" customHeight="1" x14ac:dyDescent="0.2">
      <c r="A4" s="61" t="s">
        <v>236</v>
      </c>
      <c r="B4" s="61" t="s">
        <v>237</v>
      </c>
      <c r="C4" s="61" t="s">
        <v>238</v>
      </c>
      <c r="D4" s="61" t="s">
        <v>239</v>
      </c>
      <c r="E4" s="61" t="s">
        <v>240</v>
      </c>
      <c r="F4" s="61" t="s">
        <v>241</v>
      </c>
      <c r="G4" s="61" t="s">
        <v>242</v>
      </c>
      <c r="H4" s="4" t="s">
        <v>243</v>
      </c>
    </row>
    <row r="5" spans="1:9" x14ac:dyDescent="0.2">
      <c r="A5" t="s">
        <v>244</v>
      </c>
      <c r="B5" t="s">
        <v>245</v>
      </c>
      <c r="C5">
        <v>2022</v>
      </c>
      <c r="D5" s="6">
        <v>10200</v>
      </c>
      <c r="E5" s="6">
        <v>1700</v>
      </c>
      <c r="F5" s="6">
        <v>6</v>
      </c>
      <c r="G5" s="90" t="s">
        <v>246</v>
      </c>
    </row>
    <row r="6" spans="1:9" x14ac:dyDescent="0.2">
      <c r="A6" t="s">
        <v>247</v>
      </c>
      <c r="B6" t="s">
        <v>248</v>
      </c>
      <c r="C6">
        <v>2023</v>
      </c>
      <c r="D6" s="6">
        <v>12500</v>
      </c>
      <c r="E6" s="6">
        <v>1800</v>
      </c>
      <c r="F6" s="6">
        <v>6.9</v>
      </c>
      <c r="G6" s="90" t="s">
        <v>246</v>
      </c>
    </row>
    <row r="7" spans="1:9" x14ac:dyDescent="0.2">
      <c r="A7" t="s">
        <v>249</v>
      </c>
      <c r="B7" t="s">
        <v>250</v>
      </c>
      <c r="C7">
        <v>2022</v>
      </c>
      <c r="D7" s="6">
        <v>2800</v>
      </c>
      <c r="E7" s="6">
        <v>332</v>
      </c>
      <c r="F7" s="6">
        <v>8.4</v>
      </c>
      <c r="G7" s="90" t="s">
        <v>246</v>
      </c>
    </row>
    <row r="8" spans="1:9" x14ac:dyDescent="0.2">
      <c r="A8" t="s">
        <v>251</v>
      </c>
      <c r="B8" t="s">
        <v>252</v>
      </c>
      <c r="C8">
        <v>2022</v>
      </c>
      <c r="D8" s="6">
        <v>8400</v>
      </c>
      <c r="E8" s="6">
        <v>756</v>
      </c>
      <c r="F8" s="6">
        <v>8.8000000000000007</v>
      </c>
      <c r="G8" s="90" t="s">
        <v>246</v>
      </c>
    </row>
    <row r="9" spans="1:9" ht="12.75" customHeight="1" x14ac:dyDescent="0.2">
      <c r="A9" s="86" t="s">
        <v>253</v>
      </c>
      <c r="B9" s="86" t="s">
        <v>250</v>
      </c>
      <c r="C9" s="86">
        <v>2023</v>
      </c>
      <c r="D9" s="24">
        <v>8000</v>
      </c>
      <c r="E9" s="24">
        <v>952</v>
      </c>
      <c r="F9" s="24">
        <v>8.4</v>
      </c>
      <c r="G9" s="91" t="s">
        <v>246</v>
      </c>
    </row>
    <row r="10" spans="1:9" ht="12.75" customHeight="1" x14ac:dyDescent="0.2">
      <c r="E10" s="92" t="s">
        <v>219</v>
      </c>
      <c r="F10" s="93">
        <f>AVERAGE(F5:F9)</f>
        <v>7.7</v>
      </c>
      <c r="G10" s="92" t="s">
        <v>246</v>
      </c>
    </row>
    <row r="11" spans="1:9" x14ac:dyDescent="0.2">
      <c r="E11" s="92" t="s">
        <v>220</v>
      </c>
      <c r="F11" s="93">
        <f>MEDIAN(F5:F9)</f>
        <v>8.4</v>
      </c>
      <c r="G11" s="92" t="s">
        <v>246</v>
      </c>
    </row>
    <row r="12" spans="1:9" x14ac:dyDescent="0.2">
      <c r="E12" s="92"/>
      <c r="F12" s="93"/>
      <c r="G12" s="92"/>
    </row>
    <row r="14" spans="1:9" ht="12.75" customHeight="1" x14ac:dyDescent="0.2">
      <c r="A14" s="230" t="s">
        <v>30</v>
      </c>
      <c r="B14" s="230" t="s">
        <v>254</v>
      </c>
      <c r="C14" s="230" t="s">
        <v>3</v>
      </c>
      <c r="D14" s="230" t="s">
        <v>224</v>
      </c>
      <c r="E14" s="230" t="s">
        <v>225</v>
      </c>
      <c r="F14" s="230" t="s">
        <v>226</v>
      </c>
      <c r="G14" s="230" t="s">
        <v>255</v>
      </c>
      <c r="H14" s="230" t="s">
        <v>256</v>
      </c>
      <c r="I14" s="230" t="s">
        <v>257</v>
      </c>
    </row>
    <row r="15" spans="1:9" x14ac:dyDescent="0.2">
      <c r="A15" t="s">
        <v>258</v>
      </c>
      <c r="B15" t="s">
        <v>259</v>
      </c>
      <c r="C15" s="6">
        <f>'HUBS-US-IS'!K9</f>
        <v>3131.2440000000001</v>
      </c>
      <c r="D15">
        <f>_xlfn.PERCENTILE.INC($F$5:$F$9,0.25)</f>
        <v>6.9</v>
      </c>
      <c r="E15" s="28">
        <f>$F$11</f>
        <v>8.4</v>
      </c>
      <c r="F15" s="28">
        <f>MAX(F5:F9)</f>
        <v>8.8000000000000007</v>
      </c>
      <c r="G15" s="28">
        <f>$C$15*D15</f>
        <v>21605.583600000002</v>
      </c>
      <c r="H15" s="28">
        <f>$C$15*E15</f>
        <v>26302.449600000004</v>
      </c>
      <c r="I15" s="94">
        <f>$C$15*F15</f>
        <v>27554.947200000002</v>
      </c>
    </row>
    <row r="16" spans="1:9" ht="12.75" customHeight="1" x14ac:dyDescent="0.2">
      <c r="A16" s="86" t="s">
        <v>260</v>
      </c>
      <c r="B16" s="86" t="s">
        <v>261</v>
      </c>
      <c r="C16" s="24">
        <f>'HUBS Projection'!B59</f>
        <v>3694.8679200000001</v>
      </c>
      <c r="D16" s="86">
        <f>_xlfn.PERCENTILE.INC($F$5:$F$9,0.25)</f>
        <v>6.9</v>
      </c>
      <c r="E16" s="95">
        <f>$F$11</f>
        <v>8.4</v>
      </c>
      <c r="F16" s="95">
        <f>MAX(F5:F9)</f>
        <v>8.8000000000000007</v>
      </c>
      <c r="G16" s="95">
        <f>$C$16*D16</f>
        <v>25494.588648000001</v>
      </c>
      <c r="H16" s="95">
        <f>$C$16*E16</f>
        <v>31036.890528000004</v>
      </c>
      <c r="I16" s="96">
        <f>$C$16*F16</f>
        <v>32514.837696000002</v>
      </c>
    </row>
    <row r="17" spans="6:9" ht="12.75" customHeight="1" x14ac:dyDescent="0.2">
      <c r="F17" s="92" t="s">
        <v>38</v>
      </c>
      <c r="G17" s="93">
        <f>MIN(G15:G16)</f>
        <v>21605.583600000002</v>
      </c>
      <c r="H17" s="93">
        <f>AVERAGE(H15:H16)</f>
        <v>28669.670064000005</v>
      </c>
      <c r="I17" s="93">
        <f>MAX(I15:I16)</f>
        <v>32514.837696000002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71"/>
  <sheetViews>
    <sheetView zoomScaleNormal="100" workbookViewId="0">
      <selection activeCell="E49" sqref="E49"/>
    </sheetView>
  </sheetViews>
  <sheetFormatPr defaultColWidth="8.7109375" defaultRowHeight="12.75" x14ac:dyDescent="0.2"/>
  <cols>
    <col min="1" max="1" width="42.85546875" customWidth="1"/>
    <col min="2" max="2" width="11" customWidth="1"/>
    <col min="3" max="7" width="10.7109375" customWidth="1"/>
  </cols>
  <sheetData>
    <row r="2" spans="1:7" ht="12.75" customHeight="1" x14ac:dyDescent="0.2">
      <c r="B2" s="231" t="s">
        <v>262</v>
      </c>
      <c r="C2" s="231" t="s">
        <v>263</v>
      </c>
      <c r="D2" s="231" t="s">
        <v>264</v>
      </c>
      <c r="E2" s="231" t="s">
        <v>265</v>
      </c>
      <c r="F2" s="231" t="s">
        <v>266</v>
      </c>
      <c r="G2" s="231" t="s">
        <v>267</v>
      </c>
    </row>
    <row r="3" spans="1:7" ht="12.75" customHeight="1" x14ac:dyDescent="0.2">
      <c r="A3" s="4" t="s">
        <v>268</v>
      </c>
      <c r="B3" s="98">
        <f>'CRM-US-IS'!F10</f>
        <v>21252</v>
      </c>
      <c r="C3" s="98">
        <f>'CRM-US-IS'!G10</f>
        <v>26492</v>
      </c>
      <c r="D3" s="98">
        <f>'CRM-US-IS'!H10</f>
        <v>31352</v>
      </c>
      <c r="E3" s="98">
        <f>'CRM-US-IS'!I10</f>
        <v>34857</v>
      </c>
      <c r="F3" s="98">
        <f>'CRM-US-IS'!J10</f>
        <v>37895</v>
      </c>
      <c r="G3" s="98">
        <f>'CRM-US-IS'!K10</f>
        <v>41525</v>
      </c>
    </row>
    <row r="4" spans="1:7" ht="12.75" customHeight="1" x14ac:dyDescent="0.2">
      <c r="A4" s="4" t="s">
        <v>269</v>
      </c>
      <c r="C4" s="29">
        <f>C3/B3-1</f>
        <v>0.24656502917372491</v>
      </c>
      <c r="D4" s="29">
        <f>D3/C3-1</f>
        <v>0.18345160803261362</v>
      </c>
      <c r="E4" s="29">
        <f>E3/D3-1</f>
        <v>0.11179510079101806</v>
      </c>
      <c r="F4" s="29">
        <f>F3/E3-1</f>
        <v>8.7156094902028247E-2</v>
      </c>
      <c r="G4" s="29">
        <f>G3/F3-1</f>
        <v>9.5791001451378754E-2</v>
      </c>
    </row>
    <row r="5" spans="1:7" ht="12.75" customHeight="1" x14ac:dyDescent="0.2">
      <c r="A5" s="4" t="s">
        <v>270</v>
      </c>
      <c r="B5" s="99">
        <f>AVERAGE(C4:G4)</f>
        <v>0.14495176687015271</v>
      </c>
      <c r="C5" t="s">
        <v>539</v>
      </c>
    </row>
    <row r="7" spans="1:7" ht="12.75" customHeight="1" x14ac:dyDescent="0.2">
      <c r="A7" s="4" t="s">
        <v>5</v>
      </c>
      <c r="B7" s="98">
        <f>'CRM-US-IS'!F20</f>
        <v>455</v>
      </c>
      <c r="C7" s="98">
        <f>'CRM-US-IS'!G20</f>
        <v>548</v>
      </c>
      <c r="D7" s="98">
        <f>'CRM-US-IS'!H20</f>
        <v>1858</v>
      </c>
      <c r="E7" s="98">
        <f>'CRM-US-IS'!I20</f>
        <v>5999</v>
      </c>
      <c r="F7" s="98">
        <f>'CRM-US-IS'!J20</f>
        <v>7666</v>
      </c>
      <c r="G7" s="98">
        <f>'CRM-US-IS'!K20</f>
        <v>8917</v>
      </c>
    </row>
    <row r="8" spans="1:7" ht="12.75" customHeight="1" x14ac:dyDescent="0.2">
      <c r="A8" s="4" t="s">
        <v>271</v>
      </c>
      <c r="B8" s="29"/>
      <c r="C8" s="29">
        <f>C7/C3</f>
        <v>2.0685489959232976E-2</v>
      </c>
      <c r="D8" s="29">
        <f>D7/D3</f>
        <v>5.9262566981372798E-2</v>
      </c>
      <c r="E8" s="29">
        <f>E7/E3</f>
        <v>0.17210316435723097</v>
      </c>
      <c r="F8" s="29">
        <f>F7/F3</f>
        <v>0.20229581739015701</v>
      </c>
      <c r="G8" s="29">
        <f>G7/G3</f>
        <v>0.21473810957254666</v>
      </c>
    </row>
    <row r="9" spans="1:7" ht="12.75" customHeight="1" x14ac:dyDescent="0.2">
      <c r="A9" s="4" t="s">
        <v>272</v>
      </c>
      <c r="B9" s="99">
        <f>AVERAGE(C8:G8)</f>
        <v>0.13381702965210809</v>
      </c>
    </row>
    <row r="11" spans="1:7" ht="12.75" customHeight="1" x14ac:dyDescent="0.2">
      <c r="A11" s="4" t="s">
        <v>273</v>
      </c>
      <c r="B11" s="98">
        <f>'CRM-US-IS'!F13</f>
        <v>2846</v>
      </c>
      <c r="C11" s="98">
        <f>'CRM-US-IS'!G13</f>
        <v>3298</v>
      </c>
      <c r="D11" s="98">
        <f>'CRM-US-IS'!H13</f>
        <v>3786</v>
      </c>
      <c r="E11" s="98">
        <f>'CRM-US-IS'!I13</f>
        <v>3959</v>
      </c>
      <c r="F11" s="98">
        <f>'CRM-US-IS'!J13</f>
        <v>3477</v>
      </c>
      <c r="G11" s="98">
        <f>'CRM-US-IS'!K13</f>
        <v>3631</v>
      </c>
    </row>
    <row r="12" spans="1:7" ht="12.75" customHeight="1" x14ac:dyDescent="0.2">
      <c r="A12" s="4" t="s">
        <v>274</v>
      </c>
      <c r="B12" s="29"/>
      <c r="C12" s="29">
        <f>C11/C3</f>
        <v>0.1244904121999094</v>
      </c>
      <c r="D12" s="29">
        <f>D11/D3</f>
        <v>0.12075784638938505</v>
      </c>
      <c r="E12" s="29">
        <f>E11/E3</f>
        <v>0.1135783343374358</v>
      </c>
      <c r="F12" s="29">
        <f>F11/F3</f>
        <v>9.1753529489378552E-2</v>
      </c>
      <c r="G12" s="29">
        <f>G11/G3</f>
        <v>8.7441300421432874E-2</v>
      </c>
    </row>
    <row r="13" spans="1:7" ht="12.75" customHeight="1" x14ac:dyDescent="0.2">
      <c r="A13" s="4" t="s">
        <v>275</v>
      </c>
      <c r="B13" s="99">
        <f>AVERAGE(C12:G12)</f>
        <v>0.10760428456750833</v>
      </c>
    </row>
    <row r="15" spans="1:7" ht="12.75" customHeight="1" x14ac:dyDescent="0.2">
      <c r="A15" s="4" t="s">
        <v>143</v>
      </c>
      <c r="B15" s="98">
        <f>'CRM-US-CF'!F23</f>
        <v>-710</v>
      </c>
      <c r="C15" s="98">
        <f>'CRM-US-CF'!G23</f>
        <v>-717</v>
      </c>
      <c r="D15" s="98">
        <f>'CRM-US-CF'!H23</f>
        <v>-798</v>
      </c>
      <c r="E15" s="98">
        <f>'CRM-US-CF'!I23</f>
        <v>-736</v>
      </c>
      <c r="F15" s="98">
        <f>'CRM-US-CF'!J23</f>
        <v>-658</v>
      </c>
      <c r="G15" s="98">
        <f>'CRM-US-CF'!K23</f>
        <v>-594</v>
      </c>
    </row>
    <row r="16" spans="1:7" ht="12.75" customHeight="1" x14ac:dyDescent="0.2">
      <c r="A16" s="4" t="s">
        <v>276</v>
      </c>
      <c r="C16" s="29">
        <f>-C15/C3</f>
        <v>2.7064774271478183E-2</v>
      </c>
      <c r="D16" s="29">
        <f>-D15/D3</f>
        <v>2.5452921663689718E-2</v>
      </c>
      <c r="E16" s="29">
        <f>-E15/E3</f>
        <v>2.1114840634592763E-2</v>
      </c>
      <c r="F16" s="29">
        <f>-F15/F3</f>
        <v>1.7363768307164535E-2</v>
      </c>
      <c r="G16" s="29">
        <f>-G15/G3</f>
        <v>1.4304635761589404E-2</v>
      </c>
    </row>
    <row r="17" spans="1:7" ht="12.75" customHeight="1" x14ac:dyDescent="0.2">
      <c r="A17" s="4" t="s">
        <v>277</v>
      </c>
      <c r="B17" s="99">
        <f>AVERAGE(C16:G16)</f>
        <v>2.1060188127702918E-2</v>
      </c>
    </row>
    <row r="19" spans="1:7" ht="12.75" customHeight="1" x14ac:dyDescent="0.2">
      <c r="A19" s="4" t="s">
        <v>278</v>
      </c>
      <c r="B19" s="100">
        <f>(('CRM-US-BS'!F15+'CRM-US-BS'!F19)-('CRM-US-BS'!F46+'CRM-US-BS'!F48))*1000</f>
        <v>-8150</v>
      </c>
      <c r="C19" s="100">
        <f>(('CRM-US-BS'!G15+'CRM-US-BS'!G19)-('CRM-US-BS'!G46+'CRM-US-BS'!G48))*1000</f>
        <v>-10129</v>
      </c>
      <c r="D19" s="100">
        <f>(('CRM-US-BS'!H15+'CRM-US-BS'!H19)-('CRM-US-BS'!H46+'CRM-US-BS'!H48))*1000</f>
        <v>-11750.999999999998</v>
      </c>
      <c r="E19" s="100">
        <f>(('CRM-US-BS'!I15+'CRM-US-BS'!I19)-('CRM-US-BS'!I46+'CRM-US-BS'!I48))*1000</f>
        <v>-11767.000000000002</v>
      </c>
      <c r="F19" s="100">
        <f>(('CRM-US-BS'!J15+'CRM-US-BS'!J19)-('CRM-US-BS'!J46+'CRM-US-BS'!J48))*1000</f>
        <v>-13340</v>
      </c>
      <c r="G19" s="100">
        <f>(('CRM-US-BS'!K15+'CRM-US-BS'!K19)-('CRM-US-BS'!K46+'CRM-US-BS'!K48))*1000</f>
        <v>-15713.000000000002</v>
      </c>
    </row>
    <row r="20" spans="1:7" ht="12.75" customHeight="1" x14ac:dyDescent="0.2">
      <c r="A20" s="4" t="s">
        <v>279</v>
      </c>
      <c r="C20" s="29">
        <f>C19/C3</f>
        <v>-0.38234183904574964</v>
      </c>
      <c r="D20" s="29">
        <f>D19/D3</f>
        <v>-0.37480862464914511</v>
      </c>
      <c r="E20" s="29">
        <f>E19/E3</f>
        <v>-0.33757925237398517</v>
      </c>
      <c r="F20" s="29">
        <f>F19/F3</f>
        <v>-0.35202533315740864</v>
      </c>
      <c r="G20" s="29">
        <f>G19/G3</f>
        <v>-0.37839855508729686</v>
      </c>
    </row>
    <row r="21" spans="1:7" ht="12.75" customHeight="1" x14ac:dyDescent="0.2">
      <c r="A21" s="4" t="s">
        <v>280</v>
      </c>
      <c r="B21" s="99">
        <f>AVERAGE(C20:G20)</f>
        <v>-0.36503072086271704</v>
      </c>
    </row>
    <row r="22" spans="1:7" ht="12.75" customHeight="1" x14ac:dyDescent="0.2"/>
    <row r="23" spans="1:7" ht="12.75" customHeight="1" x14ac:dyDescent="0.2">
      <c r="A23" s="75"/>
      <c r="B23" s="38">
        <v>2026</v>
      </c>
      <c r="C23" s="38">
        <v>2027</v>
      </c>
      <c r="D23" s="38">
        <v>2028</v>
      </c>
      <c r="E23" s="38">
        <v>2029</v>
      </c>
      <c r="F23" s="38">
        <v>2030</v>
      </c>
      <c r="G23" s="39" t="s">
        <v>139</v>
      </c>
    </row>
    <row r="24" spans="1:7" ht="12.75" customHeight="1" x14ac:dyDescent="0.2">
      <c r="A24" s="101" t="s">
        <v>281</v>
      </c>
      <c r="B24" s="102">
        <v>9.5000000000000001E-2</v>
      </c>
      <c r="C24" s="102">
        <v>0.105</v>
      </c>
      <c r="D24" s="102">
        <v>0.11</v>
      </c>
      <c r="E24" s="102">
        <v>0.1</v>
      </c>
      <c r="F24" s="102">
        <v>0.09</v>
      </c>
      <c r="G24" s="68">
        <v>3.5000000000000003E-2</v>
      </c>
    </row>
    <row r="25" spans="1:7" ht="12.75" customHeight="1" x14ac:dyDescent="0.2">
      <c r="A25" s="101" t="s">
        <v>282</v>
      </c>
      <c r="B25" s="102">
        <v>0.22500000000000001</v>
      </c>
      <c r="C25" s="102">
        <v>0.23499999999999999</v>
      </c>
      <c r="D25" s="102">
        <v>0.245</v>
      </c>
      <c r="E25" s="102">
        <v>0.25</v>
      </c>
      <c r="F25" s="102">
        <v>0.255</v>
      </c>
      <c r="G25" s="68"/>
    </row>
    <row r="26" spans="1:7" ht="13.5" customHeight="1" x14ac:dyDescent="0.2">
      <c r="A26" s="103" t="s">
        <v>283</v>
      </c>
      <c r="B26" s="104">
        <v>8.5000000000000006E-2</v>
      </c>
      <c r="C26" s="104">
        <v>8.3000000000000004E-2</v>
      </c>
      <c r="D26" s="104">
        <v>8.2000000000000003E-2</v>
      </c>
      <c r="E26" s="104">
        <v>8.1000000000000003E-2</v>
      </c>
      <c r="F26" s="104">
        <v>0.08</v>
      </c>
      <c r="G26" s="74"/>
    </row>
    <row r="27" spans="1:7" ht="13.5" customHeight="1" x14ac:dyDescent="0.2">
      <c r="A27" s="4"/>
      <c r="B27" s="102"/>
      <c r="C27" s="102"/>
      <c r="D27" s="102"/>
      <c r="E27" s="102"/>
      <c r="F27" s="102"/>
      <c r="G27" s="102"/>
    </row>
    <row r="28" spans="1:7" ht="12.75" customHeight="1" x14ac:dyDescent="0.2">
      <c r="A28" s="64" t="s">
        <v>145</v>
      </c>
      <c r="B28" s="105"/>
      <c r="C28" s="105"/>
      <c r="D28" s="105"/>
      <c r="E28" s="105"/>
      <c r="F28" s="105"/>
      <c r="G28" s="65"/>
    </row>
    <row r="29" spans="1:7" x14ac:dyDescent="0.2">
      <c r="A29" s="66" t="s">
        <v>284</v>
      </c>
      <c r="B29" s="28">
        <f>Beta!N2</f>
        <v>1.2317361621900547</v>
      </c>
      <c r="G29" s="106"/>
    </row>
    <row r="30" spans="1:7" x14ac:dyDescent="0.2">
      <c r="A30" s="66" t="s">
        <v>24</v>
      </c>
      <c r="B30" s="29">
        <f>Assumptions!K14</f>
        <v>0.06</v>
      </c>
      <c r="G30" s="106"/>
    </row>
    <row r="31" spans="1:7" x14ac:dyDescent="0.2">
      <c r="A31" s="66" t="s">
        <v>147</v>
      </c>
      <c r="B31" s="29">
        <f>Assumptions!K15</f>
        <v>4.3900000000000002E-2</v>
      </c>
      <c r="G31" s="106"/>
    </row>
    <row r="32" spans="1:7" ht="12.75" customHeight="1" x14ac:dyDescent="0.2">
      <c r="A32" s="107" t="s">
        <v>25</v>
      </c>
      <c r="B32" s="29">
        <f>B31+B29*B30</f>
        <v>0.11780416973140329</v>
      </c>
      <c r="G32" s="106"/>
    </row>
    <row r="33" spans="1:7" ht="12.75" customHeight="1" x14ac:dyDescent="0.2">
      <c r="A33" s="107"/>
      <c r="G33" s="106"/>
    </row>
    <row r="34" spans="1:7" ht="12.75" customHeight="1" x14ac:dyDescent="0.2">
      <c r="A34" s="33"/>
      <c r="B34" s="231" t="s">
        <v>262</v>
      </c>
      <c r="C34" s="231" t="s">
        <v>263</v>
      </c>
      <c r="D34" s="231" t="s">
        <v>264</v>
      </c>
      <c r="E34" s="231" t="s">
        <v>265</v>
      </c>
      <c r="F34" s="231" t="s">
        <v>266</v>
      </c>
      <c r="G34" s="232" t="s">
        <v>267</v>
      </c>
    </row>
    <row r="35" spans="1:7" x14ac:dyDescent="0.2">
      <c r="A35" s="77" t="s">
        <v>78</v>
      </c>
      <c r="B35" s="98">
        <f>'CRM-US-IS'!F35</f>
        <v>2561</v>
      </c>
      <c r="C35" s="98">
        <f>'CRM-US-IS'!G35</f>
        <v>1532</v>
      </c>
      <c r="D35" s="98">
        <f>'CRM-US-IS'!H35</f>
        <v>660</v>
      </c>
      <c r="E35" s="98">
        <f>'CRM-US-IS'!I35</f>
        <v>4950</v>
      </c>
      <c r="F35" s="98">
        <f>'CRM-US-IS'!J35</f>
        <v>7438</v>
      </c>
      <c r="G35" s="108">
        <f>'CRM-US-IS'!K35</f>
        <v>9520</v>
      </c>
    </row>
    <row r="36" spans="1:7" x14ac:dyDescent="0.2">
      <c r="A36" s="77" t="s">
        <v>285</v>
      </c>
      <c r="B36" s="98">
        <f>'CRM-US-IS'!F36</f>
        <v>-1511</v>
      </c>
      <c r="C36" s="98">
        <f>'CRM-US-IS'!G36</f>
        <v>88</v>
      </c>
      <c r="D36" s="98">
        <f>'CRM-US-IS'!H36</f>
        <v>452</v>
      </c>
      <c r="E36" s="98">
        <f>'CRM-US-IS'!I36</f>
        <v>814</v>
      </c>
      <c r="F36" s="98">
        <f>'CRM-US-IS'!J36</f>
        <v>1241</v>
      </c>
      <c r="G36" s="108">
        <f>'CRM-US-IS'!K36</f>
        <v>2063</v>
      </c>
    </row>
    <row r="37" spans="1:7" x14ac:dyDescent="0.2">
      <c r="A37" s="77" t="s">
        <v>286</v>
      </c>
      <c r="B37" s="29">
        <f t="shared" ref="B37:G37" si="0">B36/B35</f>
        <v>-0.59000390472471687</v>
      </c>
      <c r="C37" s="29">
        <f t="shared" si="0"/>
        <v>5.7441253263707574E-2</v>
      </c>
      <c r="D37" s="29">
        <f t="shared" si="0"/>
        <v>0.68484848484848482</v>
      </c>
      <c r="E37" s="29">
        <f t="shared" si="0"/>
        <v>0.16444444444444445</v>
      </c>
      <c r="F37" s="29">
        <f t="shared" si="0"/>
        <v>0.16684592632428072</v>
      </c>
      <c r="G37" s="67">
        <f t="shared" si="0"/>
        <v>0.21670168067226891</v>
      </c>
    </row>
    <row r="38" spans="1:7" ht="12.75" customHeight="1" x14ac:dyDescent="0.2">
      <c r="A38" s="107" t="s">
        <v>287</v>
      </c>
      <c r="B38" s="102">
        <f>AVERAGE(C37:G37)</f>
        <v>0.2580563579106373</v>
      </c>
      <c r="G38" s="106"/>
    </row>
    <row r="39" spans="1:7" ht="12.75" customHeight="1" x14ac:dyDescent="0.2">
      <c r="A39" s="107" t="s">
        <v>288</v>
      </c>
      <c r="B39" s="30">
        <v>0.21</v>
      </c>
      <c r="C39" t="s">
        <v>289</v>
      </c>
      <c r="G39" s="106"/>
    </row>
    <row r="40" spans="1:7" ht="12.75" customHeight="1" x14ac:dyDescent="0.2">
      <c r="A40" s="107"/>
      <c r="G40" s="106"/>
    </row>
    <row r="41" spans="1:7" ht="12.75" customHeight="1" x14ac:dyDescent="0.2">
      <c r="A41" s="107"/>
      <c r="G41" s="106"/>
    </row>
    <row r="42" spans="1:7" x14ac:dyDescent="0.2">
      <c r="A42" s="77" t="s">
        <v>290</v>
      </c>
      <c r="B42" s="102">
        <f>B31</f>
        <v>4.3900000000000002E-2</v>
      </c>
      <c r="G42" s="106"/>
    </row>
    <row r="43" spans="1:7" x14ac:dyDescent="0.2">
      <c r="A43" s="77" t="s">
        <v>291</v>
      </c>
      <c r="B43" s="102">
        <v>1.2500000000000001E-2</v>
      </c>
      <c r="G43" s="106"/>
    </row>
    <row r="44" spans="1:7" x14ac:dyDescent="0.2">
      <c r="A44" s="77" t="s">
        <v>47</v>
      </c>
      <c r="B44" s="102">
        <f>SUM(B42:B43)</f>
        <v>5.6400000000000006E-2</v>
      </c>
      <c r="G44" s="106"/>
    </row>
    <row r="45" spans="1:7" ht="12.75" customHeight="1" x14ac:dyDescent="0.2">
      <c r="A45" s="107" t="s">
        <v>26</v>
      </c>
      <c r="B45" s="29">
        <f>B44*(1-B39)</f>
        <v>4.4556000000000005E-2</v>
      </c>
      <c r="G45" s="106"/>
    </row>
    <row r="46" spans="1:7" ht="12.75" customHeight="1" x14ac:dyDescent="0.2">
      <c r="A46" s="107"/>
      <c r="G46" s="106"/>
    </row>
    <row r="47" spans="1:7" x14ac:dyDescent="0.2">
      <c r="A47" s="77" t="s">
        <v>292</v>
      </c>
      <c r="B47" s="100">
        <f>'CRM-US-IS'!K50</f>
        <v>956</v>
      </c>
      <c r="G47" s="106"/>
    </row>
    <row r="48" spans="1:7" x14ac:dyDescent="0.2">
      <c r="A48" s="77" t="s">
        <v>293</v>
      </c>
      <c r="B48" s="100">
        <f>Beta!B4</f>
        <v>195.18</v>
      </c>
      <c r="G48" s="106"/>
    </row>
    <row r="49" spans="1:7" ht="12.75" customHeight="1" x14ac:dyDescent="0.2">
      <c r="A49" s="107" t="s">
        <v>294</v>
      </c>
      <c r="B49" s="6">
        <f>B47*B48</f>
        <v>186592.08000000002</v>
      </c>
      <c r="G49" s="106"/>
    </row>
    <row r="50" spans="1:7" ht="12.75" customHeight="1" x14ac:dyDescent="0.2">
      <c r="A50" s="107" t="s">
        <v>130</v>
      </c>
      <c r="B50" s="100">
        <f>('CRM-US-BS'!K45+'CRM-US-BS'!K54)*1000</f>
        <v>15262</v>
      </c>
      <c r="G50" s="106"/>
    </row>
    <row r="51" spans="1:7" ht="12.75" customHeight="1" x14ac:dyDescent="0.2">
      <c r="A51" s="107"/>
      <c r="G51" s="106"/>
    </row>
    <row r="52" spans="1:7" ht="12.75" customHeight="1" x14ac:dyDescent="0.2">
      <c r="A52" s="107" t="s">
        <v>154</v>
      </c>
      <c r="B52" s="6">
        <f>B50/(B50+B49)</f>
        <v>7.56090736436935E-2</v>
      </c>
      <c r="G52" s="106"/>
    </row>
    <row r="53" spans="1:7" ht="12.75" customHeight="1" x14ac:dyDescent="0.2">
      <c r="A53" s="107" t="s">
        <v>153</v>
      </c>
      <c r="B53" s="6">
        <f>B49/(B49+B50)</f>
        <v>0.92439092635630649</v>
      </c>
      <c r="G53" s="106"/>
    </row>
    <row r="54" spans="1:7" ht="12.75" customHeight="1" x14ac:dyDescent="0.2">
      <c r="A54" s="107"/>
      <c r="G54" s="106"/>
    </row>
    <row r="55" spans="1:7" ht="13.5" customHeight="1" x14ac:dyDescent="0.2">
      <c r="A55" s="236" t="s">
        <v>21</v>
      </c>
      <c r="B55" s="237">
        <f>B53*B32+B52*B45</f>
        <v>0.11226594347191586</v>
      </c>
      <c r="C55" s="110"/>
      <c r="D55" s="110"/>
      <c r="E55" s="110"/>
      <c r="F55" s="110"/>
      <c r="G55" s="111"/>
    </row>
    <row r="56" spans="1:7" ht="12.75" customHeight="1" x14ac:dyDescent="0.2">
      <c r="A56" s="112"/>
      <c r="B56" s="29"/>
    </row>
    <row r="57" spans="1:7" x14ac:dyDescent="0.2">
      <c r="B57">
        <v>1</v>
      </c>
      <c r="C57">
        <v>2</v>
      </c>
      <c r="D57">
        <v>3</v>
      </c>
      <c r="E57">
        <v>4</v>
      </c>
      <c r="F57">
        <v>5</v>
      </c>
    </row>
    <row r="58" spans="1:7" ht="12.75" customHeight="1" x14ac:dyDescent="0.2">
      <c r="A58" s="233" t="s">
        <v>295</v>
      </c>
      <c r="B58" s="234">
        <v>2026</v>
      </c>
      <c r="C58" s="234">
        <v>2027</v>
      </c>
      <c r="D58" s="234">
        <v>2028</v>
      </c>
      <c r="E58" s="234">
        <v>2029</v>
      </c>
      <c r="F58" s="235">
        <v>2030</v>
      </c>
    </row>
    <row r="59" spans="1:7" ht="12.75" customHeight="1" x14ac:dyDescent="0.2">
      <c r="A59" s="114" t="s">
        <v>4</v>
      </c>
      <c r="B59" s="6">
        <f>G3*(1+B24)</f>
        <v>45469.875</v>
      </c>
      <c r="C59" s="28">
        <f>B59*(1+C24)</f>
        <v>50244.211875000001</v>
      </c>
      <c r="D59" s="28">
        <f>C59*(1+D24)</f>
        <v>55771.075181250009</v>
      </c>
      <c r="E59" s="28">
        <f>D59*(1+E24)</f>
        <v>61348.182699375015</v>
      </c>
      <c r="F59" s="28">
        <f>E59*(1+F24)</f>
        <v>66869.519142318764</v>
      </c>
    </row>
    <row r="60" spans="1:7" ht="12.75" customHeight="1" x14ac:dyDescent="0.2">
      <c r="A60" s="114" t="s">
        <v>5</v>
      </c>
      <c r="B60" s="28">
        <f>B59*B25</f>
        <v>10230.721875000001</v>
      </c>
      <c r="C60" s="28">
        <f>C59*C25</f>
        <v>11807.389790625</v>
      </c>
      <c r="D60" s="28">
        <f>D59*D25</f>
        <v>13663.913419406252</v>
      </c>
      <c r="E60" s="28">
        <f>E59*E25</f>
        <v>15337.045674843754</v>
      </c>
      <c r="F60" s="28">
        <f>F59*F25</f>
        <v>17051.727381291286</v>
      </c>
    </row>
    <row r="61" spans="1:7" ht="12.75" customHeight="1" x14ac:dyDescent="0.2">
      <c r="A61" s="114" t="s">
        <v>6</v>
      </c>
      <c r="B61" s="28">
        <f>B60*(1-$B$39)</f>
        <v>8082.2702812500011</v>
      </c>
      <c r="C61" s="28">
        <f>C60*(1-$B$39)</f>
        <v>9327.8379345937501</v>
      </c>
      <c r="D61" s="28">
        <f>D60*(1-$B$39)</f>
        <v>10794.491601330939</v>
      </c>
      <c r="E61" s="28">
        <f>E60*(1-$B$39)</f>
        <v>12116.266083126566</v>
      </c>
      <c r="F61" s="28">
        <f>F60*(1-$B$39)</f>
        <v>13470.864631220116</v>
      </c>
    </row>
    <row r="62" spans="1:7" ht="12.75" customHeight="1" x14ac:dyDescent="0.2">
      <c r="A62" s="114" t="s">
        <v>296</v>
      </c>
      <c r="B62" s="28">
        <f>B59*B26</f>
        <v>3864.9393750000004</v>
      </c>
      <c r="C62" s="28">
        <f>C59*C26</f>
        <v>4170.2695856250002</v>
      </c>
      <c r="D62" s="28">
        <f>D59*D26</f>
        <v>4573.2281648625012</v>
      </c>
      <c r="E62" s="28">
        <f>E59*E26</f>
        <v>4969.2027986493767</v>
      </c>
      <c r="F62" s="28">
        <f>F59*F26</f>
        <v>5349.5615313855014</v>
      </c>
    </row>
    <row r="63" spans="1:7" ht="12.75" customHeight="1" x14ac:dyDescent="0.2">
      <c r="A63" s="114" t="s">
        <v>143</v>
      </c>
      <c r="B63" s="28">
        <f>B59*$B$17</f>
        <v>957.60412164313573</v>
      </c>
      <c r="C63" s="28">
        <f>C59*$B$17</f>
        <v>1058.152554415665</v>
      </c>
      <c r="D63" s="28">
        <f>D59*$B$17</f>
        <v>1174.5493354013884</v>
      </c>
      <c r="E63" s="28">
        <f>E59*$B$17</f>
        <v>1292.0042689415272</v>
      </c>
      <c r="F63" s="28">
        <f>F59*$B$17</f>
        <v>1408.2846531462646</v>
      </c>
    </row>
    <row r="64" spans="1:7" ht="12.75" customHeight="1" x14ac:dyDescent="0.2">
      <c r="A64" s="114" t="s">
        <v>278</v>
      </c>
      <c r="B64" s="28">
        <f>B59*$B$21</f>
        <v>-16597.901248787635</v>
      </c>
      <c r="C64" s="28">
        <f>C59*$B$21</f>
        <v>-18340.680879910338</v>
      </c>
      <c r="D64" s="28">
        <f>D59*$B$21</f>
        <v>-20358.155776700478</v>
      </c>
      <c r="E64" s="28">
        <f>E59*$B$21</f>
        <v>-22393.971354370529</v>
      </c>
      <c r="F64" s="28">
        <f>F59*$B$21</f>
        <v>-24409.428776263874</v>
      </c>
    </row>
    <row r="65" spans="1:6" ht="13.5" customHeight="1" x14ac:dyDescent="0.2">
      <c r="A65" s="115" t="s">
        <v>297</v>
      </c>
      <c r="B65" s="116">
        <f>B64-G19</f>
        <v>-884.90124878763345</v>
      </c>
      <c r="C65" s="47">
        <f>C64-B64</f>
        <v>-1742.779631122703</v>
      </c>
      <c r="D65" s="47">
        <f>D64-C64</f>
        <v>-2017.4748967901396</v>
      </c>
      <c r="E65" s="47">
        <f>E64-D64</f>
        <v>-2035.8155776700514</v>
      </c>
      <c r="F65" s="47">
        <f>F64-E64</f>
        <v>-2015.4574218933449</v>
      </c>
    </row>
    <row r="66" spans="1:6" ht="13.5" customHeight="1" x14ac:dyDescent="0.2">
      <c r="A66" s="114" t="s">
        <v>298</v>
      </c>
      <c r="B66" s="28">
        <f>B61+B62-B63-B65</f>
        <v>11874.5067833945</v>
      </c>
      <c r="C66" s="28">
        <f>C61+C62-C63-C65</f>
        <v>14182.734596925788</v>
      </c>
      <c r="D66" s="28">
        <f>D61+D62-D63-D65</f>
        <v>16210.645327582191</v>
      </c>
      <c r="E66" s="28">
        <f>E61+E62-E63-E65</f>
        <v>17829.280190504465</v>
      </c>
      <c r="F66" s="28">
        <f>F61+F62-F63-F65</f>
        <v>19427.598931352699</v>
      </c>
    </row>
    <row r="67" spans="1:6" ht="12.75" customHeight="1" x14ac:dyDescent="0.2">
      <c r="A67" s="114" t="s">
        <v>11</v>
      </c>
      <c r="B67" s="28">
        <f>B66/(1+$B$55)^B57</f>
        <v>10675.960055315967</v>
      </c>
      <c r="C67" s="28">
        <f>C66/(1+$B$55)^C57</f>
        <v>11464.172084932612</v>
      </c>
      <c r="D67" s="28">
        <f>D66/(1+$B$55)^D57</f>
        <v>11780.789193298131</v>
      </c>
      <c r="E67" s="28">
        <f>E66/(1+$B$55)^E57</f>
        <v>11649.284481541146</v>
      </c>
      <c r="F67" s="28">
        <f>F66/(1+$B$55)^F57</f>
        <v>11412.372287272085</v>
      </c>
    </row>
    <row r="68" spans="1:6" ht="12.75" customHeight="1" x14ac:dyDescent="0.2">
      <c r="A68" s="114" t="s">
        <v>299</v>
      </c>
      <c r="B68" s="28">
        <f>SUM(B67:F67)</f>
        <v>56982.578102359934</v>
      </c>
    </row>
    <row r="69" spans="1:6" ht="12.75" customHeight="1" x14ac:dyDescent="0.2">
      <c r="A69" s="114" t="s">
        <v>14</v>
      </c>
      <c r="B69" s="28">
        <f>F66*(1+G24)/(B55-G24)</f>
        <v>260238.39210943712</v>
      </c>
    </row>
    <row r="70" spans="1:6" ht="12.75" customHeight="1" x14ac:dyDescent="0.2">
      <c r="A70" s="114" t="s">
        <v>15</v>
      </c>
      <c r="B70" s="28">
        <f>B69/(1+B55)^F57</f>
        <v>152872.07774302128</v>
      </c>
    </row>
    <row r="71" spans="1:6" ht="12.75" customHeight="1" x14ac:dyDescent="0.2">
      <c r="A71" s="114" t="s">
        <v>300</v>
      </c>
      <c r="B71" s="28">
        <f>B70+B68</f>
        <v>209854.6558453812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80"/>
  <sheetViews>
    <sheetView zoomScaleNormal="100" workbookViewId="0">
      <selection activeCell="D70" sqref="D70"/>
    </sheetView>
  </sheetViews>
  <sheetFormatPr defaultColWidth="8.7109375" defaultRowHeight="12.75" x14ac:dyDescent="0.2"/>
  <cols>
    <col min="1" max="1" width="44" customWidth="1"/>
    <col min="2" max="2" width="12" customWidth="1"/>
    <col min="3" max="7" width="9.7109375" customWidth="1"/>
  </cols>
  <sheetData>
    <row r="2" spans="1:12" ht="12.75" customHeight="1" x14ac:dyDescent="0.2">
      <c r="B2" s="231" t="s">
        <v>262</v>
      </c>
      <c r="C2" s="231" t="s">
        <v>263</v>
      </c>
      <c r="D2" s="231" t="s">
        <v>264</v>
      </c>
      <c r="E2" s="231" t="s">
        <v>265</v>
      </c>
      <c r="F2" s="231" t="s">
        <v>266</v>
      </c>
      <c r="G2" s="231" t="s">
        <v>267</v>
      </c>
    </row>
    <row r="3" spans="1:12" ht="12.75" customHeight="1" x14ac:dyDescent="0.2">
      <c r="A3" s="4" t="s">
        <v>268</v>
      </c>
      <c r="B3" s="6">
        <f>'HUBS-US-IS'!F9</f>
        <v>883.02599999999995</v>
      </c>
      <c r="C3" s="6">
        <f>'HUBS-US-IS'!G9</f>
        <v>1300.6579999999999</v>
      </c>
      <c r="D3" s="6">
        <f>'HUBS-US-IS'!H9</f>
        <v>1730.9690000000001</v>
      </c>
      <c r="E3" s="6">
        <f>'HUBS-US-IS'!I9</f>
        <v>2170.23</v>
      </c>
      <c r="F3" s="6">
        <f>'HUBS-US-IS'!J9</f>
        <v>2627.5430000000001</v>
      </c>
      <c r="G3" s="6">
        <f>'HUBS-US-IS'!K9</f>
        <v>3131.2440000000001</v>
      </c>
    </row>
    <row r="4" spans="1:12" ht="12.75" customHeight="1" x14ac:dyDescent="0.2">
      <c r="A4" s="4" t="s">
        <v>269</v>
      </c>
      <c r="B4" s="4"/>
      <c r="C4" s="29">
        <f>C3/B3-1</f>
        <v>0.47295549621415445</v>
      </c>
      <c r="D4" s="29">
        <f>D3/C3-1</f>
        <v>0.33084100509126935</v>
      </c>
      <c r="E4" s="29">
        <f>E3/D3-1</f>
        <v>0.25376595421408465</v>
      </c>
      <c r="F4" s="29">
        <f>F3/E3-1</f>
        <v>0.21072098349022927</v>
      </c>
      <c r="G4" s="29">
        <f>G3/F3-1</f>
        <v>0.1917003832097135</v>
      </c>
    </row>
    <row r="5" spans="1:12" ht="12.75" customHeight="1" x14ac:dyDescent="0.2">
      <c r="A5" s="4" t="s">
        <v>270</v>
      </c>
      <c r="B5" s="99">
        <f>AVERAGE(C4:G4)</f>
        <v>0.29199676444389022</v>
      </c>
      <c r="C5" t="s">
        <v>301</v>
      </c>
    </row>
    <row r="7" spans="1:12" ht="12.75" customHeight="1" x14ac:dyDescent="0.2">
      <c r="A7" s="4" t="s">
        <v>5</v>
      </c>
      <c r="B7" s="6">
        <f>'HUBS-US-IS'!F19</f>
        <v>-50.828000000000003</v>
      </c>
      <c r="C7" s="6">
        <f>'HUBS-US-IS'!G19</f>
        <v>-52.606999999999999</v>
      </c>
      <c r="D7" s="6">
        <f>'HUBS-US-IS'!H19</f>
        <v>-109.101</v>
      </c>
      <c r="E7" s="6">
        <f>'HUBS-US-IS'!I19</f>
        <v>-104.086</v>
      </c>
      <c r="F7" s="6">
        <f>'HUBS-US-IS'!J19</f>
        <v>-63.612000000000002</v>
      </c>
      <c r="G7" s="6">
        <f>'HUBS-US-IS'!K19</f>
        <v>11.393000000000001</v>
      </c>
    </row>
    <row r="8" spans="1:12" ht="12.75" customHeight="1" x14ac:dyDescent="0.2">
      <c r="A8" s="4" t="s">
        <v>271</v>
      </c>
      <c r="C8" s="29">
        <f>C7/C3</f>
        <v>-4.0446450950211356E-2</v>
      </c>
      <c r="D8" s="29">
        <f>D7/D3</f>
        <v>-6.3028858402432386E-2</v>
      </c>
      <c r="E8" s="29">
        <f>E7/E3</f>
        <v>-4.7960815213134091E-2</v>
      </c>
      <c r="F8" s="29">
        <f>F7/F3</f>
        <v>-2.4209689432294734E-2</v>
      </c>
      <c r="G8" s="29">
        <f>G7/G3</f>
        <v>3.6384900058890335E-3</v>
      </c>
    </row>
    <row r="9" spans="1:12" ht="12.75" customHeight="1" x14ac:dyDescent="0.2">
      <c r="A9" s="4" t="s">
        <v>272</v>
      </c>
      <c r="B9" s="99">
        <f>AVERAGE(C8:G8)</f>
        <v>-3.4401464798436705E-2</v>
      </c>
      <c r="C9" t="s">
        <v>302</v>
      </c>
    </row>
    <row r="10" spans="1:12" ht="12.75" customHeight="1" x14ac:dyDescent="0.2">
      <c r="A10" s="4"/>
    </row>
    <row r="11" spans="1:12" ht="12.75" customHeight="1" x14ac:dyDescent="0.2">
      <c r="A11" s="4" t="s">
        <v>273</v>
      </c>
      <c r="B11" s="6">
        <f>'HUBS-US-IS'!F12</f>
        <v>39.200000000000003</v>
      </c>
      <c r="C11" s="6">
        <f>'HUBS-US-IS'!G12</f>
        <v>48.2</v>
      </c>
      <c r="D11" s="6">
        <f>'HUBS-US-IS'!H12</f>
        <v>62.4</v>
      </c>
      <c r="E11" s="6">
        <f>'HUBS-US-IS'!I12</f>
        <v>80.099999999999994</v>
      </c>
      <c r="F11" s="6">
        <f>'HUBS-US-IS'!J12</f>
        <v>113.6</v>
      </c>
      <c r="G11" s="6">
        <f>'HUBS-US-IS'!K12</f>
        <v>164.5</v>
      </c>
    </row>
    <row r="12" spans="1:12" ht="12.75" customHeight="1" x14ac:dyDescent="0.2">
      <c r="A12" s="4" t="s">
        <v>274</v>
      </c>
      <c r="C12" s="29">
        <f>C11/C3</f>
        <v>3.7058165943699269E-2</v>
      </c>
      <c r="D12" s="29">
        <f>D11/D3</f>
        <v>3.604917245773899E-2</v>
      </c>
      <c r="E12" s="29">
        <f>E11/E3</f>
        <v>3.6908530432258328E-2</v>
      </c>
      <c r="F12" s="29">
        <f>F11/F3</f>
        <v>4.3234306726854702E-2</v>
      </c>
      <c r="G12" s="29">
        <f>G11/G3</f>
        <v>5.253503080564785E-2</v>
      </c>
    </row>
    <row r="13" spans="1:12" ht="12.75" customHeight="1" x14ac:dyDescent="0.2">
      <c r="A13" s="4" t="s">
        <v>275</v>
      </c>
      <c r="B13" s="99">
        <f>AVERAGE(C12:G12)</f>
        <v>4.1157041273239839E-2</v>
      </c>
      <c r="I13" s="6"/>
    </row>
    <row r="14" spans="1:12" x14ac:dyDescent="0.2">
      <c r="J14" s="28"/>
      <c r="K14" s="28"/>
      <c r="L14" s="28"/>
    </row>
    <row r="15" spans="1:12" ht="12.75" customHeight="1" x14ac:dyDescent="0.2">
      <c r="A15" s="4" t="s">
        <v>143</v>
      </c>
      <c r="B15" s="6">
        <f>-'HUBS-US-CF'!F25</f>
        <v>58.872999999999998</v>
      </c>
      <c r="C15" s="6">
        <f>-'HUBS-US-CF'!G25</f>
        <v>61.865000000000002</v>
      </c>
      <c r="D15" s="6">
        <f>-'HUBS-US-CF'!H25</f>
        <v>91.771000000000001</v>
      </c>
      <c r="E15" s="6">
        <f>-'HUBS-US-CF'!I25</f>
        <v>100.254</v>
      </c>
      <c r="F15" s="6">
        <f>-'HUBS-US-CF'!J25</f>
        <v>128.80600000000001</v>
      </c>
      <c r="G15" s="6">
        <f>-'HUBS-US-CF'!K25</f>
        <v>184.06299999999999</v>
      </c>
    </row>
    <row r="16" spans="1:12" ht="12.75" customHeight="1" x14ac:dyDescent="0.2">
      <c r="A16" s="4" t="s">
        <v>276</v>
      </c>
      <c r="C16" s="29">
        <f>C15/C3</f>
        <v>4.7564386641223137E-2</v>
      </c>
      <c r="D16" s="29">
        <f>D15/D3</f>
        <v>5.3017125090050715E-2</v>
      </c>
      <c r="E16" s="29">
        <f>E15/E3</f>
        <v>4.6195103744764383E-2</v>
      </c>
      <c r="F16" s="29">
        <f>F15/F3</f>
        <v>4.9021462255803235E-2</v>
      </c>
      <c r="G16" s="29">
        <f>G15/G3</f>
        <v>5.8782707447902489E-2</v>
      </c>
    </row>
    <row r="17" spans="1:7" ht="12.75" customHeight="1" x14ac:dyDescent="0.2">
      <c r="A17" s="4" t="s">
        <v>277</v>
      </c>
      <c r="B17" s="99">
        <f>AVERAGE(C16:G16)</f>
        <v>5.0916157035948796E-2</v>
      </c>
    </row>
    <row r="19" spans="1:7" ht="12.75" customHeight="1" x14ac:dyDescent="0.2">
      <c r="A19" s="4" t="s">
        <v>278</v>
      </c>
      <c r="B19" s="6">
        <f>'HUBS-US-BS'!F13+'HUBS-US-BS'!F17-'HUBS-US-BS'!F42-'HUBS-US-BS'!F43</f>
        <v>-246.49499999999998</v>
      </c>
      <c r="C19" s="6">
        <f>'HUBS-US-BS'!G13+'HUBS-US-BS'!G17-'HUBS-US-BS'!G42-'HUBS-US-BS'!G43</f>
        <v>-375.73</v>
      </c>
      <c r="D19" s="6">
        <f>'HUBS-US-BS'!H13+'HUBS-US-BS'!H17-'HUBS-US-BS'!H42-'HUBS-US-BS'!H43</f>
        <v>-454.80200000000002</v>
      </c>
      <c r="E19" s="6">
        <f>'HUBS-US-BS'!I13+'HUBS-US-BS'!I17-'HUBS-US-BS'!I42-'HUBS-US-BS'!I43</f>
        <v>-522.97900000000004</v>
      </c>
      <c r="F19" s="6">
        <f>'HUBS-US-BS'!J13+'HUBS-US-BS'!J17-'HUBS-US-BS'!J42-'HUBS-US-BS'!J43</f>
        <v>-667.10699999999997</v>
      </c>
      <c r="G19" s="6">
        <f>'HUBS-US-BS'!K13+'HUBS-US-BS'!K17-'HUBS-US-BS'!K42-'HUBS-US-BS'!K43</f>
        <v>-908.01099999999985</v>
      </c>
    </row>
    <row r="20" spans="1:7" ht="12.75" customHeight="1" x14ac:dyDescent="0.2">
      <c r="A20" s="4" t="s">
        <v>279</v>
      </c>
      <c r="B20" s="6"/>
      <c r="C20" s="29">
        <f>C19/C3</f>
        <v>-0.28887686078892377</v>
      </c>
      <c r="D20" s="29">
        <f>D19/D3</f>
        <v>-0.26274416237379178</v>
      </c>
      <c r="E20" s="29">
        <f>E19/E3</f>
        <v>-0.24097860595420764</v>
      </c>
      <c r="F20" s="29">
        <f>F19/F3</f>
        <v>-0.25389004100028045</v>
      </c>
      <c r="G20" s="29">
        <f>G19/G3</f>
        <v>-0.2899841085523836</v>
      </c>
    </row>
    <row r="21" spans="1:7" ht="12.75" customHeight="1" x14ac:dyDescent="0.2">
      <c r="A21" s="4" t="s">
        <v>280</v>
      </c>
      <c r="B21" s="99">
        <f>AVERAGE(C20:G20)</f>
        <v>-0.26729475573391748</v>
      </c>
    </row>
    <row r="22" spans="1:7" ht="13.5" customHeight="1" x14ac:dyDescent="0.2">
      <c r="A22" s="4"/>
    </row>
    <row r="23" spans="1:7" ht="12.75" customHeight="1" x14ac:dyDescent="0.2">
      <c r="A23" s="117"/>
      <c r="B23" s="238">
        <v>2026</v>
      </c>
      <c r="C23" s="238">
        <v>2027</v>
      </c>
      <c r="D23" s="238">
        <v>2028</v>
      </c>
      <c r="E23" s="238">
        <v>2029</v>
      </c>
      <c r="F23" s="238">
        <v>2030</v>
      </c>
      <c r="G23" s="239" t="s">
        <v>139</v>
      </c>
    </row>
    <row r="24" spans="1:7" ht="12.75" customHeight="1" x14ac:dyDescent="0.2">
      <c r="A24" s="118" t="s">
        <v>281</v>
      </c>
      <c r="B24" s="200">
        <v>0.18</v>
      </c>
      <c r="C24" s="200">
        <v>0.16</v>
      </c>
      <c r="D24" s="200">
        <v>0.15</v>
      </c>
      <c r="E24" s="200">
        <v>0.14000000000000001</v>
      </c>
      <c r="F24" s="200">
        <v>0.13</v>
      </c>
      <c r="G24" s="201">
        <v>3.5000000000000003E-2</v>
      </c>
    </row>
    <row r="25" spans="1:7" ht="13.5" customHeight="1" x14ac:dyDescent="0.2">
      <c r="A25" s="119" t="s">
        <v>303</v>
      </c>
      <c r="B25" s="202">
        <v>0.05</v>
      </c>
      <c r="C25" s="202">
        <v>0.08</v>
      </c>
      <c r="D25" s="202">
        <v>0.11</v>
      </c>
      <c r="E25" s="202">
        <v>0.13</v>
      </c>
      <c r="F25" s="202">
        <v>0.15</v>
      </c>
      <c r="G25" s="203">
        <f>F25</f>
        <v>0.15</v>
      </c>
    </row>
    <row r="26" spans="1:7" ht="12.75" customHeight="1" x14ac:dyDescent="0.2">
      <c r="A26" s="4"/>
    </row>
    <row r="27" spans="1:7" ht="12.75" customHeight="1" x14ac:dyDescent="0.2"/>
    <row r="28" spans="1:7" ht="12.75" customHeight="1" x14ac:dyDescent="0.2">
      <c r="A28" s="64" t="s">
        <v>145</v>
      </c>
      <c r="B28" s="105"/>
      <c r="C28" s="105"/>
      <c r="D28" s="105"/>
      <c r="E28" s="105"/>
      <c r="F28" s="105"/>
      <c r="G28" s="65"/>
    </row>
    <row r="29" spans="1:7" x14ac:dyDescent="0.2">
      <c r="A29" s="66" t="s">
        <v>284</v>
      </c>
      <c r="B29" s="28">
        <f>Beta!N3</f>
        <v>1.4171698554938394</v>
      </c>
      <c r="G29" s="106"/>
    </row>
    <row r="30" spans="1:7" x14ac:dyDescent="0.2">
      <c r="A30" s="66" t="s">
        <v>24</v>
      </c>
      <c r="B30" s="29">
        <f>Assumptions!B14</f>
        <v>0.06</v>
      </c>
      <c r="G30" s="106"/>
    </row>
    <row r="31" spans="1:7" x14ac:dyDescent="0.2">
      <c r="A31" s="66" t="s">
        <v>147</v>
      </c>
      <c r="B31" s="29">
        <f>Assumptions!B15</f>
        <v>4.3900000000000002E-2</v>
      </c>
      <c r="G31" s="106"/>
    </row>
    <row r="32" spans="1:7" ht="12.75" customHeight="1" x14ac:dyDescent="0.2">
      <c r="A32" s="107" t="s">
        <v>25</v>
      </c>
      <c r="B32" s="29">
        <f>B31+B29*B30</f>
        <v>0.12893019132963038</v>
      </c>
      <c r="G32" s="106"/>
    </row>
    <row r="33" spans="1:7" ht="12.75" customHeight="1" x14ac:dyDescent="0.2">
      <c r="A33" s="107"/>
      <c r="B33" s="29"/>
      <c r="G33" s="106"/>
    </row>
    <row r="34" spans="1:7" ht="12.75" customHeight="1" x14ac:dyDescent="0.2">
      <c r="A34" s="33"/>
      <c r="B34" s="240" t="s">
        <v>304</v>
      </c>
      <c r="C34" s="241" t="s">
        <v>305</v>
      </c>
      <c r="D34" s="241" t="s">
        <v>306</v>
      </c>
      <c r="E34" s="241" t="s">
        <v>307</v>
      </c>
      <c r="F34" s="241" t="s">
        <v>308</v>
      </c>
      <c r="G34" s="242" t="s">
        <v>309</v>
      </c>
    </row>
    <row r="35" spans="1:7" x14ac:dyDescent="0.2">
      <c r="A35" s="77" t="s">
        <v>78</v>
      </c>
      <c r="B35" s="6">
        <f>'HUBS-US-IS'!F34</f>
        <v>-80.814999999999998</v>
      </c>
      <c r="C35" s="6">
        <f>'HUBS-US-IS'!G34</f>
        <v>-73.817999999999998</v>
      </c>
      <c r="D35" s="6">
        <f>'HUBS-US-IS'!H34</f>
        <v>-104.69199999999999</v>
      </c>
      <c r="E35" s="6">
        <f>'HUBS-US-IS'!I34</f>
        <v>-150.57499999999999</v>
      </c>
      <c r="F35" s="6">
        <f>'HUBS-US-IS'!J34</f>
        <v>28.677</v>
      </c>
      <c r="G35" s="34">
        <f>'HUBS-US-IS'!K34</f>
        <v>69.462999999999994</v>
      </c>
    </row>
    <row r="36" spans="1:7" x14ac:dyDescent="0.2">
      <c r="A36" s="77" t="s">
        <v>285</v>
      </c>
      <c r="B36" s="6">
        <f>'HUBS-US-IS'!F35</f>
        <v>4.2160000000000002</v>
      </c>
      <c r="C36" s="6">
        <f>'HUBS-US-IS'!G35</f>
        <v>4.0190000000000001</v>
      </c>
      <c r="D36" s="6">
        <f>'HUBS-US-IS'!H35</f>
        <v>8.0570000000000004</v>
      </c>
      <c r="E36" s="6">
        <f>'HUBS-US-IS'!I35</f>
        <v>13.935</v>
      </c>
      <c r="F36" s="6">
        <f>'HUBS-US-IS'!J35</f>
        <v>24.048999999999999</v>
      </c>
      <c r="G36" s="34">
        <f>'HUBS-US-IS'!K35</f>
        <v>23.552</v>
      </c>
    </row>
    <row r="37" spans="1:7" x14ac:dyDescent="0.2">
      <c r="A37" s="77" t="s">
        <v>286</v>
      </c>
      <c r="B37" s="29">
        <f t="shared" ref="B37:G37" si="0">B36/B35</f>
        <v>-5.2168533069355941E-2</v>
      </c>
      <c r="C37" s="29">
        <f t="shared" si="0"/>
        <v>-5.4444715381072373E-2</v>
      </c>
      <c r="D37" s="29">
        <f t="shared" si="0"/>
        <v>-7.6959079967905866E-2</v>
      </c>
      <c r="E37" s="29">
        <f t="shared" si="0"/>
        <v>-9.2545243234268645E-2</v>
      </c>
      <c r="F37" s="29">
        <f t="shared" si="0"/>
        <v>0.838616312724483</v>
      </c>
      <c r="G37" s="67">
        <f t="shared" si="0"/>
        <v>0.33905820364798528</v>
      </c>
    </row>
    <row r="38" spans="1:7" ht="12.75" customHeight="1" x14ac:dyDescent="0.2">
      <c r="A38" s="107" t="s">
        <v>287</v>
      </c>
      <c r="B38" s="29">
        <f>AVERAGE(E37:G37)</f>
        <v>0.36170975771273323</v>
      </c>
      <c r="C38" s="29"/>
      <c r="D38" s="29"/>
      <c r="E38" s="29"/>
      <c r="F38" s="29"/>
      <c r="G38" s="67"/>
    </row>
    <row r="39" spans="1:7" ht="12.75" customHeight="1" x14ac:dyDescent="0.2">
      <c r="A39" s="107" t="s">
        <v>288</v>
      </c>
      <c r="B39" s="29">
        <v>0.25</v>
      </c>
      <c r="C39" s="29" t="s">
        <v>310</v>
      </c>
      <c r="D39" s="29"/>
      <c r="E39" s="29"/>
      <c r="F39" s="29"/>
      <c r="G39" s="67"/>
    </row>
    <row r="40" spans="1:7" ht="12.75" customHeight="1" x14ac:dyDescent="0.2">
      <c r="A40" s="107"/>
      <c r="B40" s="29"/>
      <c r="C40" s="29" t="s">
        <v>311</v>
      </c>
      <c r="D40" s="29"/>
      <c r="E40" s="29"/>
      <c r="F40" s="29"/>
      <c r="G40" s="67"/>
    </row>
    <row r="41" spans="1:7" ht="12.75" customHeight="1" x14ac:dyDescent="0.2">
      <c r="A41" s="107"/>
      <c r="B41" s="29"/>
      <c r="C41" s="29"/>
      <c r="D41" s="29"/>
      <c r="E41" s="29"/>
      <c r="F41" s="29"/>
      <c r="G41" s="67"/>
    </row>
    <row r="42" spans="1:7" x14ac:dyDescent="0.2">
      <c r="A42" s="77" t="s">
        <v>290</v>
      </c>
      <c r="B42" s="102">
        <f>B31</f>
        <v>4.3900000000000002E-2</v>
      </c>
      <c r="G42" s="106"/>
    </row>
    <row r="43" spans="1:7" x14ac:dyDescent="0.2">
      <c r="A43" s="77" t="s">
        <v>148</v>
      </c>
      <c r="B43" s="102">
        <v>6.3E-3</v>
      </c>
      <c r="C43" t="s">
        <v>312</v>
      </c>
      <c r="G43" s="106"/>
    </row>
    <row r="44" spans="1:7" x14ac:dyDescent="0.2">
      <c r="A44" s="77" t="s">
        <v>47</v>
      </c>
      <c r="B44" s="102">
        <f>SUM(B42:B43)</f>
        <v>5.0200000000000002E-2</v>
      </c>
      <c r="G44" s="106"/>
    </row>
    <row r="45" spans="1:7" ht="12.75" customHeight="1" x14ac:dyDescent="0.2">
      <c r="A45" s="107" t="s">
        <v>26</v>
      </c>
      <c r="B45" s="120">
        <f>B44*(1-B39)</f>
        <v>3.7650000000000003E-2</v>
      </c>
      <c r="G45" s="106"/>
    </row>
    <row r="46" spans="1:7" ht="12.75" customHeight="1" x14ac:dyDescent="0.2">
      <c r="A46" s="107"/>
      <c r="B46" s="120"/>
      <c r="G46" s="106"/>
    </row>
    <row r="47" spans="1:7" x14ac:dyDescent="0.2">
      <c r="A47" s="77" t="s">
        <v>292</v>
      </c>
      <c r="B47" s="6">
        <v>52.74</v>
      </c>
      <c r="G47" s="106"/>
    </row>
    <row r="48" spans="1:7" x14ac:dyDescent="0.2">
      <c r="A48" s="77" t="s">
        <v>293</v>
      </c>
      <c r="B48" s="100">
        <f>Beta!F4</f>
        <v>262.06</v>
      </c>
      <c r="G48" s="106"/>
    </row>
    <row r="49" spans="1:7" ht="12.75" customHeight="1" x14ac:dyDescent="0.2">
      <c r="A49" s="107" t="s">
        <v>294</v>
      </c>
      <c r="B49" s="121">
        <f>B48*B47</f>
        <v>13821.044400000001</v>
      </c>
      <c r="C49" t="s">
        <v>313</v>
      </c>
      <c r="G49" s="106"/>
    </row>
    <row r="50" spans="1:7" ht="12.75" customHeight="1" x14ac:dyDescent="0.2">
      <c r="A50" s="107" t="s">
        <v>130</v>
      </c>
      <c r="B50" s="121">
        <f>'HUBS-US-BS'!K41+'HUBS-US-BS'!K49</f>
        <v>39.703000000000003</v>
      </c>
      <c r="G50" s="106"/>
    </row>
    <row r="51" spans="1:7" ht="12.75" customHeight="1" x14ac:dyDescent="0.2">
      <c r="A51" s="107"/>
      <c r="B51" s="120"/>
      <c r="G51" s="106"/>
    </row>
    <row r="52" spans="1:7" ht="12.75" customHeight="1" x14ac:dyDescent="0.2">
      <c r="A52" s="107" t="s">
        <v>154</v>
      </c>
      <c r="B52" s="120">
        <f>B50/(B50+B49)</f>
        <v>2.8644198508371924E-3</v>
      </c>
      <c r="G52" s="106"/>
    </row>
    <row r="53" spans="1:7" ht="12.75" customHeight="1" x14ac:dyDescent="0.2">
      <c r="A53" s="107" t="s">
        <v>153</v>
      </c>
      <c r="B53" s="120">
        <f>B49/(B49+B50)</f>
        <v>0.99713558014916281</v>
      </c>
      <c r="G53" s="106"/>
    </row>
    <row r="54" spans="1:7" ht="12.75" customHeight="1" x14ac:dyDescent="0.2">
      <c r="A54" s="107"/>
      <c r="B54" s="120"/>
      <c r="G54" s="106"/>
    </row>
    <row r="55" spans="1:7" ht="13.5" customHeight="1" x14ac:dyDescent="0.2">
      <c r="A55" s="109" t="s">
        <v>21</v>
      </c>
      <c r="B55" s="122">
        <f>B53*B32+B52*B45</f>
        <v>0.12866872653759756</v>
      </c>
      <c r="C55" s="110"/>
      <c r="D55" s="110"/>
      <c r="E55" s="110"/>
      <c r="F55" s="110"/>
      <c r="G55" s="111"/>
    </row>
    <row r="57" spans="1:7" x14ac:dyDescent="0.2">
      <c r="B57">
        <v>1</v>
      </c>
      <c r="C57">
        <v>2</v>
      </c>
      <c r="D57">
        <v>3</v>
      </c>
      <c r="E57">
        <v>4</v>
      </c>
      <c r="F57">
        <v>5</v>
      </c>
    </row>
    <row r="58" spans="1:7" ht="12.75" customHeight="1" x14ac:dyDescent="0.2">
      <c r="A58" s="113" t="s">
        <v>295</v>
      </c>
      <c r="B58" s="243">
        <v>2026</v>
      </c>
      <c r="C58" s="243">
        <v>2027</v>
      </c>
      <c r="D58" s="243">
        <v>2028</v>
      </c>
      <c r="E58" s="243">
        <v>2029</v>
      </c>
      <c r="F58" s="244">
        <v>2030</v>
      </c>
    </row>
    <row r="59" spans="1:7" ht="12.75" customHeight="1" x14ac:dyDescent="0.2">
      <c r="A59" s="114" t="s">
        <v>4</v>
      </c>
      <c r="B59" s="28">
        <f>G3*(1+B24)</f>
        <v>3694.8679200000001</v>
      </c>
      <c r="C59" s="28">
        <f>B59*(1+C24)</f>
        <v>4286.0467871999999</v>
      </c>
      <c r="D59" s="28">
        <f>C59*(1+D24)</f>
        <v>4928.9538052799999</v>
      </c>
      <c r="E59" s="28">
        <f>D59*(1+E24)</f>
        <v>5619.0073380192007</v>
      </c>
      <c r="F59" s="123">
        <f>E59*(1+F24)</f>
        <v>6349.4782919616964</v>
      </c>
    </row>
    <row r="60" spans="1:7" ht="12.75" customHeight="1" x14ac:dyDescent="0.2">
      <c r="A60" s="114" t="s">
        <v>5</v>
      </c>
      <c r="B60" s="28">
        <f>B59*B25</f>
        <v>184.74339600000002</v>
      </c>
      <c r="C60" s="28">
        <f>C59*C25</f>
        <v>342.88374297600001</v>
      </c>
      <c r="D60" s="28">
        <f>D59*D25</f>
        <v>542.18491858079994</v>
      </c>
      <c r="E60" s="28">
        <f>E59*E25</f>
        <v>730.47095394249607</v>
      </c>
      <c r="F60" s="123">
        <f>F59*F25</f>
        <v>952.42174379425444</v>
      </c>
    </row>
    <row r="61" spans="1:7" ht="12.75" customHeight="1" x14ac:dyDescent="0.2">
      <c r="A61" s="114" t="s">
        <v>6</v>
      </c>
      <c r="B61" s="28">
        <f>B60*(1-$B$39)</f>
        <v>138.557547</v>
      </c>
      <c r="C61" s="28">
        <f>C60*(1-$B$39)</f>
        <v>257.16280723199998</v>
      </c>
      <c r="D61" s="28">
        <f>D60*(1-$B$39)</f>
        <v>406.63868893559993</v>
      </c>
      <c r="E61" s="28">
        <f>E60*(1-$B$39)</f>
        <v>547.85321545687202</v>
      </c>
      <c r="F61" s="28">
        <f>F60*(1-$B$39)</f>
        <v>714.31630784569086</v>
      </c>
    </row>
    <row r="62" spans="1:7" ht="12.75" customHeight="1" x14ac:dyDescent="0.2">
      <c r="A62" s="114" t="s">
        <v>296</v>
      </c>
      <c r="B62" s="28">
        <f>B59*$B$13</f>
        <v>152.06983148260983</v>
      </c>
      <c r="C62" s="28">
        <f>C59*$B$13</f>
        <v>176.40100451982741</v>
      </c>
      <c r="D62" s="28">
        <f>D59*$B$13</f>
        <v>202.86115519780151</v>
      </c>
      <c r="E62" s="28">
        <f>E59*$B$13</f>
        <v>231.26171692549377</v>
      </c>
      <c r="F62" s="123">
        <f>F59*$B$13</f>
        <v>261.32574012580795</v>
      </c>
    </row>
    <row r="63" spans="1:7" ht="12.75" customHeight="1" x14ac:dyDescent="0.2">
      <c r="A63" s="114" t="s">
        <v>143</v>
      </c>
      <c r="B63" s="28">
        <f>B59*$B$17</f>
        <v>188.1284752418095</v>
      </c>
      <c r="C63" s="28">
        <f>C59*$B$17</f>
        <v>218.22903128049902</v>
      </c>
      <c r="D63" s="28">
        <f>D59*$B$17</f>
        <v>250.96338597257386</v>
      </c>
      <c r="E63" s="28">
        <f>E59*$B$17</f>
        <v>286.09826000873426</v>
      </c>
      <c r="F63" s="123">
        <f>F59*$B$17</f>
        <v>323.29103380986965</v>
      </c>
    </row>
    <row r="64" spans="1:7" ht="12.75" customHeight="1" x14ac:dyDescent="0.2">
      <c r="A64" s="114" t="s">
        <v>278</v>
      </c>
      <c r="B64" s="28">
        <f>B59*$B$21</f>
        <v>-987.61881814548781</v>
      </c>
      <c r="C64" s="28">
        <f>C59*$B$21</f>
        <v>-1145.6378290487658</v>
      </c>
      <c r="D64" s="28">
        <f>D59*$B$21</f>
        <v>-1317.4835034060807</v>
      </c>
      <c r="E64" s="28">
        <f>E59*$B$21</f>
        <v>-1501.9311938829321</v>
      </c>
      <c r="F64" s="123">
        <f>F59*$B$21</f>
        <v>-1697.1822490877132</v>
      </c>
    </row>
    <row r="65" spans="1:7" ht="13.5" customHeight="1" x14ac:dyDescent="0.2">
      <c r="A65" s="115" t="s">
        <v>297</v>
      </c>
      <c r="B65" s="95">
        <f>B64-G19</f>
        <v>-79.607818145487954</v>
      </c>
      <c r="C65" s="95">
        <f>C64-B64</f>
        <v>-158.01901090327794</v>
      </c>
      <c r="D65" s="95">
        <f>D64-C64</f>
        <v>-171.84567435731492</v>
      </c>
      <c r="E65" s="95">
        <f>E64-D64</f>
        <v>-184.44769047685145</v>
      </c>
      <c r="F65" s="96">
        <f>F64-E64</f>
        <v>-195.2510552047811</v>
      </c>
    </row>
    <row r="66" spans="1:7" ht="13.5" customHeight="1" x14ac:dyDescent="0.2">
      <c r="A66" s="114" t="s">
        <v>298</v>
      </c>
      <c r="B66" s="28">
        <f>B61+B62-B63-B65</f>
        <v>182.10672138628831</v>
      </c>
      <c r="C66" s="28">
        <f>C61+C62-C63-C65</f>
        <v>373.35379137460632</v>
      </c>
      <c r="D66" s="28">
        <f>D61+D62-D63-D65</f>
        <v>530.3821325181425</v>
      </c>
      <c r="E66" s="28">
        <f>E61+E62-E63-E65</f>
        <v>677.46436285048298</v>
      </c>
      <c r="F66" s="123">
        <f>F61+F62-F63-F65</f>
        <v>847.60206936641032</v>
      </c>
    </row>
    <row r="67" spans="1:7" ht="12.75" customHeight="1" x14ac:dyDescent="0.2">
      <c r="A67" s="114" t="s">
        <v>11</v>
      </c>
      <c r="B67" s="28">
        <f>B66/(1+$B$55)^B57</f>
        <v>161.34647581220287</v>
      </c>
      <c r="C67" s="28">
        <f>C66/(1+$B$55)^C57</f>
        <v>293.08094459081218</v>
      </c>
      <c r="D67" s="28">
        <f>D66/(1+$B$55)^D57</f>
        <v>368.88365315924676</v>
      </c>
      <c r="E67" s="28">
        <f>E66/(1+$B$55)^E57</f>
        <v>417.46540144006394</v>
      </c>
      <c r="F67" s="28">
        <f>F66/(1+$B$55)^F57</f>
        <v>462.76398263448687</v>
      </c>
    </row>
    <row r="68" spans="1:7" ht="12.75" customHeight="1" x14ac:dyDescent="0.2">
      <c r="A68" s="114" t="s">
        <v>299</v>
      </c>
      <c r="B68" s="28">
        <f>SUM(B67:F67)</f>
        <v>1703.5404576368126</v>
      </c>
    </row>
    <row r="69" spans="1:7" ht="12.75" customHeight="1" x14ac:dyDescent="0.2">
      <c r="A69" s="114" t="s">
        <v>14</v>
      </c>
      <c r="B69" s="28">
        <f>F66*(1+G24)/(B55-G24)</f>
        <v>9365.6460829763619</v>
      </c>
    </row>
    <row r="70" spans="1:7" ht="12.75" customHeight="1" x14ac:dyDescent="0.2">
      <c r="A70" s="114" t="s">
        <v>15</v>
      </c>
      <c r="B70" s="28">
        <f>B69/(1+B55)^F57</f>
        <v>5113.3472155666004</v>
      </c>
    </row>
    <row r="71" spans="1:7" ht="12.75" customHeight="1" x14ac:dyDescent="0.2">
      <c r="A71" s="114" t="s">
        <v>300</v>
      </c>
      <c r="B71" s="28">
        <f>B70+B68</f>
        <v>6816.8876732034132</v>
      </c>
    </row>
    <row r="74" spans="1:7" x14ac:dyDescent="0.2">
      <c r="C74" s="198" t="s">
        <v>540</v>
      </c>
      <c r="D74" s="198"/>
      <c r="E74" s="198"/>
      <c r="F74" s="198"/>
      <c r="G74" s="198"/>
    </row>
    <row r="75" spans="1:7" x14ac:dyDescent="0.2">
      <c r="B75" s="199">
        <f>B71</f>
        <v>6816.8876732034132</v>
      </c>
      <c r="C75" s="195">
        <v>2.5000000000000001E-2</v>
      </c>
      <c r="D75" s="195">
        <v>0.03</v>
      </c>
      <c r="E75" s="195">
        <v>3.5000000000000003E-2</v>
      </c>
      <c r="F75" s="195">
        <v>0.04</v>
      </c>
      <c r="G75" s="195">
        <v>4.4999999999999998E-2</v>
      </c>
    </row>
    <row r="76" spans="1:7" x14ac:dyDescent="0.2">
      <c r="A76" s="196"/>
      <c r="B76" s="195">
        <v>0.1187</v>
      </c>
      <c r="C76" s="6">
        <f t="dataTable" ref="C76:G80" dt2D="1" dtr="1" r1="G24" r2="B55"/>
        <v>7048.1005562480968</v>
      </c>
      <c r="D76" s="6">
        <v>7373.6704588751327</v>
      </c>
      <c r="E76" s="6">
        <v>7738.1376019594009</v>
      </c>
      <c r="F76" s="6">
        <v>8148.9156907977067</v>
      </c>
      <c r="G76" s="6">
        <v>8615.4302910116276</v>
      </c>
    </row>
    <row r="77" spans="1:7" x14ac:dyDescent="0.2">
      <c r="A77" s="196"/>
      <c r="B77" s="195">
        <v>0.12866872653759756</v>
      </c>
      <c r="C77" s="6">
        <v>6279.0098208909512</v>
      </c>
      <c r="D77" s="6">
        <v>6534.3203697693143</v>
      </c>
      <c r="E77" s="204">
        <v>6816.8876732034132</v>
      </c>
      <c r="F77" s="6">
        <v>7131.3227291662797</v>
      </c>
      <c r="G77" s="6">
        <v>7483.3387390858843</v>
      </c>
    </row>
    <row r="78" spans="1:7" x14ac:dyDescent="0.2">
      <c r="A78" s="197" t="s">
        <v>21</v>
      </c>
      <c r="B78" s="195">
        <v>0.13869999999999999</v>
      </c>
      <c r="C78" s="6">
        <v>5644.0189804661077</v>
      </c>
      <c r="D78" s="6">
        <v>5847.9741517379025</v>
      </c>
      <c r="E78" s="6">
        <v>6071.5971312326255</v>
      </c>
      <c r="F78" s="6">
        <v>6317.8769475555891</v>
      </c>
      <c r="G78" s="6">
        <v>6590.440629014407</v>
      </c>
    </row>
    <row r="79" spans="1:7" x14ac:dyDescent="0.2">
      <c r="A79" s="196"/>
      <c r="B79" s="195">
        <v>0.1487</v>
      </c>
      <c r="C79" s="6">
        <v>5115.9633286218741</v>
      </c>
      <c r="D79" s="6">
        <v>5281.7368297414496</v>
      </c>
      <c r="E79" s="6">
        <v>5462.0902342136706</v>
      </c>
      <c r="F79" s="6">
        <v>5659.0354882233551</v>
      </c>
      <c r="G79" s="6">
        <v>5874.9725700063918</v>
      </c>
    </row>
    <row r="80" spans="1:7" x14ac:dyDescent="0.2">
      <c r="A80" s="196"/>
      <c r="B80" s="195">
        <v>0.15870000000000001</v>
      </c>
      <c r="C80" s="6">
        <v>4669.0622326610273</v>
      </c>
      <c r="D80" s="6">
        <v>4805.6991422292776</v>
      </c>
      <c r="E80" s="6">
        <v>4953.3818811886558</v>
      </c>
      <c r="F80" s="6">
        <v>5113.5062999255724</v>
      </c>
      <c r="G80" s="6">
        <v>5287.7137809964297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P124"/>
  <sheetViews>
    <sheetView zoomScaleNormal="100" workbookViewId="0">
      <pane ySplit="3" topLeftCell="A6" activePane="bottomLeft" state="frozen"/>
      <selection pane="bottomLeft" activeCell="K12" sqref="K12"/>
    </sheetView>
  </sheetViews>
  <sheetFormatPr defaultColWidth="9.140625" defaultRowHeight="12.75" x14ac:dyDescent="0.2"/>
  <cols>
    <col min="5" max="5" width="8.42578125" customWidth="1"/>
    <col min="6" max="6" width="6.85546875" customWidth="1"/>
    <col min="7" max="7" width="7.85546875" bestFit="1" customWidth="1"/>
    <col min="13" max="13" width="10.42578125" customWidth="1"/>
  </cols>
  <sheetData>
    <row r="2" spans="1:16" ht="15" customHeight="1" x14ac:dyDescent="0.2">
      <c r="A2" s="4" t="s">
        <v>314</v>
      </c>
      <c r="E2" s="4" t="s">
        <v>315</v>
      </c>
      <c r="I2" s="4" t="s">
        <v>316</v>
      </c>
      <c r="M2" s="97" t="s">
        <v>317</v>
      </c>
      <c r="N2" s="124">
        <f>SLOPE(C4:C77,K4:K77)</f>
        <v>1.2317361621900547</v>
      </c>
      <c r="P2" t="s">
        <v>543</v>
      </c>
    </row>
    <row r="3" spans="1:16" ht="15" customHeight="1" x14ac:dyDescent="0.2">
      <c r="A3" s="231" t="s">
        <v>318</v>
      </c>
      <c r="B3" s="231" t="s">
        <v>319</v>
      </c>
      <c r="C3" s="231" t="s">
        <v>320</v>
      </c>
      <c r="E3" s="231" t="s">
        <v>318</v>
      </c>
      <c r="F3" s="231" t="s">
        <v>319</v>
      </c>
      <c r="G3" s="231" t="s">
        <v>320</v>
      </c>
      <c r="I3" s="231" t="s">
        <v>318</v>
      </c>
      <c r="J3" s="231" t="s">
        <v>319</v>
      </c>
      <c r="K3" s="231" t="s">
        <v>320</v>
      </c>
      <c r="M3" s="97" t="s">
        <v>321</v>
      </c>
      <c r="N3" s="124">
        <f>SLOPE(G4:G77,K4:K77)</f>
        <v>1.4171698554938394</v>
      </c>
      <c r="P3" t="s">
        <v>544</v>
      </c>
    </row>
    <row r="4" spans="1:16" ht="15" customHeight="1" x14ac:dyDescent="0.2">
      <c r="A4" s="125">
        <v>46104</v>
      </c>
      <c r="B4" s="126">
        <v>195.18</v>
      </c>
      <c r="C4" s="127">
        <f t="shared" ref="C4:C35" si="0">B4/B5-1</f>
        <v>2.0021561681811129E-3</v>
      </c>
      <c r="E4" s="125">
        <v>46104</v>
      </c>
      <c r="F4" s="126">
        <v>262.06</v>
      </c>
      <c r="G4" s="127">
        <f t="shared" ref="G4:G35" si="1">F4/F5-1</f>
        <v>-9.262409738762245E-3</v>
      </c>
      <c r="I4" s="125">
        <v>46104</v>
      </c>
      <c r="J4" s="126">
        <v>604.42999999999995</v>
      </c>
      <c r="K4" s="29">
        <f t="shared" ref="K4:K35" si="2">J4/J5-1</f>
        <v>-4.2168483772819454E-2</v>
      </c>
    </row>
    <row r="5" spans="1:16" ht="15" customHeight="1" x14ac:dyDescent="0.2">
      <c r="A5" s="128">
        <v>46080</v>
      </c>
      <c r="B5" s="129">
        <v>194.79</v>
      </c>
      <c r="C5" s="127">
        <f t="shared" si="0"/>
        <v>-8.2434405765697827E-2</v>
      </c>
      <c r="E5" s="128">
        <v>46080</v>
      </c>
      <c r="F5" s="129">
        <v>264.51</v>
      </c>
      <c r="G5" s="127">
        <f t="shared" si="1"/>
        <v>-5.5321428571428632E-2</v>
      </c>
      <c r="I5" s="128">
        <v>46080</v>
      </c>
      <c r="J5" s="129">
        <v>631.04</v>
      </c>
      <c r="K5" s="29">
        <f t="shared" si="2"/>
        <v>-8.1418377290874977E-3</v>
      </c>
    </row>
    <row r="6" spans="1:16" ht="15" customHeight="1" x14ac:dyDescent="0.2">
      <c r="A6" s="125">
        <v>46052</v>
      </c>
      <c r="B6" s="126">
        <v>212.29</v>
      </c>
      <c r="C6" s="127">
        <f t="shared" si="0"/>
        <v>-0.19863349816918963</v>
      </c>
      <c r="E6" s="125">
        <v>46052</v>
      </c>
      <c r="F6" s="126">
        <v>280</v>
      </c>
      <c r="G6" s="127">
        <f t="shared" si="1"/>
        <v>-0.302267630201844</v>
      </c>
      <c r="I6" s="125">
        <v>46052</v>
      </c>
      <c r="J6" s="126">
        <v>636.22</v>
      </c>
      <c r="K6" s="29">
        <f t="shared" si="2"/>
        <v>1.4494602395037859E-2</v>
      </c>
    </row>
    <row r="7" spans="1:16" ht="15" customHeight="1" x14ac:dyDescent="0.2">
      <c r="A7" s="128">
        <v>46022</v>
      </c>
      <c r="B7" s="129">
        <v>264.91000000000003</v>
      </c>
      <c r="C7" s="127">
        <f t="shared" si="0"/>
        <v>0.14908475752580919</v>
      </c>
      <c r="E7" s="128">
        <v>46022</v>
      </c>
      <c r="F7" s="129">
        <v>401.3</v>
      </c>
      <c r="G7" s="127">
        <f t="shared" si="1"/>
        <v>9.2507895023412834E-2</v>
      </c>
      <c r="I7" s="128">
        <v>46022</v>
      </c>
      <c r="J7" s="129">
        <v>627.13</v>
      </c>
      <c r="K7" s="29">
        <f t="shared" si="2"/>
        <v>-2.0368867459142903E-3</v>
      </c>
    </row>
    <row r="8" spans="1:16" ht="15" customHeight="1" x14ac:dyDescent="0.2">
      <c r="A8" s="125">
        <v>45989</v>
      </c>
      <c r="B8" s="126">
        <v>230.54</v>
      </c>
      <c r="C8" s="127">
        <f t="shared" si="0"/>
        <v>-0.11470373641565235</v>
      </c>
      <c r="E8" s="125">
        <v>45989</v>
      </c>
      <c r="F8" s="126">
        <v>367.32</v>
      </c>
      <c r="G8" s="127">
        <f t="shared" si="1"/>
        <v>-0.25329321840949748</v>
      </c>
      <c r="I8" s="125">
        <v>45989</v>
      </c>
      <c r="J8" s="126">
        <v>628.41</v>
      </c>
      <c r="K8" s="29">
        <f t="shared" si="2"/>
        <v>2.184868588925859E-3</v>
      </c>
    </row>
    <row r="9" spans="1:16" ht="15" customHeight="1" x14ac:dyDescent="0.2">
      <c r="A9" s="128">
        <v>45961</v>
      </c>
      <c r="B9" s="129">
        <v>260.41000000000003</v>
      </c>
      <c r="C9" s="127">
        <f t="shared" si="0"/>
        <v>9.8776371308016975E-2</v>
      </c>
      <c r="E9" s="128">
        <v>45961</v>
      </c>
      <c r="F9" s="129">
        <v>491.92</v>
      </c>
      <c r="G9" s="127">
        <f t="shared" si="1"/>
        <v>5.1560495938435258E-2</v>
      </c>
      <c r="I9" s="128">
        <v>45961</v>
      </c>
      <c r="J9" s="129">
        <v>627.04</v>
      </c>
      <c r="K9" s="29">
        <f t="shared" si="2"/>
        <v>2.3939384042587886E-2</v>
      </c>
    </row>
    <row r="10" spans="1:16" ht="15" customHeight="1" x14ac:dyDescent="0.2">
      <c r="A10" s="125">
        <v>45930</v>
      </c>
      <c r="B10" s="126">
        <v>237</v>
      </c>
      <c r="C10" s="127">
        <f t="shared" si="0"/>
        <v>-7.5121951219512151E-2</v>
      </c>
      <c r="E10" s="125">
        <v>45930</v>
      </c>
      <c r="F10" s="126">
        <v>467.8</v>
      </c>
      <c r="G10" s="127">
        <f t="shared" si="1"/>
        <v>-3.1810749839600971E-2</v>
      </c>
      <c r="I10" s="125">
        <v>45930</v>
      </c>
      <c r="J10" s="126">
        <v>612.38</v>
      </c>
      <c r="K10" s="29">
        <f t="shared" si="2"/>
        <v>3.2541984217980602E-2</v>
      </c>
    </row>
    <row r="11" spans="1:16" ht="15" customHeight="1" x14ac:dyDescent="0.2">
      <c r="A11" s="128">
        <v>45898</v>
      </c>
      <c r="B11" s="129">
        <v>256.25</v>
      </c>
      <c r="C11" s="127">
        <f t="shared" si="0"/>
        <v>-8.0517167963457537E-3</v>
      </c>
      <c r="E11" s="128">
        <v>45898</v>
      </c>
      <c r="F11" s="129">
        <v>483.17</v>
      </c>
      <c r="G11" s="127">
        <f t="shared" si="1"/>
        <v>-7.0201096892138826E-2</v>
      </c>
      <c r="I11" s="128">
        <v>45898</v>
      </c>
      <c r="J11" s="129">
        <v>593.08000000000004</v>
      </c>
      <c r="K11" s="29">
        <f t="shared" si="2"/>
        <v>2.0756600461257824E-2</v>
      </c>
    </row>
    <row r="12" spans="1:16" ht="15" customHeight="1" x14ac:dyDescent="0.2">
      <c r="A12" s="125">
        <v>45869</v>
      </c>
      <c r="B12" s="126">
        <v>258.33</v>
      </c>
      <c r="C12" s="127">
        <f t="shared" si="0"/>
        <v>-5.266053027247064E-2</v>
      </c>
      <c r="E12" s="125">
        <v>45869</v>
      </c>
      <c r="F12" s="126">
        <v>519.65</v>
      </c>
      <c r="G12" s="127">
        <f t="shared" si="1"/>
        <v>-6.6435513716472383E-2</v>
      </c>
      <c r="I12" s="125">
        <v>45869</v>
      </c>
      <c r="J12" s="126">
        <v>581.02</v>
      </c>
      <c r="K12" s="29">
        <f t="shared" si="2"/>
        <v>2.2868510465996472E-2</v>
      </c>
    </row>
    <row r="13" spans="1:16" ht="15" customHeight="1" x14ac:dyDescent="0.2">
      <c r="A13" s="128">
        <v>45838</v>
      </c>
      <c r="B13" s="129">
        <v>272.69</v>
      </c>
      <c r="C13" s="127">
        <f t="shared" si="0"/>
        <v>2.7584127821532078E-2</v>
      </c>
      <c r="E13" s="128">
        <v>45838</v>
      </c>
      <c r="F13" s="129">
        <v>556.63</v>
      </c>
      <c r="G13" s="127">
        <f t="shared" si="1"/>
        <v>-5.6399389727072369E-2</v>
      </c>
      <c r="I13" s="128">
        <v>45838</v>
      </c>
      <c r="J13" s="129">
        <v>568.03</v>
      </c>
      <c r="K13" s="29">
        <f t="shared" si="2"/>
        <v>4.8490106320141724E-2</v>
      </c>
    </row>
    <row r="14" spans="1:16" ht="15" customHeight="1" x14ac:dyDescent="0.2">
      <c r="A14" s="125">
        <v>45807</v>
      </c>
      <c r="B14" s="126">
        <v>265.37</v>
      </c>
      <c r="C14" s="127">
        <f t="shared" si="0"/>
        <v>-1.2429756987086371E-2</v>
      </c>
      <c r="E14" s="125">
        <v>45807</v>
      </c>
      <c r="F14" s="126">
        <v>589.9</v>
      </c>
      <c r="G14" s="127">
        <f t="shared" si="1"/>
        <v>-3.5322976287816887E-2</v>
      </c>
      <c r="I14" s="125">
        <v>45807</v>
      </c>
      <c r="J14" s="126">
        <v>541.76</v>
      </c>
      <c r="K14" s="29">
        <f t="shared" si="2"/>
        <v>6.2816337740809081E-2</v>
      </c>
    </row>
    <row r="15" spans="1:16" ht="15" customHeight="1" x14ac:dyDescent="0.2">
      <c r="A15" s="128">
        <v>45777</v>
      </c>
      <c r="B15" s="129">
        <v>268.70999999999998</v>
      </c>
      <c r="C15" s="127">
        <f t="shared" si="0"/>
        <v>1.3042182143387926E-3</v>
      </c>
      <c r="E15" s="128">
        <v>45777</v>
      </c>
      <c r="F15" s="129">
        <v>611.5</v>
      </c>
      <c r="G15" s="127">
        <f t="shared" si="1"/>
        <v>7.0384568257802593E-2</v>
      </c>
      <c r="I15" s="128">
        <v>45777</v>
      </c>
      <c r="J15" s="129">
        <v>509.74</v>
      </c>
      <c r="K15" s="29">
        <f t="shared" si="2"/>
        <v>-8.1142612519701229E-3</v>
      </c>
    </row>
    <row r="16" spans="1:16" ht="15" customHeight="1" x14ac:dyDescent="0.2">
      <c r="A16" s="125">
        <v>45747</v>
      </c>
      <c r="B16" s="126">
        <v>268.36</v>
      </c>
      <c r="C16" s="127">
        <f t="shared" si="0"/>
        <v>-9.9009568574786044E-2</v>
      </c>
      <c r="E16" s="125">
        <v>45747</v>
      </c>
      <c r="F16" s="126">
        <v>571.29</v>
      </c>
      <c r="G16" s="127">
        <f t="shared" si="1"/>
        <v>-0.21091451539385908</v>
      </c>
      <c r="I16" s="125">
        <v>45747</v>
      </c>
      <c r="J16" s="126">
        <v>513.91</v>
      </c>
      <c r="K16" s="29">
        <f t="shared" si="2"/>
        <v>-5.9341423681657735E-2</v>
      </c>
    </row>
    <row r="17" spans="1:11" ht="15" customHeight="1" x14ac:dyDescent="0.2">
      <c r="A17" s="128">
        <v>45716</v>
      </c>
      <c r="B17" s="129">
        <v>297.85000000000002</v>
      </c>
      <c r="C17" s="127">
        <f t="shared" si="0"/>
        <v>-0.12832894351770552</v>
      </c>
      <c r="E17" s="128">
        <v>45716</v>
      </c>
      <c r="F17" s="129">
        <v>723.99</v>
      </c>
      <c r="G17" s="127">
        <f t="shared" si="1"/>
        <v>-7.124805972829773E-2</v>
      </c>
      <c r="I17" s="128">
        <v>45716</v>
      </c>
      <c r="J17" s="129">
        <v>546.33000000000004</v>
      </c>
      <c r="K17" s="29">
        <f t="shared" si="2"/>
        <v>-1.2650678618545852E-2</v>
      </c>
    </row>
    <row r="18" spans="1:11" ht="15" customHeight="1" x14ac:dyDescent="0.2">
      <c r="A18" s="125">
        <v>45688</v>
      </c>
      <c r="B18" s="126">
        <v>341.7</v>
      </c>
      <c r="C18" s="127">
        <f t="shared" si="0"/>
        <v>2.2044088176352616E-2</v>
      </c>
      <c r="E18" s="125">
        <v>45688</v>
      </c>
      <c r="F18" s="126">
        <v>779.53</v>
      </c>
      <c r="G18" s="127">
        <f t="shared" si="1"/>
        <v>0.11877664078533812</v>
      </c>
      <c r="I18" s="125">
        <v>45688</v>
      </c>
      <c r="J18" s="126">
        <v>553.33000000000004</v>
      </c>
      <c r="K18" s="29">
        <f t="shared" si="2"/>
        <v>2.6948274902099278E-2</v>
      </c>
    </row>
    <row r="19" spans="1:11" ht="15" customHeight="1" x14ac:dyDescent="0.2">
      <c r="A19" s="128">
        <v>45657</v>
      </c>
      <c r="B19" s="129">
        <v>334.33</v>
      </c>
      <c r="C19" s="127">
        <f t="shared" si="0"/>
        <v>1.3151913694354311E-2</v>
      </c>
      <c r="E19" s="128">
        <v>45657</v>
      </c>
      <c r="F19" s="129">
        <v>696.77</v>
      </c>
      <c r="G19" s="127">
        <f t="shared" si="1"/>
        <v>-3.3673115595312386E-2</v>
      </c>
      <c r="I19" s="128">
        <v>45657</v>
      </c>
      <c r="J19" s="129">
        <v>538.80999999999995</v>
      </c>
      <c r="K19" s="29">
        <f t="shared" si="2"/>
        <v>-2.6452254042822476E-2</v>
      </c>
    </row>
    <row r="20" spans="1:11" ht="15" customHeight="1" x14ac:dyDescent="0.2">
      <c r="A20" s="125">
        <v>45625</v>
      </c>
      <c r="B20" s="126">
        <v>329.99</v>
      </c>
      <c r="C20" s="127">
        <f t="shared" si="0"/>
        <v>0.13254624703984619</v>
      </c>
      <c r="E20" s="125">
        <v>45625</v>
      </c>
      <c r="F20" s="126">
        <v>721.05</v>
      </c>
      <c r="G20" s="127">
        <f t="shared" si="1"/>
        <v>0.29968096036338077</v>
      </c>
      <c r="I20" s="125">
        <v>45625</v>
      </c>
      <c r="J20" s="126">
        <v>553.45000000000005</v>
      </c>
      <c r="K20" s="29">
        <f t="shared" si="2"/>
        <v>5.8889930548912561E-2</v>
      </c>
    </row>
    <row r="21" spans="1:11" ht="15" customHeight="1" x14ac:dyDescent="0.2">
      <c r="A21" s="128">
        <v>45596</v>
      </c>
      <c r="B21" s="129">
        <v>291.37</v>
      </c>
      <c r="C21" s="127">
        <f t="shared" si="0"/>
        <v>6.4520843228234259E-2</v>
      </c>
      <c r="E21" s="128">
        <v>45596</v>
      </c>
      <c r="F21" s="129">
        <v>554.79</v>
      </c>
      <c r="G21" s="127">
        <f t="shared" si="1"/>
        <v>4.3623024830699686E-2</v>
      </c>
      <c r="I21" s="128">
        <v>45596</v>
      </c>
      <c r="J21" s="129">
        <v>522.66999999999996</v>
      </c>
      <c r="K21" s="29">
        <f t="shared" si="2"/>
        <v>-9.4756192317168031E-3</v>
      </c>
    </row>
    <row r="22" spans="1:11" ht="15" customHeight="1" x14ac:dyDescent="0.2">
      <c r="A22" s="125">
        <v>45565</v>
      </c>
      <c r="B22" s="126">
        <v>273.70999999999998</v>
      </c>
      <c r="C22" s="127">
        <f t="shared" si="0"/>
        <v>8.2285488335310353E-2</v>
      </c>
      <c r="E22" s="125">
        <v>45565</v>
      </c>
      <c r="F22" s="126">
        <v>531.6</v>
      </c>
      <c r="G22" s="127">
        <f t="shared" si="1"/>
        <v>6.5181237101007872E-2</v>
      </c>
      <c r="I22" s="125">
        <v>45565</v>
      </c>
      <c r="J22" s="126">
        <v>527.66999999999996</v>
      </c>
      <c r="K22" s="29">
        <f t="shared" si="2"/>
        <v>1.8589298123697029E-2</v>
      </c>
    </row>
    <row r="23" spans="1:11" ht="15" customHeight="1" x14ac:dyDescent="0.2">
      <c r="A23" s="128">
        <v>45534</v>
      </c>
      <c r="B23" s="129">
        <v>252.9</v>
      </c>
      <c r="C23" s="127">
        <f t="shared" si="0"/>
        <v>-2.2797527047913491E-2</v>
      </c>
      <c r="E23" s="128">
        <v>45534</v>
      </c>
      <c r="F23" s="129">
        <v>499.07</v>
      </c>
      <c r="G23" s="127">
        <f t="shared" si="1"/>
        <v>4.1043800173028444E-3</v>
      </c>
      <c r="I23" s="128">
        <v>45534</v>
      </c>
      <c r="J23" s="129">
        <v>518.04</v>
      </c>
      <c r="K23" s="29">
        <f t="shared" si="2"/>
        <v>2.3936117644733468E-2</v>
      </c>
    </row>
    <row r="24" spans="1:11" ht="15" customHeight="1" x14ac:dyDescent="0.2">
      <c r="A24" s="125">
        <v>45504</v>
      </c>
      <c r="B24" s="126">
        <v>258.8</v>
      </c>
      <c r="C24" s="127">
        <f t="shared" si="0"/>
        <v>6.612213146635515E-3</v>
      </c>
      <c r="E24" s="125">
        <v>45504</v>
      </c>
      <c r="F24" s="126">
        <v>497.03</v>
      </c>
      <c r="G24" s="127">
        <f t="shared" si="1"/>
        <v>-0.15727631868970315</v>
      </c>
      <c r="I24" s="125">
        <v>45504</v>
      </c>
      <c r="J24" s="126">
        <v>505.93</v>
      </c>
      <c r="K24" s="29">
        <f t="shared" si="2"/>
        <v>1.1596984783956099E-2</v>
      </c>
    </row>
    <row r="25" spans="1:11" ht="15" customHeight="1" x14ac:dyDescent="0.2">
      <c r="A25" s="128">
        <v>45471</v>
      </c>
      <c r="B25" s="129">
        <v>257.10000000000002</v>
      </c>
      <c r="C25" s="127">
        <f t="shared" si="0"/>
        <v>9.6655860774611968E-2</v>
      </c>
      <c r="E25" s="128">
        <v>45471</v>
      </c>
      <c r="F25" s="129">
        <v>589.79</v>
      </c>
      <c r="G25" s="127">
        <f t="shared" si="1"/>
        <v>-3.4792570166107484E-2</v>
      </c>
      <c r="I25" s="128">
        <v>45471</v>
      </c>
      <c r="J25" s="129">
        <v>500.13</v>
      </c>
      <c r="K25" s="29">
        <f t="shared" si="2"/>
        <v>3.2004457100408557E-2</v>
      </c>
    </row>
    <row r="26" spans="1:11" ht="15" customHeight="1" x14ac:dyDescent="0.2">
      <c r="A26" s="125">
        <v>45443</v>
      </c>
      <c r="B26" s="126">
        <v>234.44</v>
      </c>
      <c r="C26" s="127">
        <f t="shared" si="0"/>
        <v>-0.12828140105599761</v>
      </c>
      <c r="E26" s="125">
        <v>45443</v>
      </c>
      <c r="F26" s="126">
        <v>611.04999999999995</v>
      </c>
      <c r="G26" s="127">
        <f t="shared" si="1"/>
        <v>1.0217071436837477E-2</v>
      </c>
      <c r="I26" s="125">
        <v>45443</v>
      </c>
      <c r="J26" s="126">
        <v>484.62</v>
      </c>
      <c r="K26" s="29">
        <f t="shared" si="2"/>
        <v>5.025681035043239E-2</v>
      </c>
    </row>
    <row r="27" spans="1:11" ht="15" customHeight="1" x14ac:dyDescent="0.2">
      <c r="A27" s="128">
        <v>45412</v>
      </c>
      <c r="B27" s="129">
        <v>268.94</v>
      </c>
      <c r="C27" s="127">
        <f t="shared" si="0"/>
        <v>-0.10704562055913414</v>
      </c>
      <c r="E27" s="128">
        <v>45412</v>
      </c>
      <c r="F27" s="129">
        <v>604.87</v>
      </c>
      <c r="G27" s="127">
        <f t="shared" si="1"/>
        <v>-3.4617594484167458E-2</v>
      </c>
      <c r="I27" s="128">
        <v>45412</v>
      </c>
      <c r="J27" s="129">
        <v>461.43</v>
      </c>
      <c r="K27" s="29">
        <f t="shared" si="2"/>
        <v>-4.0087372581651737E-2</v>
      </c>
    </row>
    <row r="28" spans="1:11" ht="15" customHeight="1" x14ac:dyDescent="0.2">
      <c r="A28" s="125">
        <v>45379</v>
      </c>
      <c r="B28" s="126">
        <v>301.18</v>
      </c>
      <c r="C28" s="127">
        <f t="shared" si="0"/>
        <v>-2.4739330354251576E-2</v>
      </c>
      <c r="E28" s="125">
        <v>45379</v>
      </c>
      <c r="F28" s="126">
        <v>626.55999999999995</v>
      </c>
      <c r="G28" s="127">
        <f t="shared" si="1"/>
        <v>1.2524038073075783E-2</v>
      </c>
      <c r="I28" s="125">
        <v>45379</v>
      </c>
      <c r="J28" s="126">
        <v>480.7</v>
      </c>
      <c r="K28" s="29">
        <f t="shared" si="2"/>
        <v>2.9490501788276502E-2</v>
      </c>
    </row>
    <row r="29" spans="1:11" ht="15" customHeight="1" x14ac:dyDescent="0.2">
      <c r="A29" s="128">
        <v>45351</v>
      </c>
      <c r="B29" s="129">
        <v>308.82</v>
      </c>
      <c r="C29" s="127">
        <f t="shared" si="0"/>
        <v>9.8651677398698068E-2</v>
      </c>
      <c r="E29" s="128">
        <v>45351</v>
      </c>
      <c r="F29" s="129">
        <v>618.80999999999995</v>
      </c>
      <c r="G29" s="127">
        <f t="shared" si="1"/>
        <v>1.278232405891977E-2</v>
      </c>
      <c r="I29" s="128">
        <v>45351</v>
      </c>
      <c r="J29" s="129">
        <v>466.93</v>
      </c>
      <c r="K29" s="29">
        <f t="shared" si="2"/>
        <v>5.2070659276283182E-2</v>
      </c>
    </row>
    <row r="30" spans="1:11" ht="15" customHeight="1" x14ac:dyDescent="0.2">
      <c r="A30" s="125">
        <v>45322</v>
      </c>
      <c r="B30" s="126">
        <v>281.08999999999997</v>
      </c>
      <c r="C30" s="127">
        <f t="shared" si="0"/>
        <v>6.8214638595424537E-2</v>
      </c>
      <c r="E30" s="125">
        <v>45322</v>
      </c>
      <c r="F30" s="126">
        <v>611</v>
      </c>
      <c r="G30" s="127">
        <f t="shared" si="1"/>
        <v>5.246839149757121E-2</v>
      </c>
      <c r="I30" s="125">
        <v>45322</v>
      </c>
      <c r="J30" s="126">
        <v>443.82</v>
      </c>
      <c r="K30" s="29">
        <f t="shared" si="2"/>
        <v>1.6071428571428514E-2</v>
      </c>
    </row>
    <row r="31" spans="1:11" ht="15" customHeight="1" x14ac:dyDescent="0.2">
      <c r="A31" s="128">
        <v>45289</v>
      </c>
      <c r="B31" s="129">
        <v>263.14</v>
      </c>
      <c r="C31" s="127">
        <f t="shared" si="0"/>
        <v>4.4620881302103843E-2</v>
      </c>
      <c r="E31" s="128">
        <v>45289</v>
      </c>
      <c r="F31" s="129">
        <v>580.54</v>
      </c>
      <c r="G31" s="127">
        <f t="shared" si="1"/>
        <v>0.17534873362622228</v>
      </c>
      <c r="I31" s="128">
        <v>45289</v>
      </c>
      <c r="J31" s="129">
        <v>436.8</v>
      </c>
      <c r="K31" s="29">
        <f t="shared" si="2"/>
        <v>4.1487839771101598E-2</v>
      </c>
    </row>
    <row r="32" spans="1:11" ht="15" customHeight="1" x14ac:dyDescent="0.2">
      <c r="A32" s="125">
        <v>45260</v>
      </c>
      <c r="B32" s="126">
        <v>251.9</v>
      </c>
      <c r="C32" s="127">
        <f t="shared" si="0"/>
        <v>0.25429467709007603</v>
      </c>
      <c r="E32" s="125">
        <v>45260</v>
      </c>
      <c r="F32" s="126">
        <v>493.93</v>
      </c>
      <c r="G32" s="127">
        <f t="shared" si="1"/>
        <v>0.16556150742147868</v>
      </c>
      <c r="I32" s="125">
        <v>45260</v>
      </c>
      <c r="J32" s="126">
        <v>419.4</v>
      </c>
      <c r="K32" s="29">
        <f t="shared" si="2"/>
        <v>9.1704193456021876E-2</v>
      </c>
    </row>
    <row r="33" spans="1:11" ht="15" customHeight="1" x14ac:dyDescent="0.2">
      <c r="A33" s="128">
        <v>45230</v>
      </c>
      <c r="B33" s="129">
        <v>200.83</v>
      </c>
      <c r="C33" s="127">
        <f t="shared" si="0"/>
        <v>-9.6163329716933976E-3</v>
      </c>
      <c r="E33" s="128">
        <v>45230</v>
      </c>
      <c r="F33" s="129">
        <v>423.77</v>
      </c>
      <c r="G33" s="127">
        <f t="shared" si="1"/>
        <v>-0.13955329949238582</v>
      </c>
      <c r="I33" s="128">
        <v>45230</v>
      </c>
      <c r="J33" s="129">
        <v>384.17</v>
      </c>
      <c r="K33" s="29">
        <f t="shared" si="2"/>
        <v>-2.1721415839062841E-2</v>
      </c>
    </row>
    <row r="34" spans="1:11" ht="15" customHeight="1" x14ac:dyDescent="0.2">
      <c r="A34" s="125">
        <v>45198</v>
      </c>
      <c r="B34" s="126">
        <v>202.78</v>
      </c>
      <c r="C34" s="127">
        <f t="shared" si="0"/>
        <v>-8.4349318161293318E-2</v>
      </c>
      <c r="E34" s="125">
        <v>45198</v>
      </c>
      <c r="F34" s="126">
        <v>492.5</v>
      </c>
      <c r="G34" s="127">
        <f t="shared" si="1"/>
        <v>-9.8843592183268658E-2</v>
      </c>
      <c r="I34" s="125">
        <v>45198</v>
      </c>
      <c r="J34" s="126">
        <v>392.7</v>
      </c>
      <c r="K34" s="29">
        <f t="shared" si="2"/>
        <v>-5.1059613851098251E-2</v>
      </c>
    </row>
    <row r="35" spans="1:11" ht="15" customHeight="1" x14ac:dyDescent="0.2">
      <c r="A35" s="128">
        <v>45169</v>
      </c>
      <c r="B35" s="129">
        <v>221.46</v>
      </c>
      <c r="C35" s="127">
        <f t="shared" si="0"/>
        <v>-1.5777076574374438E-2</v>
      </c>
      <c r="E35" s="128">
        <v>45169</v>
      </c>
      <c r="F35" s="129">
        <v>546.52</v>
      </c>
      <c r="G35" s="127">
        <f t="shared" si="1"/>
        <v>-5.8616828869175741E-2</v>
      </c>
      <c r="I35" s="128">
        <v>45169</v>
      </c>
      <c r="J35" s="129">
        <v>413.83</v>
      </c>
      <c r="K35" s="29">
        <f t="shared" si="2"/>
        <v>-1.6283160597128532E-2</v>
      </c>
    </row>
    <row r="36" spans="1:11" ht="15" customHeight="1" x14ac:dyDescent="0.2">
      <c r="A36" s="125">
        <v>45138</v>
      </c>
      <c r="B36" s="126">
        <v>225.01</v>
      </c>
      <c r="C36" s="127">
        <f t="shared" ref="C36:C65" si="3">B36/B37-1</f>
        <v>6.5085676417684368E-2</v>
      </c>
      <c r="E36" s="125">
        <v>45138</v>
      </c>
      <c r="F36" s="126">
        <v>580.54999999999995</v>
      </c>
      <c r="G36" s="127">
        <f t="shared" ref="G36:G65" si="4">F36/F37-1</f>
        <v>9.1074818169858407E-2</v>
      </c>
      <c r="I36" s="125">
        <v>45138</v>
      </c>
      <c r="J36" s="126">
        <v>420.68</v>
      </c>
      <c r="K36" s="29">
        <f t="shared" ref="K36:K65" si="5">J36/J37-1</f>
        <v>3.2901198192889503E-2</v>
      </c>
    </row>
    <row r="37" spans="1:11" ht="15" customHeight="1" x14ac:dyDescent="0.2">
      <c r="A37" s="128">
        <v>45107</v>
      </c>
      <c r="B37" s="129">
        <v>211.26</v>
      </c>
      <c r="C37" s="127">
        <f t="shared" si="3"/>
        <v>-5.4257319366102674E-2</v>
      </c>
      <c r="E37" s="128">
        <v>45107</v>
      </c>
      <c r="F37" s="129">
        <v>532.09</v>
      </c>
      <c r="G37" s="127">
        <f t="shared" si="4"/>
        <v>2.7220602714338238E-2</v>
      </c>
      <c r="I37" s="128">
        <v>45107</v>
      </c>
      <c r="J37" s="129">
        <v>407.28</v>
      </c>
      <c r="K37" s="29">
        <f t="shared" si="5"/>
        <v>6.0928911927895957E-2</v>
      </c>
    </row>
    <row r="38" spans="1:11" ht="15" customHeight="1" x14ac:dyDescent="0.2">
      <c r="A38" s="125">
        <v>45077</v>
      </c>
      <c r="B38" s="126">
        <v>223.38</v>
      </c>
      <c r="C38" s="127">
        <f t="shared" si="3"/>
        <v>0.12607753188486148</v>
      </c>
      <c r="E38" s="125">
        <v>45077</v>
      </c>
      <c r="F38" s="126">
        <v>517.99</v>
      </c>
      <c r="G38" s="127">
        <f t="shared" si="4"/>
        <v>0.2305261907589975</v>
      </c>
      <c r="I38" s="125">
        <v>45077</v>
      </c>
      <c r="J38" s="126">
        <v>383.89</v>
      </c>
      <c r="K38" s="29">
        <f t="shared" si="5"/>
        <v>4.8161235440387085E-3</v>
      </c>
    </row>
    <row r="39" spans="1:11" ht="15" customHeight="1" x14ac:dyDescent="0.2">
      <c r="A39" s="128">
        <v>45044</v>
      </c>
      <c r="B39" s="129">
        <v>198.37</v>
      </c>
      <c r="C39" s="127">
        <f t="shared" si="3"/>
        <v>-7.0577635398938465E-3</v>
      </c>
      <c r="E39" s="128">
        <v>45044</v>
      </c>
      <c r="F39" s="129">
        <v>420.95</v>
      </c>
      <c r="G39" s="127">
        <f t="shared" si="4"/>
        <v>-1.8192419825072914E-2</v>
      </c>
      <c r="I39" s="128">
        <v>45044</v>
      </c>
      <c r="J39" s="129">
        <v>382.05</v>
      </c>
      <c r="K39" s="29">
        <f t="shared" si="5"/>
        <v>1.5901294971680802E-2</v>
      </c>
    </row>
    <row r="40" spans="1:11" ht="15" customHeight="1" x14ac:dyDescent="0.2">
      <c r="A40" s="125">
        <v>45016</v>
      </c>
      <c r="B40" s="126">
        <v>199.78</v>
      </c>
      <c r="C40" s="127">
        <f t="shared" si="3"/>
        <v>0.2210745064482611</v>
      </c>
      <c r="E40" s="125">
        <v>45016</v>
      </c>
      <c r="F40" s="126">
        <v>428.75</v>
      </c>
      <c r="G40" s="127">
        <f t="shared" si="4"/>
        <v>0.10828206586361988</v>
      </c>
      <c r="I40" s="125">
        <v>45016</v>
      </c>
      <c r="J40" s="126">
        <v>376.07</v>
      </c>
      <c r="K40" s="29">
        <f t="shared" si="5"/>
        <v>3.2847216500508036E-2</v>
      </c>
    </row>
    <row r="41" spans="1:11" ht="15" customHeight="1" x14ac:dyDescent="0.2">
      <c r="A41" s="128">
        <v>44985</v>
      </c>
      <c r="B41" s="129">
        <v>163.61000000000001</v>
      </c>
      <c r="C41" s="127">
        <f t="shared" si="3"/>
        <v>-2.5957016133833388E-2</v>
      </c>
      <c r="E41" s="128">
        <v>44985</v>
      </c>
      <c r="F41" s="129">
        <v>386.86</v>
      </c>
      <c r="G41" s="127">
        <f t="shared" si="4"/>
        <v>0.11483818910117871</v>
      </c>
      <c r="I41" s="128">
        <v>44985</v>
      </c>
      <c r="J41" s="129">
        <v>364.11</v>
      </c>
      <c r="K41" s="29">
        <f t="shared" si="5"/>
        <v>-2.4983933161953686E-2</v>
      </c>
    </row>
    <row r="42" spans="1:11" ht="15" customHeight="1" x14ac:dyDescent="0.2">
      <c r="A42" s="125">
        <v>44957</v>
      </c>
      <c r="B42" s="126">
        <v>167.97</v>
      </c>
      <c r="C42" s="127">
        <f t="shared" si="3"/>
        <v>0.26683761972999465</v>
      </c>
      <c r="E42" s="125">
        <v>44957</v>
      </c>
      <c r="F42" s="126">
        <v>347.01</v>
      </c>
      <c r="G42" s="127">
        <f t="shared" si="4"/>
        <v>0.2001867671981461</v>
      </c>
      <c r="I42" s="125">
        <v>44957</v>
      </c>
      <c r="J42" s="126">
        <v>373.44</v>
      </c>
      <c r="K42" s="29">
        <f t="shared" si="5"/>
        <v>6.2902032219502635E-2</v>
      </c>
    </row>
    <row r="43" spans="1:11" ht="15" customHeight="1" x14ac:dyDescent="0.2">
      <c r="A43" s="128">
        <v>44925</v>
      </c>
      <c r="B43" s="129">
        <v>132.59</v>
      </c>
      <c r="C43" s="127">
        <f t="shared" si="3"/>
        <v>-0.17260530421216846</v>
      </c>
      <c r="E43" s="128">
        <v>44925</v>
      </c>
      <c r="F43" s="129">
        <v>289.13</v>
      </c>
      <c r="G43" s="127">
        <f t="shared" si="4"/>
        <v>-4.5870045870045839E-2</v>
      </c>
      <c r="I43" s="128">
        <v>44925</v>
      </c>
      <c r="J43" s="129">
        <v>351.34</v>
      </c>
      <c r="K43" s="29">
        <f t="shared" si="5"/>
        <v>-6.1817405004139014E-2</v>
      </c>
    </row>
    <row r="44" spans="1:11" ht="15" customHeight="1" x14ac:dyDescent="0.2">
      <c r="A44" s="125">
        <v>44895</v>
      </c>
      <c r="B44" s="126">
        <v>160.25</v>
      </c>
      <c r="C44" s="127">
        <f t="shared" si="3"/>
        <v>-1.4392029030075637E-2</v>
      </c>
      <c r="E44" s="125">
        <v>44895</v>
      </c>
      <c r="F44" s="126">
        <v>303.02999999999997</v>
      </c>
      <c r="G44" s="127">
        <f t="shared" si="4"/>
        <v>2.1816833018613258E-2</v>
      </c>
      <c r="I44" s="125">
        <v>44895</v>
      </c>
      <c r="J44" s="126">
        <v>374.49</v>
      </c>
      <c r="K44" s="29">
        <f t="shared" si="5"/>
        <v>5.5050007043245586E-2</v>
      </c>
    </row>
    <row r="45" spans="1:11" ht="15" customHeight="1" x14ac:dyDescent="0.2">
      <c r="A45" s="128">
        <v>44865</v>
      </c>
      <c r="B45" s="129">
        <v>162.59</v>
      </c>
      <c r="C45" s="127">
        <f t="shared" si="3"/>
        <v>0.13035317018909898</v>
      </c>
      <c r="E45" s="128">
        <v>44865</v>
      </c>
      <c r="F45" s="129">
        <v>296.56</v>
      </c>
      <c r="G45" s="127">
        <f t="shared" si="4"/>
        <v>9.7882422626980548E-2</v>
      </c>
      <c r="I45" s="128">
        <v>44865</v>
      </c>
      <c r="J45" s="129">
        <v>354.95</v>
      </c>
      <c r="K45" s="29">
        <f t="shared" si="5"/>
        <v>8.1175753883642843E-2</v>
      </c>
    </row>
    <row r="46" spans="1:11" ht="15" customHeight="1" x14ac:dyDescent="0.2">
      <c r="A46" s="125">
        <v>44834</v>
      </c>
      <c r="B46" s="126">
        <v>143.84</v>
      </c>
      <c r="C46" s="127">
        <f t="shared" si="3"/>
        <v>-7.8657442992569826E-2</v>
      </c>
      <c r="E46" s="125">
        <v>44834</v>
      </c>
      <c r="F46" s="126">
        <v>270.12</v>
      </c>
      <c r="G46" s="127">
        <f t="shared" si="4"/>
        <v>-0.19855210064087347</v>
      </c>
      <c r="I46" s="125">
        <v>44834</v>
      </c>
      <c r="J46" s="126">
        <v>328.3</v>
      </c>
      <c r="K46" s="29">
        <f t="shared" si="5"/>
        <v>-9.5965854330166467E-2</v>
      </c>
    </row>
    <row r="47" spans="1:11" ht="15" customHeight="1" x14ac:dyDescent="0.2">
      <c r="A47" s="128">
        <v>44804</v>
      </c>
      <c r="B47" s="129">
        <v>156.12</v>
      </c>
      <c r="C47" s="127">
        <f t="shared" si="3"/>
        <v>-0.15161395500489083</v>
      </c>
      <c r="E47" s="128">
        <v>44804</v>
      </c>
      <c r="F47" s="129">
        <v>337.04</v>
      </c>
      <c r="G47" s="127">
        <f t="shared" si="4"/>
        <v>9.4285714285714306E-2</v>
      </c>
      <c r="I47" s="128">
        <v>44804</v>
      </c>
      <c r="J47" s="129">
        <v>363.15</v>
      </c>
      <c r="K47" s="29">
        <f t="shared" si="5"/>
        <v>-4.128936877953493E-2</v>
      </c>
    </row>
    <row r="48" spans="1:11" ht="15" customHeight="1" x14ac:dyDescent="0.2">
      <c r="A48" s="125">
        <v>44771</v>
      </c>
      <c r="B48" s="126">
        <v>184.02</v>
      </c>
      <c r="C48" s="127">
        <f t="shared" si="3"/>
        <v>0.11500242365487168</v>
      </c>
      <c r="E48" s="125">
        <v>44771</v>
      </c>
      <c r="F48" s="126">
        <v>308</v>
      </c>
      <c r="G48" s="127">
        <f t="shared" si="4"/>
        <v>2.4447031431897637E-2</v>
      </c>
      <c r="I48" s="125">
        <v>44771</v>
      </c>
      <c r="J48" s="126">
        <v>378.79</v>
      </c>
      <c r="K48" s="29">
        <f t="shared" si="5"/>
        <v>9.1991466789667964E-2</v>
      </c>
    </row>
    <row r="49" spans="1:11" ht="15" customHeight="1" x14ac:dyDescent="0.2">
      <c r="A49" s="128">
        <v>44742</v>
      </c>
      <c r="B49" s="129">
        <v>165.04</v>
      </c>
      <c r="C49" s="127">
        <f t="shared" si="3"/>
        <v>2.9955067398901525E-2</v>
      </c>
      <c r="E49" s="128">
        <v>44742</v>
      </c>
      <c r="F49" s="129">
        <v>300.64999999999998</v>
      </c>
      <c r="G49" s="127">
        <f t="shared" si="4"/>
        <v>-0.10968639876810093</v>
      </c>
      <c r="I49" s="128">
        <v>44742</v>
      </c>
      <c r="J49" s="129">
        <v>346.88</v>
      </c>
      <c r="K49" s="29">
        <f t="shared" si="5"/>
        <v>-8.6388537715971325E-2</v>
      </c>
    </row>
    <row r="50" spans="1:11" ht="15" customHeight="1" x14ac:dyDescent="0.2">
      <c r="A50" s="125">
        <v>44712</v>
      </c>
      <c r="B50" s="126">
        <v>160.24</v>
      </c>
      <c r="C50" s="127">
        <f t="shared" si="3"/>
        <v>-8.9234966465840615E-2</v>
      </c>
      <c r="E50" s="125">
        <v>44712</v>
      </c>
      <c r="F50" s="126">
        <v>337.69</v>
      </c>
      <c r="G50" s="127">
        <f t="shared" si="4"/>
        <v>-0.11000711593706347</v>
      </c>
      <c r="I50" s="125">
        <v>44712</v>
      </c>
      <c r="J50" s="126">
        <v>379.68</v>
      </c>
      <c r="K50" s="29">
        <f t="shared" si="5"/>
        <v>2.5878003696857554E-3</v>
      </c>
    </row>
    <row r="51" spans="1:11" ht="15" customHeight="1" x14ac:dyDescent="0.2">
      <c r="A51" s="128">
        <v>44680</v>
      </c>
      <c r="B51" s="129">
        <v>175.94</v>
      </c>
      <c r="C51" s="127">
        <f t="shared" si="3"/>
        <v>-0.17134513941220797</v>
      </c>
      <c r="E51" s="128">
        <v>44680</v>
      </c>
      <c r="F51" s="129">
        <v>379.43</v>
      </c>
      <c r="G51" s="127">
        <f t="shared" si="4"/>
        <v>-0.2010990862003621</v>
      </c>
      <c r="I51" s="128">
        <v>44680</v>
      </c>
      <c r="J51" s="129">
        <v>378.7</v>
      </c>
      <c r="K51" s="29">
        <f t="shared" si="5"/>
        <v>-8.7843533974034771E-2</v>
      </c>
    </row>
    <row r="52" spans="1:11" ht="15" customHeight="1" x14ac:dyDescent="0.2">
      <c r="A52" s="125">
        <v>44651</v>
      </c>
      <c r="B52" s="126">
        <v>212.32</v>
      </c>
      <c r="C52" s="127">
        <f t="shared" si="3"/>
        <v>8.5023512088537867E-3</v>
      </c>
      <c r="E52" s="125">
        <v>44651</v>
      </c>
      <c r="F52" s="126">
        <v>474.94</v>
      </c>
      <c r="G52" s="127">
        <f t="shared" si="4"/>
        <v>-9.5352380952380966E-2</v>
      </c>
      <c r="I52" s="125">
        <v>44651</v>
      </c>
      <c r="J52" s="126">
        <v>415.17</v>
      </c>
      <c r="K52" s="29">
        <f t="shared" si="5"/>
        <v>3.4408012756627526E-2</v>
      </c>
    </row>
    <row r="53" spans="1:11" ht="15" customHeight="1" x14ac:dyDescent="0.2">
      <c r="A53" s="128">
        <v>44620</v>
      </c>
      <c r="B53" s="129">
        <v>210.53</v>
      </c>
      <c r="C53" s="127">
        <f t="shared" si="3"/>
        <v>-9.500064480075654E-2</v>
      </c>
      <c r="E53" s="128">
        <v>44620</v>
      </c>
      <c r="F53" s="129">
        <v>525</v>
      </c>
      <c r="G53" s="127">
        <f t="shared" si="4"/>
        <v>7.4058919803600576E-2</v>
      </c>
      <c r="I53" s="128">
        <v>44620</v>
      </c>
      <c r="J53" s="129">
        <v>401.36</v>
      </c>
      <c r="K53" s="29">
        <f t="shared" si="5"/>
        <v>-2.9804926394159881E-2</v>
      </c>
    </row>
    <row r="54" spans="1:11" ht="15" customHeight="1" x14ac:dyDescent="0.2">
      <c r="A54" s="125">
        <v>44592</v>
      </c>
      <c r="B54" s="126">
        <v>232.63</v>
      </c>
      <c r="C54" s="127">
        <f t="shared" si="3"/>
        <v>-8.4602368866328215E-2</v>
      </c>
      <c r="E54" s="125">
        <v>44592</v>
      </c>
      <c r="F54" s="126">
        <v>488.8</v>
      </c>
      <c r="G54" s="127">
        <f t="shared" si="4"/>
        <v>-0.25843889858150648</v>
      </c>
      <c r="I54" s="125">
        <v>44592</v>
      </c>
      <c r="J54" s="126">
        <v>413.69</v>
      </c>
      <c r="K54" s="29">
        <f t="shared" si="5"/>
        <v>-5.2408548457292037E-2</v>
      </c>
    </row>
    <row r="55" spans="1:11" ht="15" customHeight="1" x14ac:dyDescent="0.2">
      <c r="A55" s="128">
        <v>44561</v>
      </c>
      <c r="B55" s="129">
        <v>254.13</v>
      </c>
      <c r="C55" s="127">
        <f t="shared" si="3"/>
        <v>-0.10819062324536777</v>
      </c>
      <c r="E55" s="128">
        <v>44561</v>
      </c>
      <c r="F55" s="129">
        <v>659.15</v>
      </c>
      <c r="G55" s="127">
        <f t="shared" si="4"/>
        <v>-0.18311831554944169</v>
      </c>
      <c r="I55" s="128">
        <v>44561</v>
      </c>
      <c r="J55" s="129">
        <v>436.57</v>
      </c>
      <c r="K55" s="29">
        <f t="shared" si="5"/>
        <v>4.1783992745668908E-2</v>
      </c>
    </row>
    <row r="56" spans="1:11" ht="15" customHeight="1" x14ac:dyDescent="0.2">
      <c r="A56" s="125">
        <v>44530</v>
      </c>
      <c r="B56" s="126">
        <v>284.95999999999998</v>
      </c>
      <c r="C56" s="127">
        <f t="shared" si="3"/>
        <v>-4.9150789148787122E-2</v>
      </c>
      <c r="E56" s="125">
        <v>44530</v>
      </c>
      <c r="F56" s="126">
        <v>806.91</v>
      </c>
      <c r="G56" s="127">
        <f t="shared" si="4"/>
        <v>-4.0976019155055665E-3</v>
      </c>
      <c r="I56" s="125">
        <v>44530</v>
      </c>
      <c r="J56" s="126">
        <v>419.06</v>
      </c>
      <c r="K56" s="29">
        <f t="shared" si="5"/>
        <v>-7.3431874170930556E-3</v>
      </c>
    </row>
    <row r="57" spans="1:11" ht="15" customHeight="1" x14ac:dyDescent="0.2">
      <c r="A57" s="128">
        <v>44498</v>
      </c>
      <c r="B57" s="129">
        <v>299.69</v>
      </c>
      <c r="C57" s="127">
        <f t="shared" si="3"/>
        <v>0.10497013494580032</v>
      </c>
      <c r="E57" s="128">
        <v>44498</v>
      </c>
      <c r="F57" s="129">
        <v>810.23</v>
      </c>
      <c r="G57" s="127">
        <f t="shared" si="4"/>
        <v>0.1984055377242675</v>
      </c>
      <c r="I57" s="128">
        <v>44498</v>
      </c>
      <c r="J57" s="129">
        <v>422.16</v>
      </c>
      <c r="K57" s="29">
        <f t="shared" si="5"/>
        <v>7.0385395537525541E-2</v>
      </c>
    </row>
    <row r="58" spans="1:11" ht="15" customHeight="1" x14ac:dyDescent="0.2">
      <c r="A58" s="125">
        <v>44469</v>
      </c>
      <c r="B58" s="126">
        <v>271.22000000000003</v>
      </c>
      <c r="C58" s="127">
        <f t="shared" si="3"/>
        <v>2.2429977004561508E-2</v>
      </c>
      <c r="E58" s="125">
        <v>44469</v>
      </c>
      <c r="F58" s="126">
        <v>676.09</v>
      </c>
      <c r="G58" s="127">
        <f t="shared" si="4"/>
        <v>-1.2243049366663206E-2</v>
      </c>
      <c r="I58" s="125">
        <v>44469</v>
      </c>
      <c r="J58" s="126">
        <v>394.4</v>
      </c>
      <c r="K58" s="29">
        <f t="shared" si="5"/>
        <v>-4.9753041802192532E-2</v>
      </c>
    </row>
    <row r="59" spans="1:11" ht="15" customHeight="1" x14ac:dyDescent="0.2">
      <c r="A59" s="128">
        <v>44439</v>
      </c>
      <c r="B59" s="129">
        <v>265.27</v>
      </c>
      <c r="C59" s="127">
        <f t="shared" si="3"/>
        <v>9.6474186748232826E-2</v>
      </c>
      <c r="E59" s="128">
        <v>44439</v>
      </c>
      <c r="F59" s="129">
        <v>684.47</v>
      </c>
      <c r="G59" s="127">
        <f t="shared" si="4"/>
        <v>0.14840106036710177</v>
      </c>
      <c r="I59" s="128">
        <v>44439</v>
      </c>
      <c r="J59" s="129">
        <v>415.05</v>
      </c>
      <c r="K59" s="29">
        <f t="shared" si="5"/>
        <v>2.9517549299268309E-2</v>
      </c>
    </row>
    <row r="60" spans="1:11" ht="15" customHeight="1" x14ac:dyDescent="0.2">
      <c r="A60" s="125">
        <v>44407</v>
      </c>
      <c r="B60" s="126">
        <v>241.93</v>
      </c>
      <c r="C60" s="127">
        <f t="shared" si="3"/>
        <v>-9.5795635976583249E-3</v>
      </c>
      <c r="E60" s="125">
        <v>44407</v>
      </c>
      <c r="F60" s="126">
        <v>596.02</v>
      </c>
      <c r="G60" s="127">
        <f t="shared" si="4"/>
        <v>2.2823997803404605E-2</v>
      </c>
      <c r="I60" s="125">
        <v>44407</v>
      </c>
      <c r="J60" s="126">
        <v>403.15</v>
      </c>
      <c r="K60" s="29">
        <f t="shared" si="5"/>
        <v>2.4471437284000697E-2</v>
      </c>
    </row>
    <row r="61" spans="1:11" ht="15" customHeight="1" x14ac:dyDescent="0.2">
      <c r="A61" s="128">
        <v>44377</v>
      </c>
      <c r="B61" s="129">
        <v>244.27</v>
      </c>
      <c r="C61" s="127">
        <f t="shared" si="3"/>
        <v>2.5913481730365451E-2</v>
      </c>
      <c r="E61" s="128">
        <v>44377</v>
      </c>
      <c r="F61" s="129">
        <v>582.72</v>
      </c>
      <c r="G61" s="127">
        <f t="shared" si="4"/>
        <v>0.15531940203814587</v>
      </c>
      <c r="I61" s="128">
        <v>44377</v>
      </c>
      <c r="J61" s="129">
        <v>393.52</v>
      </c>
      <c r="K61" s="29">
        <f t="shared" si="5"/>
        <v>1.9138632066920458E-2</v>
      </c>
    </row>
    <row r="62" spans="1:11" ht="15" customHeight="1" x14ac:dyDescent="0.2">
      <c r="A62" s="125">
        <v>44344</v>
      </c>
      <c r="B62" s="126">
        <v>238.1</v>
      </c>
      <c r="C62" s="127">
        <f t="shared" si="3"/>
        <v>3.3779089961792241E-2</v>
      </c>
      <c r="E62" s="125">
        <v>44344</v>
      </c>
      <c r="F62" s="126">
        <v>504.38</v>
      </c>
      <c r="G62" s="127">
        <f t="shared" si="4"/>
        <v>-4.1922309810998315E-2</v>
      </c>
      <c r="I62" s="125">
        <v>44344</v>
      </c>
      <c r="J62" s="126">
        <v>386.13</v>
      </c>
      <c r="K62" s="29">
        <f t="shared" si="5"/>
        <v>6.674140313371657E-3</v>
      </c>
    </row>
    <row r="63" spans="1:11" ht="15" customHeight="1" x14ac:dyDescent="0.2">
      <c r="A63" s="128">
        <v>44316</v>
      </c>
      <c r="B63" s="129">
        <v>230.32</v>
      </c>
      <c r="C63" s="127">
        <f t="shared" si="3"/>
        <v>8.708170104309243E-2</v>
      </c>
      <c r="E63" s="128">
        <v>44316</v>
      </c>
      <c r="F63" s="129">
        <v>526.45000000000005</v>
      </c>
      <c r="G63" s="127">
        <f t="shared" si="4"/>
        <v>0.15904537548710973</v>
      </c>
      <c r="I63" s="128">
        <v>44316</v>
      </c>
      <c r="J63" s="129">
        <v>383.57</v>
      </c>
      <c r="K63" s="29">
        <f t="shared" si="5"/>
        <v>5.2895964864122957E-2</v>
      </c>
    </row>
    <row r="64" spans="1:11" ht="15" customHeight="1" x14ac:dyDescent="0.2">
      <c r="A64" s="125">
        <v>44286</v>
      </c>
      <c r="B64" s="126">
        <v>211.87</v>
      </c>
      <c r="C64" s="127">
        <f t="shared" si="3"/>
        <v>-2.1385681293302539E-2</v>
      </c>
      <c r="E64" s="125">
        <v>44286</v>
      </c>
      <c r="F64" s="126">
        <v>454.21</v>
      </c>
      <c r="G64" s="127">
        <f t="shared" si="4"/>
        <v>-0.1180388349514564</v>
      </c>
      <c r="I64" s="125">
        <v>44286</v>
      </c>
      <c r="J64" s="126">
        <v>364.3</v>
      </c>
      <c r="K64" s="29">
        <f t="shared" si="5"/>
        <v>4.2077862639091634E-2</v>
      </c>
    </row>
    <row r="65" spans="1:11" ht="15" customHeight="1" x14ac:dyDescent="0.2">
      <c r="A65" s="128">
        <v>44253</v>
      </c>
      <c r="B65" s="129">
        <v>216.5</v>
      </c>
      <c r="C65" s="127">
        <f t="shared" si="3"/>
        <v>-4.0166696222734499E-2</v>
      </c>
      <c r="E65" s="128">
        <v>44253</v>
      </c>
      <c r="F65" s="129">
        <v>515</v>
      </c>
      <c r="G65" s="127">
        <f t="shared" si="4"/>
        <v>0.38366469639978518</v>
      </c>
      <c r="I65" s="128">
        <v>44253</v>
      </c>
      <c r="J65" s="129">
        <v>349.59</v>
      </c>
      <c r="K65" s="29">
        <f t="shared" si="5"/>
        <v>2.7661826092068909E-2</v>
      </c>
    </row>
    <row r="66" spans="1:11" ht="15" customHeight="1" x14ac:dyDescent="0.2">
      <c r="A66" s="125">
        <v>44225</v>
      </c>
      <c r="B66" s="126">
        <v>225.56</v>
      </c>
      <c r="C66" s="127"/>
      <c r="E66" s="125">
        <v>44225</v>
      </c>
      <c r="F66" s="126">
        <v>372.2</v>
      </c>
      <c r="G66" s="127"/>
      <c r="I66" s="125">
        <v>44225</v>
      </c>
      <c r="J66" s="126">
        <v>340.18</v>
      </c>
      <c r="K66" s="29"/>
    </row>
    <row r="67" spans="1:11" ht="15" customHeight="1" x14ac:dyDescent="0.2"/>
    <row r="68" spans="1:11" ht="15" customHeight="1" x14ac:dyDescent="0.2"/>
    <row r="69" spans="1:11" ht="15" customHeight="1" x14ac:dyDescent="0.2"/>
    <row r="70" spans="1:11" ht="15" customHeight="1" x14ac:dyDescent="0.2"/>
    <row r="71" spans="1:11" ht="15" customHeight="1" x14ac:dyDescent="0.2"/>
    <row r="72" spans="1:11" ht="15" customHeight="1" x14ac:dyDescent="0.2"/>
    <row r="73" spans="1:11" ht="15" customHeight="1" x14ac:dyDescent="0.2"/>
    <row r="74" spans="1:11" ht="15" customHeight="1" x14ac:dyDescent="0.2"/>
    <row r="75" spans="1:11" ht="15" customHeight="1" x14ac:dyDescent="0.2"/>
    <row r="76" spans="1:11" ht="15" customHeight="1" x14ac:dyDescent="0.2"/>
    <row r="77" spans="1:11" ht="15" customHeight="1" x14ac:dyDescent="0.2"/>
    <row r="78" spans="1:11" ht="15" customHeight="1" x14ac:dyDescent="0.2"/>
    <row r="79" spans="1:11" ht="15" customHeight="1" x14ac:dyDescent="0.2"/>
    <row r="80" spans="1:11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</sheetData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42"/>
  <sheetViews>
    <sheetView topLeftCell="A15" zoomScaleNormal="100" workbookViewId="0">
      <selection activeCell="H48" sqref="H48"/>
    </sheetView>
  </sheetViews>
  <sheetFormatPr defaultColWidth="9.140625" defaultRowHeight="12.75" x14ac:dyDescent="0.2"/>
  <cols>
    <col min="1" max="1" width="26.42578125" style="130" customWidth="1"/>
    <col min="2" max="2" width="9.42578125" style="130" customWidth="1"/>
    <col min="3" max="3" width="10.42578125" style="130" customWidth="1"/>
    <col min="4" max="4" width="16.85546875" style="130" customWidth="1"/>
    <col min="5" max="5" width="14.7109375" style="130" customWidth="1"/>
    <col min="6" max="6" width="18.42578125" style="130" customWidth="1"/>
    <col min="7" max="7" width="8.42578125" style="130" customWidth="1"/>
    <col min="8" max="8" width="15.7109375" style="130" customWidth="1"/>
    <col min="9" max="9" width="12.42578125" style="130" customWidth="1"/>
    <col min="10" max="10" width="17.28515625" style="130" customWidth="1"/>
    <col min="11" max="11" width="13.85546875" style="130" customWidth="1"/>
    <col min="12" max="12" width="14.28515625" style="130" customWidth="1"/>
    <col min="13" max="13" width="7.85546875" style="130" customWidth="1"/>
    <col min="14" max="14" width="7.28515625" style="130" customWidth="1"/>
    <col min="15" max="15" width="9.28515625" style="130" customWidth="1"/>
    <col min="16" max="16" width="7.7109375" style="130" customWidth="1"/>
    <col min="17" max="18" width="8.85546875" style="130" customWidth="1"/>
    <col min="19" max="19" width="15.85546875" style="130" customWidth="1"/>
    <col min="20" max="16384" width="9.140625" style="130"/>
  </cols>
  <sheetData>
    <row r="2" spans="1:15" ht="15" customHeight="1" x14ac:dyDescent="0.2">
      <c r="A2" s="131" t="s">
        <v>322</v>
      </c>
    </row>
    <row r="3" spans="1:15" ht="15" customHeight="1" x14ac:dyDescent="0.2">
      <c r="A3" s="245"/>
      <c r="B3" s="245"/>
      <c r="C3" s="245"/>
      <c r="D3" s="245" t="s">
        <v>323</v>
      </c>
      <c r="E3" s="245"/>
      <c r="F3" s="245" t="s">
        <v>324</v>
      </c>
      <c r="G3" s="245"/>
      <c r="H3" s="245"/>
      <c r="I3" s="245"/>
      <c r="J3" s="245" t="s">
        <v>5</v>
      </c>
      <c r="K3" s="245"/>
      <c r="L3" s="245"/>
      <c r="M3" s="245"/>
      <c r="N3" s="245" t="s">
        <v>298</v>
      </c>
      <c r="O3" s="245"/>
    </row>
    <row r="4" spans="1:15" ht="15" customHeight="1" x14ac:dyDescent="0.2">
      <c r="A4" s="245" t="s">
        <v>196</v>
      </c>
      <c r="B4" s="245"/>
      <c r="C4" s="245" t="s">
        <v>325</v>
      </c>
      <c r="D4" s="245"/>
      <c r="E4" s="245"/>
      <c r="F4" s="245"/>
      <c r="G4" s="245" t="s">
        <v>326</v>
      </c>
      <c r="H4" s="245"/>
      <c r="I4" s="245" t="s">
        <v>326</v>
      </c>
      <c r="J4" s="245"/>
      <c r="K4" s="245" t="s">
        <v>326</v>
      </c>
      <c r="L4" s="245"/>
      <c r="M4" s="245" t="s">
        <v>326</v>
      </c>
      <c r="N4" s="245"/>
      <c r="O4" s="245"/>
    </row>
    <row r="5" spans="1:15" ht="15" customHeight="1" x14ac:dyDescent="0.2">
      <c r="A5" s="245" t="s">
        <v>327</v>
      </c>
      <c r="B5" s="245" t="s">
        <v>197</v>
      </c>
      <c r="C5" s="245" t="s">
        <v>328</v>
      </c>
      <c r="D5" s="245" t="s">
        <v>329</v>
      </c>
      <c r="E5" s="245" t="s">
        <v>330</v>
      </c>
      <c r="F5" s="245" t="s">
        <v>329</v>
      </c>
      <c r="G5" s="245" t="s">
        <v>203</v>
      </c>
      <c r="H5" s="245" t="s">
        <v>330</v>
      </c>
      <c r="I5" s="245" t="s">
        <v>204</v>
      </c>
      <c r="J5" s="245" t="s">
        <v>329</v>
      </c>
      <c r="K5" s="245" t="s">
        <v>203</v>
      </c>
      <c r="L5" s="245" t="s">
        <v>330</v>
      </c>
      <c r="M5" s="245" t="s">
        <v>204</v>
      </c>
      <c r="N5" s="245" t="s">
        <v>329</v>
      </c>
      <c r="O5" s="245" t="s">
        <v>330</v>
      </c>
    </row>
    <row r="6" spans="1:15" ht="15" customHeight="1" x14ac:dyDescent="0.2">
      <c r="A6" s="132" t="s">
        <v>205</v>
      </c>
      <c r="B6" s="132" t="s">
        <v>331</v>
      </c>
      <c r="C6" s="132" t="s">
        <v>332</v>
      </c>
      <c r="D6" s="133">
        <v>3183.3779300000001</v>
      </c>
      <c r="E6" s="133">
        <v>3483.6276859999998</v>
      </c>
      <c r="F6" s="133">
        <v>838.48767099999998</v>
      </c>
      <c r="G6" s="134">
        <v>26.339558</v>
      </c>
      <c r="H6" s="133">
        <v>961.44738800000005</v>
      </c>
      <c r="I6" s="134">
        <v>27.599028000000001</v>
      </c>
      <c r="J6" s="133">
        <v>810.73657200000002</v>
      </c>
      <c r="K6" s="134">
        <v>25.467808000000002</v>
      </c>
      <c r="L6" s="133">
        <v>921.99188200000003</v>
      </c>
      <c r="M6" s="134">
        <v>26.466429000000002</v>
      </c>
      <c r="N6" s="133">
        <v>872.55249000000003</v>
      </c>
      <c r="O6" s="133">
        <v>997.32830799999999</v>
      </c>
    </row>
    <row r="7" spans="1:15" ht="15" customHeight="1" x14ac:dyDescent="0.2">
      <c r="A7" s="135" t="s">
        <v>207</v>
      </c>
      <c r="B7" s="135" t="s">
        <v>333</v>
      </c>
      <c r="C7" s="135" t="s">
        <v>334</v>
      </c>
      <c r="D7" s="136">
        <v>5502.4628910000001</v>
      </c>
      <c r="E7" s="136">
        <v>6159.3964839999999</v>
      </c>
      <c r="F7" s="136">
        <v>641.76232900000002</v>
      </c>
      <c r="G7" s="137">
        <v>11.663183</v>
      </c>
      <c r="H7" s="136">
        <v>844.09368900000004</v>
      </c>
      <c r="I7" s="137">
        <v>13.704162999999999</v>
      </c>
      <c r="J7" s="136">
        <v>244.440414</v>
      </c>
      <c r="K7" s="137">
        <v>4.4423820000000003</v>
      </c>
      <c r="L7" s="136">
        <v>455.75692700000002</v>
      </c>
      <c r="M7" s="137">
        <v>7.3993760000000002</v>
      </c>
      <c r="N7" s="136">
        <v>743.54290800000001</v>
      </c>
      <c r="O7" s="136">
        <v>908.648865</v>
      </c>
    </row>
    <row r="8" spans="1:15" ht="15" customHeight="1" x14ac:dyDescent="0.2">
      <c r="A8" s="132" t="s">
        <v>209</v>
      </c>
      <c r="B8" s="132" t="s">
        <v>335</v>
      </c>
      <c r="C8" s="132" t="s">
        <v>334</v>
      </c>
      <c r="D8" s="133">
        <v>2531.1391600000002</v>
      </c>
      <c r="E8" s="133">
        <v>2777.7619629999999</v>
      </c>
      <c r="F8" s="133">
        <v>738.33355700000004</v>
      </c>
      <c r="G8" s="134">
        <v>29.170010000000001</v>
      </c>
      <c r="H8" s="133">
        <v>842.93579099999999</v>
      </c>
      <c r="I8" s="134">
        <v>30.345859999999998</v>
      </c>
      <c r="J8" s="133">
        <v>687.783142</v>
      </c>
      <c r="K8" s="134">
        <v>27.172868999999999</v>
      </c>
      <c r="L8" s="133">
        <v>778.94348100000002</v>
      </c>
      <c r="M8" s="134">
        <v>28.042126</v>
      </c>
      <c r="N8" s="133">
        <v>680.40673800000002</v>
      </c>
      <c r="O8" s="133">
        <v>773.43127400000003</v>
      </c>
    </row>
    <row r="9" spans="1:15" ht="15" customHeight="1" x14ac:dyDescent="0.2">
      <c r="A9" s="135" t="s">
        <v>211</v>
      </c>
      <c r="B9" s="135" t="s">
        <v>336</v>
      </c>
      <c r="C9" s="135" t="s">
        <v>337</v>
      </c>
      <c r="D9" s="136">
        <v>4960.8027339999999</v>
      </c>
      <c r="E9" s="136">
        <v>5240.9624020000001</v>
      </c>
      <c r="F9" s="136">
        <v>2481.2670899999998</v>
      </c>
      <c r="G9" s="137">
        <v>50.017451999999999</v>
      </c>
      <c r="H9" s="136">
        <v>2634.9973140000002</v>
      </c>
      <c r="I9" s="137">
        <v>50.276978</v>
      </c>
      <c r="J9" s="136">
        <v>2540.2170409999999</v>
      </c>
      <c r="K9" s="137">
        <v>51.205765</v>
      </c>
      <c r="L9" s="136">
        <v>2697.2746579999998</v>
      </c>
      <c r="M9" s="137">
        <v>51.465255999999997</v>
      </c>
      <c r="N9" s="136">
        <v>1473.43335</v>
      </c>
      <c r="O9" s="136">
        <v>1494.6999510000001</v>
      </c>
    </row>
    <row r="10" spans="1:15" ht="15" customHeight="1" x14ac:dyDescent="0.2">
      <c r="A10" s="132" t="s">
        <v>213</v>
      </c>
      <c r="B10" s="132" t="s">
        <v>338</v>
      </c>
      <c r="C10" s="132" t="s">
        <v>339</v>
      </c>
      <c r="D10" s="133">
        <v>2519.6320799999999</v>
      </c>
      <c r="E10" s="133">
        <v>2677.524414</v>
      </c>
      <c r="F10" s="133">
        <v>811.12011700000005</v>
      </c>
      <c r="G10" s="134">
        <v>32.192005000000002</v>
      </c>
      <c r="H10" s="133">
        <v>869.67797900000005</v>
      </c>
      <c r="I10" s="134">
        <v>32.480674999999998</v>
      </c>
      <c r="J10" s="133">
        <v>615.13653599999998</v>
      </c>
      <c r="K10" s="134">
        <v>24.413746</v>
      </c>
      <c r="L10" s="133">
        <v>654.98980700000004</v>
      </c>
      <c r="M10" s="134">
        <v>24.462515</v>
      </c>
      <c r="N10" s="133">
        <v>458.957764</v>
      </c>
      <c r="O10" s="133">
        <v>470.105591</v>
      </c>
    </row>
    <row r="11" spans="1:15" ht="15" customHeight="1" x14ac:dyDescent="0.2">
      <c r="A11" s="135" t="s">
        <v>215</v>
      </c>
      <c r="B11" s="135" t="s">
        <v>340</v>
      </c>
      <c r="C11" s="135" t="s">
        <v>339</v>
      </c>
      <c r="D11" s="136">
        <v>2007.6473390000001</v>
      </c>
      <c r="E11" s="136">
        <v>2304.9592290000001</v>
      </c>
      <c r="F11" s="136">
        <v>607.39599599999997</v>
      </c>
      <c r="G11" s="137">
        <v>30.254116</v>
      </c>
      <c r="H11" s="136">
        <v>711.89819299999999</v>
      </c>
      <c r="I11" s="137">
        <v>30.8855</v>
      </c>
      <c r="J11" s="136">
        <v>585.94470200000001</v>
      </c>
      <c r="K11" s="137">
        <v>29.185638000000001</v>
      </c>
      <c r="L11" s="136">
        <v>682.787781</v>
      </c>
      <c r="M11" s="137">
        <v>29.622554999999998</v>
      </c>
      <c r="N11" s="136">
        <v>522.08679199999995</v>
      </c>
      <c r="O11" s="136">
        <v>609.25366199999996</v>
      </c>
    </row>
    <row r="12" spans="1:15" s="141" customFormat="1" ht="15" customHeight="1" x14ac:dyDescent="0.2">
      <c r="A12" s="138" t="s">
        <v>217</v>
      </c>
      <c r="B12" s="138" t="s">
        <v>341</v>
      </c>
      <c r="C12" s="138" t="s">
        <v>334</v>
      </c>
      <c r="D12" s="139">
        <v>3866.2543949999999</v>
      </c>
      <c r="E12" s="139">
        <v>4182.0424800000001</v>
      </c>
      <c r="F12" s="139">
        <v>1149.6220699999999</v>
      </c>
      <c r="G12" s="140">
        <v>29.734776</v>
      </c>
      <c r="H12" s="139">
        <v>1251.728394</v>
      </c>
      <c r="I12" s="140">
        <v>29.93103</v>
      </c>
      <c r="J12" s="139">
        <v>1094.9643550000001</v>
      </c>
      <c r="K12" s="140">
        <v>28.321064</v>
      </c>
      <c r="L12" s="139">
        <v>1223.356567</v>
      </c>
      <c r="M12" s="140">
        <v>29.252609</v>
      </c>
      <c r="N12" s="139">
        <v>840.58715800000004</v>
      </c>
      <c r="O12" s="139">
        <v>955.01470900000004</v>
      </c>
    </row>
    <row r="13" spans="1:15" ht="15" customHeight="1" x14ac:dyDescent="0.2">
      <c r="A13" s="132" t="s">
        <v>342</v>
      </c>
      <c r="B13" s="132"/>
      <c r="C13" s="132"/>
      <c r="D13" s="132"/>
      <c r="E13" s="132"/>
      <c r="F13" s="132"/>
      <c r="G13" s="134">
        <v>24.396380000000001</v>
      </c>
      <c r="H13" s="132"/>
      <c r="I13" s="134">
        <v>26.087720000000001</v>
      </c>
      <c r="J13" s="132"/>
      <c r="K13" s="134">
        <v>20.642271000000001</v>
      </c>
      <c r="L13" s="132"/>
      <c r="M13" s="134">
        <v>22.285069</v>
      </c>
      <c r="N13" s="133">
        <v>645.49836100000005</v>
      </c>
      <c r="O13" s="133">
        <v>732.00100199999997</v>
      </c>
    </row>
    <row r="14" spans="1:15" ht="15" customHeight="1" x14ac:dyDescent="0.2">
      <c r="A14" s="135" t="s">
        <v>220</v>
      </c>
      <c r="B14" s="135"/>
      <c r="C14" s="135"/>
      <c r="D14" s="135"/>
      <c r="E14" s="135"/>
      <c r="F14" s="135"/>
      <c r="G14" s="137">
        <v>27.754784000000001</v>
      </c>
      <c r="H14" s="135"/>
      <c r="I14" s="137">
        <v>28.765028999999998</v>
      </c>
      <c r="J14" s="135"/>
      <c r="K14" s="137">
        <v>24.940777000000001</v>
      </c>
      <c r="L14" s="135"/>
      <c r="M14" s="137">
        <v>25.464472000000001</v>
      </c>
      <c r="N14" s="136">
        <v>711.30276500000002</v>
      </c>
      <c r="O14" s="136">
        <v>830.99746700000003</v>
      </c>
    </row>
    <row r="15" spans="1:15" ht="15" customHeight="1" x14ac:dyDescent="0.2">
      <c r="A15" s="135"/>
      <c r="B15" s="135"/>
      <c r="C15" s="135"/>
      <c r="D15" s="135"/>
      <c r="E15" s="135"/>
      <c r="F15" s="135"/>
      <c r="G15" s="137"/>
      <c r="H15" s="135"/>
      <c r="I15" s="137"/>
      <c r="J15" s="135"/>
      <c r="K15" s="137"/>
      <c r="L15" s="135"/>
      <c r="M15" s="137"/>
      <c r="N15" s="136"/>
      <c r="O15" s="136"/>
    </row>
    <row r="16" spans="1:15" ht="15" customHeight="1" x14ac:dyDescent="0.2">
      <c r="A16" s="131" t="s">
        <v>343</v>
      </c>
    </row>
    <row r="17" spans="1:19" ht="15" customHeight="1" x14ac:dyDescent="0.2">
      <c r="A17" s="245"/>
      <c r="B17" s="245"/>
      <c r="C17" s="245"/>
      <c r="D17" s="245"/>
      <c r="E17" s="245" t="s">
        <v>344</v>
      </c>
      <c r="F17" s="245"/>
      <c r="G17" s="245"/>
      <c r="H17" s="245"/>
      <c r="I17" s="245" t="s">
        <v>345</v>
      </c>
      <c r="J17" s="245"/>
      <c r="K17" s="245" t="s">
        <v>346</v>
      </c>
      <c r="L17" s="245"/>
      <c r="M17" s="245" t="s">
        <v>347</v>
      </c>
      <c r="N17" s="245"/>
      <c r="O17" s="245" t="s">
        <v>348</v>
      </c>
      <c r="P17" s="245"/>
      <c r="Q17" s="245"/>
      <c r="R17" s="245"/>
      <c r="S17" s="245"/>
    </row>
    <row r="18" spans="1:19" ht="15" customHeight="1" x14ac:dyDescent="0.2">
      <c r="A18" s="245" t="s">
        <v>196</v>
      </c>
      <c r="B18" s="245"/>
      <c r="C18" s="245" t="s">
        <v>325</v>
      </c>
      <c r="D18" s="245"/>
      <c r="E18" s="245" t="s">
        <v>319</v>
      </c>
      <c r="F18" s="245" t="s">
        <v>349</v>
      </c>
      <c r="G18" s="245" t="s">
        <v>350</v>
      </c>
      <c r="H18" s="245" t="s">
        <v>351</v>
      </c>
      <c r="I18" s="245" t="s">
        <v>352</v>
      </c>
      <c r="J18" s="245" t="s">
        <v>353</v>
      </c>
      <c r="K18" s="245"/>
      <c r="L18" s="245"/>
      <c r="M18" s="245"/>
      <c r="N18" s="245"/>
      <c r="O18" s="245"/>
      <c r="P18" s="245"/>
      <c r="Q18" s="245" t="s">
        <v>298</v>
      </c>
      <c r="R18" s="245" t="s">
        <v>354</v>
      </c>
      <c r="S18" s="245"/>
    </row>
    <row r="19" spans="1:19" ht="15" customHeight="1" x14ac:dyDescent="0.2">
      <c r="A19" s="245" t="s">
        <v>327</v>
      </c>
      <c r="B19" s="245" t="s">
        <v>197</v>
      </c>
      <c r="C19" s="245" t="s">
        <v>328</v>
      </c>
      <c r="D19" s="245" t="s">
        <v>319</v>
      </c>
      <c r="E19" s="245" t="s">
        <v>236</v>
      </c>
      <c r="F19" s="245" t="s">
        <v>157</v>
      </c>
      <c r="G19" s="245" t="s">
        <v>157</v>
      </c>
      <c r="H19" s="245" t="s">
        <v>355</v>
      </c>
      <c r="I19" s="245" t="s">
        <v>356</v>
      </c>
      <c r="J19" s="245" t="s">
        <v>356</v>
      </c>
      <c r="K19" s="245" t="s">
        <v>329</v>
      </c>
      <c r="L19" s="245" t="s">
        <v>330</v>
      </c>
      <c r="M19" s="245" t="s">
        <v>329</v>
      </c>
      <c r="N19" s="245" t="s">
        <v>330</v>
      </c>
      <c r="O19" s="245" t="s">
        <v>329</v>
      </c>
      <c r="P19" s="245" t="s">
        <v>330</v>
      </c>
      <c r="Q19" s="245" t="s">
        <v>357</v>
      </c>
      <c r="R19" s="245" t="s">
        <v>357</v>
      </c>
      <c r="S19" s="245"/>
    </row>
    <row r="20" spans="1:19" ht="15" customHeight="1" x14ac:dyDescent="0.2">
      <c r="A20" s="132" t="s">
        <v>205</v>
      </c>
      <c r="B20" s="132" t="s">
        <v>331</v>
      </c>
      <c r="C20" s="132" t="s">
        <v>332</v>
      </c>
      <c r="D20" s="142">
        <v>80.190002000000007</v>
      </c>
      <c r="E20" s="142">
        <v>101.282051</v>
      </c>
      <c r="F20" s="133">
        <v>12522.567287</v>
      </c>
      <c r="G20" s="133">
        <v>14726.567287</v>
      </c>
      <c r="H20" s="143">
        <v>-2132</v>
      </c>
      <c r="I20" s="144">
        <v>4.925408</v>
      </c>
      <c r="J20" s="144">
        <v>4.2900200000000002</v>
      </c>
      <c r="K20" s="144">
        <v>14.934706</v>
      </c>
      <c r="L20" s="144">
        <v>13.024703000000001</v>
      </c>
      <c r="M20" s="144">
        <v>21.156016999999999</v>
      </c>
      <c r="N20" s="144">
        <v>19.015495000000001</v>
      </c>
      <c r="O20" s="144">
        <v>17.025478</v>
      </c>
      <c r="P20" s="144">
        <v>14.866519</v>
      </c>
      <c r="Q20" s="145">
        <v>5.7769430000000002</v>
      </c>
      <c r="R20" s="145">
        <v>0</v>
      </c>
      <c r="S20" s="132"/>
    </row>
    <row r="21" spans="1:19" ht="15" customHeight="1" x14ac:dyDescent="0.2">
      <c r="A21" s="135" t="s">
        <v>207</v>
      </c>
      <c r="B21" s="135" t="s">
        <v>333</v>
      </c>
      <c r="C21" s="135" t="s">
        <v>334</v>
      </c>
      <c r="D21" s="146">
        <v>97.660004000000001</v>
      </c>
      <c r="E21" s="146">
        <v>128.62962300000001</v>
      </c>
      <c r="F21" s="136">
        <v>12774.137037</v>
      </c>
      <c r="G21" s="136">
        <v>15091.418036999999</v>
      </c>
      <c r="H21" s="147">
        <v>-1793.9570000000001</v>
      </c>
      <c r="I21" s="148">
        <v>3.1111010000000001</v>
      </c>
      <c r="J21" s="148">
        <v>2.696529</v>
      </c>
      <c r="K21" s="148">
        <v>19.904779000000001</v>
      </c>
      <c r="L21" s="148">
        <v>15.133552999999999</v>
      </c>
      <c r="M21" s="148">
        <v>45.317909</v>
      </c>
      <c r="N21" s="148">
        <v>30.166357000000001</v>
      </c>
      <c r="O21" s="148">
        <v>19.644255000000001</v>
      </c>
      <c r="P21" s="148">
        <v>15.957518</v>
      </c>
      <c r="Q21" s="149">
        <v>1.91534</v>
      </c>
      <c r="R21" s="149">
        <v>0</v>
      </c>
      <c r="S21" s="135"/>
    </row>
    <row r="22" spans="1:19" ht="15" customHeight="1" x14ac:dyDescent="0.2">
      <c r="A22" s="132" t="s">
        <v>209</v>
      </c>
      <c r="B22" s="132" t="s">
        <v>335</v>
      </c>
      <c r="C22" s="132" t="s">
        <v>334</v>
      </c>
      <c r="D22" s="142">
        <v>338.02999899999998</v>
      </c>
      <c r="E22" s="142">
        <v>440.64999399999999</v>
      </c>
      <c r="F22" s="133">
        <v>14273.04472</v>
      </c>
      <c r="G22" s="133">
        <v>14770.58172</v>
      </c>
      <c r="H22" s="143">
        <v>-454.59199999999998</v>
      </c>
      <c r="I22" s="144">
        <v>6.3497479999999999</v>
      </c>
      <c r="J22" s="144">
        <v>6.119624</v>
      </c>
      <c r="K22" s="144">
        <v>19.331432</v>
      </c>
      <c r="L22" s="144">
        <v>16.932541000000001</v>
      </c>
      <c r="M22" s="144">
        <v>26.965561000000001</v>
      </c>
      <c r="N22" s="144">
        <v>23.832756</v>
      </c>
      <c r="O22" s="144">
        <v>20.827480000000001</v>
      </c>
      <c r="P22" s="144">
        <v>18.727425</v>
      </c>
      <c r="Q22" s="145">
        <v>3.2055180000000001</v>
      </c>
      <c r="R22" s="145">
        <v>0</v>
      </c>
      <c r="S22" s="132"/>
    </row>
    <row r="23" spans="1:19" ht="15" customHeight="1" x14ac:dyDescent="0.2">
      <c r="A23" s="135" t="s">
        <v>211</v>
      </c>
      <c r="B23" s="135" t="s">
        <v>336</v>
      </c>
      <c r="C23" s="135" t="s">
        <v>337</v>
      </c>
      <c r="D23" s="146">
        <v>18.889999</v>
      </c>
      <c r="E23" s="146">
        <v>32.666668000000001</v>
      </c>
      <c r="F23" s="136">
        <v>19493.448691000001</v>
      </c>
      <c r="G23" s="136">
        <v>11705.448691</v>
      </c>
      <c r="H23" s="136">
        <v>7788</v>
      </c>
      <c r="I23" s="148">
        <v>2.4696470000000001</v>
      </c>
      <c r="J23" s="148">
        <v>4.1238520000000003</v>
      </c>
      <c r="K23" s="148">
        <v>7.8562479999999999</v>
      </c>
      <c r="L23" s="148">
        <v>7.3979010000000001</v>
      </c>
      <c r="M23" s="148">
        <v>7.4158989999999996</v>
      </c>
      <c r="N23" s="148">
        <v>6.639049</v>
      </c>
      <c r="O23" s="148">
        <v>6.9448530000000002</v>
      </c>
      <c r="P23" s="148">
        <v>7.7736619999999998</v>
      </c>
      <c r="Q23" s="149">
        <v>7.3124950000000002</v>
      </c>
      <c r="R23" s="149">
        <v>2.646903</v>
      </c>
      <c r="S23" s="135"/>
    </row>
    <row r="24" spans="1:19" ht="15" customHeight="1" x14ac:dyDescent="0.2">
      <c r="A24" s="132" t="s">
        <v>213</v>
      </c>
      <c r="B24" s="132" t="s">
        <v>338</v>
      </c>
      <c r="C24" s="132" t="s">
        <v>339</v>
      </c>
      <c r="D24" s="142">
        <v>157.479996</v>
      </c>
      <c r="E24" s="142">
        <v>199.214279</v>
      </c>
      <c r="F24" s="133">
        <v>11414.653753000001</v>
      </c>
      <c r="G24" s="133">
        <v>11422.869753000001</v>
      </c>
      <c r="H24" s="133">
        <v>40.280999999999999</v>
      </c>
      <c r="I24" s="144">
        <v>4.6270870000000004</v>
      </c>
      <c r="J24" s="144">
        <v>4.6315720000000002</v>
      </c>
      <c r="K24" s="144">
        <v>14.072704999999999</v>
      </c>
      <c r="L24" s="144">
        <v>13.125149</v>
      </c>
      <c r="M24" s="144">
        <v>23.499084</v>
      </c>
      <c r="N24" s="144">
        <v>21.907619</v>
      </c>
      <c r="O24" s="144">
        <v>25.420500000000001</v>
      </c>
      <c r="P24" s="144">
        <v>23.141808000000001</v>
      </c>
      <c r="Q24" s="145">
        <v>4.4690190000000003</v>
      </c>
      <c r="R24" s="145">
        <v>1.5494030000000001</v>
      </c>
      <c r="S24" s="132"/>
    </row>
    <row r="25" spans="1:19" ht="15" customHeight="1" x14ac:dyDescent="0.2">
      <c r="A25" s="135" t="s">
        <v>215</v>
      </c>
      <c r="B25" s="135" t="s">
        <v>340</v>
      </c>
      <c r="C25" s="135" t="s">
        <v>339</v>
      </c>
      <c r="D25" s="146">
        <v>37.689999</v>
      </c>
      <c r="E25" s="146">
        <v>49.580646999999999</v>
      </c>
      <c r="F25" s="136">
        <v>10503.002267</v>
      </c>
      <c r="G25" s="136">
        <v>11691.316267</v>
      </c>
      <c r="H25" s="147">
        <v>-1102.4949999999999</v>
      </c>
      <c r="I25" s="148">
        <v>5.9163889999999997</v>
      </c>
      <c r="J25" s="148">
        <v>5.4367979999999996</v>
      </c>
      <c r="K25" s="148">
        <v>17.291853</v>
      </c>
      <c r="L25" s="148">
        <v>14.753517</v>
      </c>
      <c r="M25" s="148">
        <v>22.390847999999998</v>
      </c>
      <c r="N25" s="148">
        <v>19.727513999999999</v>
      </c>
      <c r="O25" s="148">
        <v>21.760968999999999</v>
      </c>
      <c r="P25" s="148">
        <v>18.639959000000001</v>
      </c>
      <c r="Q25" s="149">
        <v>3.027021</v>
      </c>
      <c r="R25" s="149">
        <v>0</v>
      </c>
      <c r="S25" s="135"/>
    </row>
    <row r="26" spans="1:19" s="141" customFormat="1" ht="15" customHeight="1" x14ac:dyDescent="0.2">
      <c r="A26" s="138" t="s">
        <v>217</v>
      </c>
      <c r="B26" s="138" t="s">
        <v>341</v>
      </c>
      <c r="C26" s="138" t="s">
        <v>334</v>
      </c>
      <c r="D26" s="150">
        <v>65.120002999999997</v>
      </c>
      <c r="E26" s="150">
        <v>90.583336000000003</v>
      </c>
      <c r="F26" s="139">
        <v>16364.767049</v>
      </c>
      <c r="G26" s="139">
        <v>15557.367049</v>
      </c>
      <c r="H26" s="139">
        <v>1316.7</v>
      </c>
      <c r="I26" s="151">
        <v>4.3839319999999997</v>
      </c>
      <c r="J26" s="151">
        <v>4.5618619999999996</v>
      </c>
      <c r="K26" s="151">
        <v>14.234909999999999</v>
      </c>
      <c r="L26" s="151">
        <v>13.073736</v>
      </c>
      <c r="M26" s="151">
        <v>18.349924000000001</v>
      </c>
      <c r="N26" s="151">
        <v>16.106863000000001</v>
      </c>
      <c r="O26" s="151">
        <v>17.865570000000002</v>
      </c>
      <c r="P26" s="151">
        <v>15.635054999999999</v>
      </c>
      <c r="Q26" s="152">
        <v>1.9078390000000001</v>
      </c>
      <c r="R26" s="152">
        <v>0</v>
      </c>
      <c r="S26" s="138"/>
    </row>
    <row r="27" spans="1:19" ht="15" customHeight="1" x14ac:dyDescent="0.2">
      <c r="A27" s="132" t="s">
        <v>342</v>
      </c>
      <c r="B27" s="132"/>
      <c r="C27" s="132"/>
      <c r="D27" s="132"/>
      <c r="E27" s="132"/>
      <c r="F27" s="132"/>
      <c r="G27" s="132"/>
      <c r="H27" s="132"/>
      <c r="I27" s="144">
        <f t="shared" ref="I27:R27" si="0">AVERAGE(I20:I26)</f>
        <v>4.5404731428571434</v>
      </c>
      <c r="J27" s="144">
        <f t="shared" si="0"/>
        <v>4.5514652857142863</v>
      </c>
      <c r="K27" s="144">
        <f t="shared" si="0"/>
        <v>15.375233285714287</v>
      </c>
      <c r="L27" s="144">
        <f t="shared" si="0"/>
        <v>13.34872857142857</v>
      </c>
      <c r="M27" s="144">
        <f t="shared" si="0"/>
        <v>23.585034571428569</v>
      </c>
      <c r="N27" s="144">
        <f t="shared" si="0"/>
        <v>19.627950428571431</v>
      </c>
      <c r="O27" s="144">
        <f t="shared" si="0"/>
        <v>18.49844357142857</v>
      </c>
      <c r="P27" s="144">
        <f t="shared" si="0"/>
        <v>16.391706571428571</v>
      </c>
      <c r="Q27" s="144">
        <f t="shared" si="0"/>
        <v>3.9448821428571428</v>
      </c>
      <c r="R27" s="144">
        <f t="shared" si="0"/>
        <v>0.59947228571428568</v>
      </c>
      <c r="S27" s="132"/>
    </row>
    <row r="28" spans="1:19" ht="15" customHeight="1" x14ac:dyDescent="0.2">
      <c r="A28" s="135" t="s">
        <v>220</v>
      </c>
      <c r="B28" s="135"/>
      <c r="C28" s="135"/>
      <c r="D28" s="135"/>
      <c r="E28" s="135"/>
      <c r="F28" s="135"/>
      <c r="G28" s="135"/>
      <c r="H28" s="135"/>
      <c r="I28" s="148">
        <f t="shared" ref="I28:R28" si="1">MEDIAN(I20:I26)</f>
        <v>4.6270870000000004</v>
      </c>
      <c r="J28" s="148">
        <f t="shared" si="1"/>
        <v>4.5618619999999996</v>
      </c>
      <c r="K28" s="148">
        <f t="shared" si="1"/>
        <v>14.934706</v>
      </c>
      <c r="L28" s="148">
        <f t="shared" si="1"/>
        <v>13.125149</v>
      </c>
      <c r="M28" s="148">
        <f t="shared" si="1"/>
        <v>22.390847999999998</v>
      </c>
      <c r="N28" s="148">
        <f t="shared" si="1"/>
        <v>19.727513999999999</v>
      </c>
      <c r="O28" s="148">
        <f t="shared" si="1"/>
        <v>19.644255000000001</v>
      </c>
      <c r="P28" s="148">
        <f t="shared" si="1"/>
        <v>15.957518</v>
      </c>
      <c r="Q28" s="148">
        <f t="shared" si="1"/>
        <v>3.2055180000000001</v>
      </c>
      <c r="R28" s="148">
        <f t="shared" si="1"/>
        <v>0</v>
      </c>
      <c r="S28" s="135"/>
    </row>
    <row r="29" spans="1:19" ht="15" customHeight="1" x14ac:dyDescent="0.2">
      <c r="A29" s="131" t="s">
        <v>358</v>
      </c>
    </row>
    <row r="30" spans="1:19" ht="15" customHeight="1" x14ac:dyDescent="0.2">
      <c r="A30" s="245"/>
      <c r="B30" s="245"/>
      <c r="C30" s="245"/>
      <c r="D30" s="245" t="s">
        <v>359</v>
      </c>
      <c r="E30" s="245"/>
      <c r="F30" s="245" t="s">
        <v>360</v>
      </c>
      <c r="G30" s="245"/>
      <c r="H30" s="245" t="s">
        <v>361</v>
      </c>
      <c r="I30" s="245"/>
      <c r="J30" s="245" t="s">
        <v>362</v>
      </c>
      <c r="K30" s="245"/>
      <c r="L30" s="245" t="s">
        <v>363</v>
      </c>
      <c r="M30" s="245"/>
    </row>
    <row r="31" spans="1:19" ht="15" customHeight="1" x14ac:dyDescent="0.2">
      <c r="A31" s="245" t="s">
        <v>196</v>
      </c>
      <c r="B31" s="245"/>
      <c r="C31" s="245" t="s">
        <v>325</v>
      </c>
      <c r="D31" s="245"/>
      <c r="E31" s="245"/>
      <c r="F31" s="245"/>
      <c r="G31" s="245"/>
      <c r="H31" s="245"/>
      <c r="I31" s="245"/>
      <c r="J31" s="245"/>
      <c r="K31" s="245"/>
      <c r="L31" s="245"/>
      <c r="M31" s="245"/>
    </row>
    <row r="32" spans="1:19" ht="15" customHeight="1" x14ac:dyDescent="0.2">
      <c r="A32" s="245" t="s">
        <v>327</v>
      </c>
      <c r="B32" s="245" t="s">
        <v>197</v>
      </c>
      <c r="C32" s="245" t="s">
        <v>328</v>
      </c>
      <c r="D32" s="245" t="s">
        <v>364</v>
      </c>
      <c r="E32" s="245" t="s">
        <v>365</v>
      </c>
      <c r="F32" s="245" t="s">
        <v>364</v>
      </c>
      <c r="G32" s="245" t="s">
        <v>365</v>
      </c>
      <c r="H32" s="245" t="s">
        <v>364</v>
      </c>
      <c r="I32" s="245" t="s">
        <v>365</v>
      </c>
      <c r="J32" s="245" t="s">
        <v>364</v>
      </c>
      <c r="K32" s="245" t="s">
        <v>365</v>
      </c>
      <c r="L32" s="245" t="s">
        <v>364</v>
      </c>
      <c r="M32" s="245" t="s">
        <v>365</v>
      </c>
    </row>
    <row r="33" spans="1:13" ht="15" customHeight="1" x14ac:dyDescent="0.2">
      <c r="A33" s="132" t="s">
        <v>366</v>
      </c>
      <c r="B33" s="132" t="s">
        <v>331</v>
      </c>
      <c r="C33" s="132" t="s">
        <v>332</v>
      </c>
      <c r="D33" s="134">
        <v>77.355259000000004</v>
      </c>
      <c r="E33" s="134">
        <v>82.101523999999998</v>
      </c>
      <c r="F33" s="134">
        <v>8.5303190000000004</v>
      </c>
      <c r="G33" s="134">
        <v>26.569980999999999</v>
      </c>
      <c r="H33" s="134">
        <v>5.2415209999999997</v>
      </c>
      <c r="I33" s="134">
        <v>25.650507000000001</v>
      </c>
      <c r="J33" s="134">
        <v>8.735868</v>
      </c>
      <c r="K33" s="134">
        <v>28.238265999999999</v>
      </c>
      <c r="L33" s="134">
        <v>8.0507019999999994</v>
      </c>
      <c r="M33" s="134">
        <v>22.198250000000002</v>
      </c>
    </row>
    <row r="34" spans="1:13" ht="15" customHeight="1" x14ac:dyDescent="0.2">
      <c r="A34" s="135" t="s">
        <v>367</v>
      </c>
      <c r="B34" s="135" t="s">
        <v>333</v>
      </c>
      <c r="C34" s="135" t="s">
        <v>334</v>
      </c>
      <c r="D34" s="137">
        <v>43.789616000000002</v>
      </c>
      <c r="E34" s="137">
        <v>44.592303999999999</v>
      </c>
      <c r="F34" s="137">
        <v>6.845764</v>
      </c>
      <c r="G34" s="137">
        <v>12.228115000000001</v>
      </c>
      <c r="H34" s="153">
        <v>-5.4039999999999998E-2</v>
      </c>
      <c r="I34" s="137">
        <v>5.2608610000000002</v>
      </c>
      <c r="J34" s="137">
        <v>1.9821200000000001</v>
      </c>
      <c r="K34" s="137">
        <v>6.7400840000000004</v>
      </c>
      <c r="L34" s="137">
        <v>1.865238</v>
      </c>
      <c r="M34" s="137">
        <v>6.3016139999999998</v>
      </c>
    </row>
    <row r="35" spans="1:13" ht="15" customHeight="1" x14ac:dyDescent="0.2">
      <c r="A35" s="132" t="s">
        <v>209</v>
      </c>
      <c r="B35" s="132" t="s">
        <v>335</v>
      </c>
      <c r="C35" s="132" t="s">
        <v>334</v>
      </c>
      <c r="D35" s="134">
        <v>44.045079000000001</v>
      </c>
      <c r="E35" s="134">
        <v>50.762264000000002</v>
      </c>
      <c r="F35" s="134">
        <v>21.675227</v>
      </c>
      <c r="G35" s="134">
        <v>29.490836999999999</v>
      </c>
      <c r="H35" s="134">
        <v>15.3355</v>
      </c>
      <c r="I35" s="134">
        <v>27.410046000000001</v>
      </c>
      <c r="J35" s="134">
        <v>16.735039</v>
      </c>
      <c r="K35" s="134">
        <v>28.401803999999998</v>
      </c>
      <c r="L35" s="134">
        <v>13.531603</v>
      </c>
      <c r="M35" s="134">
        <v>14.84304</v>
      </c>
    </row>
    <row r="36" spans="1:13" ht="15" customHeight="1" x14ac:dyDescent="0.2">
      <c r="A36" s="135" t="s">
        <v>211</v>
      </c>
      <c r="B36" s="135" t="s">
        <v>336</v>
      </c>
      <c r="C36" s="135" t="s">
        <v>337</v>
      </c>
      <c r="D36" s="137">
        <v>74.444680000000005</v>
      </c>
      <c r="E36" s="137">
        <v>81.856917999999993</v>
      </c>
      <c r="F36" s="137">
        <v>47.450814000000001</v>
      </c>
      <c r="G36" s="137">
        <v>50.288508999999998</v>
      </c>
      <c r="H36" s="137">
        <v>37.338692999999999</v>
      </c>
      <c r="I36" s="137">
        <v>51.463135000000001</v>
      </c>
      <c r="J36" s="137">
        <v>23.884070000000001</v>
      </c>
      <c r="K36" s="137">
        <v>40.391800000000003</v>
      </c>
      <c r="L36" s="137">
        <v>12.756505000000001</v>
      </c>
      <c r="M36" s="137">
        <v>33.394996999999996</v>
      </c>
    </row>
    <row r="37" spans="1:13" ht="15" customHeight="1" x14ac:dyDescent="0.2">
      <c r="A37" s="132" t="s">
        <v>213</v>
      </c>
      <c r="B37" s="132" t="s">
        <v>338</v>
      </c>
      <c r="C37" s="132" t="s">
        <v>339</v>
      </c>
      <c r="D37" s="134">
        <v>43.842458999999998</v>
      </c>
      <c r="E37" s="134">
        <v>42.804985000000002</v>
      </c>
      <c r="F37" s="134">
        <v>34.294556999999998</v>
      </c>
      <c r="G37" s="134">
        <v>32.414237999999997</v>
      </c>
      <c r="H37" s="134">
        <v>25.873076999999999</v>
      </c>
      <c r="I37" s="134">
        <v>24.45129</v>
      </c>
      <c r="J37" s="134">
        <v>26.632572</v>
      </c>
      <c r="K37" s="134">
        <v>25.099495000000001</v>
      </c>
      <c r="L37" s="134">
        <v>20.586715999999999</v>
      </c>
      <c r="M37" s="134">
        <v>19.110092000000002</v>
      </c>
    </row>
    <row r="38" spans="1:13" ht="15" customHeight="1" x14ac:dyDescent="0.2">
      <c r="A38" s="135" t="s">
        <v>215</v>
      </c>
      <c r="B38" s="135" t="s">
        <v>340</v>
      </c>
      <c r="C38" s="135" t="s">
        <v>339</v>
      </c>
      <c r="D38" s="137">
        <v>81.574419000000006</v>
      </c>
      <c r="E38" s="137">
        <v>84.160515000000004</v>
      </c>
      <c r="F38" s="137">
        <v>14.261511</v>
      </c>
      <c r="G38" s="137">
        <v>30.863655000000001</v>
      </c>
      <c r="H38" s="137">
        <v>12.990698999999999</v>
      </c>
      <c r="I38" s="137">
        <v>29.629277999999999</v>
      </c>
      <c r="J38" s="137">
        <v>15.977029</v>
      </c>
      <c r="K38" s="137">
        <v>31.517277</v>
      </c>
      <c r="L38" s="137">
        <v>9.5534510000000008</v>
      </c>
      <c r="M38" s="137">
        <v>25.444281</v>
      </c>
    </row>
    <row r="39" spans="1:13" s="141" customFormat="1" ht="15" customHeight="1" x14ac:dyDescent="0.2">
      <c r="A39" s="138" t="s">
        <v>217</v>
      </c>
      <c r="B39" s="138" t="s">
        <v>341</v>
      </c>
      <c r="C39" s="138" t="s">
        <v>334</v>
      </c>
      <c r="D39" s="140">
        <v>66.097065000000001</v>
      </c>
      <c r="E39" s="140">
        <v>72.232635000000002</v>
      </c>
      <c r="F39" s="140">
        <v>23.145541000000001</v>
      </c>
      <c r="G39" s="140">
        <v>29.787762000000001</v>
      </c>
      <c r="H39" s="140">
        <v>17.573105000000002</v>
      </c>
      <c r="I39" s="140">
        <v>28.572569000000001</v>
      </c>
      <c r="J39" s="140">
        <v>14.200094999999999</v>
      </c>
      <c r="K39" s="140">
        <v>26.887640000000001</v>
      </c>
      <c r="L39" s="140">
        <v>11.819474</v>
      </c>
      <c r="M39" s="140">
        <v>22.169373</v>
      </c>
    </row>
    <row r="40" spans="1:13" ht="15" customHeight="1" x14ac:dyDescent="0.2">
      <c r="A40" s="132" t="s">
        <v>342</v>
      </c>
      <c r="B40" s="132"/>
      <c r="C40" s="132"/>
      <c r="D40" s="134">
        <f t="shared" ref="D40:M40" si="2">AVERAGE(D33:D39)</f>
        <v>61.592653857142857</v>
      </c>
      <c r="E40" s="134">
        <f t="shared" si="2"/>
        <v>65.501592142857149</v>
      </c>
      <c r="F40" s="134">
        <f t="shared" si="2"/>
        <v>22.314819000000004</v>
      </c>
      <c r="G40" s="134">
        <f t="shared" si="2"/>
        <v>30.234728142857136</v>
      </c>
      <c r="H40" s="134">
        <f t="shared" si="2"/>
        <v>16.328364999999998</v>
      </c>
      <c r="I40" s="134">
        <f t="shared" si="2"/>
        <v>27.491097999999997</v>
      </c>
      <c r="J40" s="134">
        <f t="shared" si="2"/>
        <v>15.449541857142858</v>
      </c>
      <c r="K40" s="134">
        <f t="shared" si="2"/>
        <v>26.753766571428571</v>
      </c>
      <c r="L40" s="134">
        <f t="shared" si="2"/>
        <v>11.166241285714284</v>
      </c>
      <c r="M40" s="134">
        <f t="shared" si="2"/>
        <v>20.494520999999999</v>
      </c>
    </row>
    <row r="41" spans="1:13" ht="15" customHeight="1" x14ac:dyDescent="0.2">
      <c r="A41" s="135" t="s">
        <v>220</v>
      </c>
      <c r="B41" s="135"/>
      <c r="C41" s="135"/>
      <c r="D41" s="137">
        <f t="shared" ref="D41:M41" si="3">MEDIAN(D33:D39)</f>
        <v>66.097065000000001</v>
      </c>
      <c r="E41" s="137">
        <f t="shared" si="3"/>
        <v>72.232635000000002</v>
      </c>
      <c r="F41" s="137">
        <f t="shared" si="3"/>
        <v>21.675227</v>
      </c>
      <c r="G41" s="137">
        <f t="shared" si="3"/>
        <v>29.787762000000001</v>
      </c>
      <c r="H41" s="137">
        <f t="shared" si="3"/>
        <v>15.3355</v>
      </c>
      <c r="I41" s="137">
        <f t="shared" si="3"/>
        <v>27.410046000000001</v>
      </c>
      <c r="J41" s="137">
        <f t="shared" si="3"/>
        <v>15.977029</v>
      </c>
      <c r="K41" s="137">
        <f t="shared" si="3"/>
        <v>28.238265999999999</v>
      </c>
      <c r="L41" s="137">
        <f t="shared" si="3"/>
        <v>11.819474</v>
      </c>
      <c r="M41" s="137">
        <f t="shared" si="3"/>
        <v>22.169373</v>
      </c>
    </row>
    <row r="42" spans="1:13" ht="15" customHeight="1" x14ac:dyDescent="0.2">
      <c r="A42" s="1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4"/>
  <sheetViews>
    <sheetView zoomScaleNormal="100" workbookViewId="0">
      <selection activeCell="A2" sqref="A2"/>
    </sheetView>
  </sheetViews>
  <sheetFormatPr defaultColWidth="9.140625" defaultRowHeight="12.75" outlineLevelRow="3" x14ac:dyDescent="0.2"/>
  <cols>
    <col min="1" max="1" width="49.42578125" customWidth="1"/>
    <col min="2" max="2" width="7.85546875" customWidth="1"/>
    <col min="3" max="3" width="8" customWidth="1"/>
    <col min="4" max="11" width="7.85546875" customWidth="1"/>
  </cols>
  <sheetData>
    <row r="2" spans="1:11" ht="15" customHeight="1" x14ac:dyDescent="0.25">
      <c r="A2" s="248" t="s">
        <v>368</v>
      </c>
    </row>
    <row r="3" spans="1:11" ht="1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5" spans="1:11" ht="15" customHeight="1" x14ac:dyDescent="0.2">
      <c r="A5" s="246" t="s">
        <v>369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</row>
    <row r="6" spans="1:11" ht="15" customHeight="1" x14ac:dyDescent="0.2">
      <c r="A6" s="246" t="s">
        <v>370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</row>
    <row r="7" spans="1:11" ht="15" customHeight="1" x14ac:dyDescent="0.2">
      <c r="A7" s="246" t="s">
        <v>371</v>
      </c>
      <c r="B7" s="246"/>
      <c r="C7" s="246"/>
      <c r="D7" s="246"/>
      <c r="E7" s="246"/>
      <c r="F7" s="246"/>
      <c r="G7" s="246"/>
      <c r="H7" s="246"/>
      <c r="I7" s="246"/>
      <c r="J7" s="246"/>
      <c r="K7" s="246"/>
    </row>
    <row r="8" spans="1:11" ht="15" customHeight="1" x14ac:dyDescent="0.2">
      <c r="A8" s="246"/>
      <c r="B8" s="246" t="s">
        <v>372</v>
      </c>
      <c r="C8" s="246" t="s">
        <v>373</v>
      </c>
      <c r="D8" s="246" t="s">
        <v>374</v>
      </c>
      <c r="E8" s="246" t="s">
        <v>375</v>
      </c>
      <c r="F8" s="246" t="s">
        <v>262</v>
      </c>
      <c r="G8" s="246" t="s">
        <v>263</v>
      </c>
      <c r="H8" s="246" t="s">
        <v>264</v>
      </c>
      <c r="I8" s="246" t="s">
        <v>265</v>
      </c>
      <c r="J8" s="246" t="s">
        <v>266</v>
      </c>
      <c r="K8" s="246" t="s">
        <v>267</v>
      </c>
    </row>
    <row r="9" spans="1:11" ht="15" customHeight="1" x14ac:dyDescent="0.2">
      <c r="A9" s="246"/>
      <c r="B9" s="246"/>
      <c r="C9" s="246" t="s">
        <v>376</v>
      </c>
      <c r="D9" s="246"/>
      <c r="E9" s="246"/>
      <c r="F9" s="246"/>
      <c r="G9" s="246"/>
      <c r="H9" s="246"/>
      <c r="I9" s="246"/>
      <c r="J9" s="246"/>
      <c r="K9" s="246"/>
    </row>
    <row r="10" spans="1:11" ht="15" customHeight="1" x14ac:dyDescent="0.2">
      <c r="A10" s="154" t="s">
        <v>377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</row>
    <row r="11" spans="1:11" ht="15" customHeight="1" outlineLevel="1" x14ac:dyDescent="0.2">
      <c r="A11" s="155" t="s">
        <v>378</v>
      </c>
      <c r="B11" s="156">
        <v>2.2088869999999998</v>
      </c>
      <c r="C11" s="156">
        <v>4.5209999999999999</v>
      </c>
      <c r="D11" s="156">
        <v>4.3419999999999996</v>
      </c>
      <c r="E11" s="156">
        <v>7.9470000000000001</v>
      </c>
      <c r="F11" s="156">
        <v>11.965999999999999</v>
      </c>
      <c r="G11" s="156">
        <v>10.537000000000001</v>
      </c>
      <c r="H11" s="156">
        <v>12.507999999999999</v>
      </c>
      <c r="I11" s="156">
        <v>14.194000000000001</v>
      </c>
      <c r="J11" s="156">
        <v>14.032</v>
      </c>
      <c r="K11" s="156">
        <v>9.5649999999999995</v>
      </c>
    </row>
    <row r="12" spans="1:11" ht="15" customHeight="1" outlineLevel="2" x14ac:dyDescent="0.2">
      <c r="A12" s="157" t="s">
        <v>379</v>
      </c>
      <c r="B12" s="126">
        <v>1.606549</v>
      </c>
      <c r="C12" s="126">
        <v>2.5430000000000001</v>
      </c>
      <c r="D12" s="126">
        <v>2.669</v>
      </c>
      <c r="E12" s="126">
        <v>4.1449999999999996</v>
      </c>
      <c r="F12" s="126">
        <v>5.0519999999999996</v>
      </c>
      <c r="G12" s="126">
        <v>4.2930000000000001</v>
      </c>
      <c r="H12" s="126">
        <v>5.1390000000000002</v>
      </c>
      <c r="I12" s="126">
        <v>7.1349999999999998</v>
      </c>
      <c r="J12" s="126">
        <v>7.15</v>
      </c>
      <c r="K12" s="126">
        <v>5.9340000000000002</v>
      </c>
    </row>
    <row r="13" spans="1:11" ht="15" customHeight="1" outlineLevel="2" x14ac:dyDescent="0.2">
      <c r="A13" s="158" t="s">
        <v>380</v>
      </c>
      <c r="B13" s="129">
        <v>0.60233800000000004</v>
      </c>
      <c r="C13" s="129">
        <v>1.978</v>
      </c>
      <c r="D13" s="129">
        <v>1.673</v>
      </c>
      <c r="E13" s="129">
        <v>3.802</v>
      </c>
      <c r="F13" s="129">
        <v>6.9139999999999997</v>
      </c>
      <c r="G13" s="129">
        <v>6.2439999999999998</v>
      </c>
      <c r="H13" s="129">
        <v>7.3689999999999998</v>
      </c>
      <c r="I13" s="129">
        <v>7.0590000000000002</v>
      </c>
      <c r="J13" s="129">
        <v>6.8819999999999997</v>
      </c>
      <c r="K13" s="129">
        <v>3.6309999999999998</v>
      </c>
    </row>
    <row r="14" spans="1:11" ht="15" customHeight="1" outlineLevel="1" x14ac:dyDescent="0.2">
      <c r="A14" s="159" t="s">
        <v>381</v>
      </c>
      <c r="B14" s="160">
        <v>3.23082</v>
      </c>
      <c r="C14" s="160">
        <v>3.9209999999999998</v>
      </c>
      <c r="D14" s="160">
        <v>4.9240000000000004</v>
      </c>
      <c r="E14" s="160">
        <v>6.6230000000000002</v>
      </c>
      <c r="F14" s="160">
        <v>8.2629999999999999</v>
      </c>
      <c r="G14" s="160">
        <v>10.326000000000001</v>
      </c>
      <c r="H14" s="160">
        <v>11.403</v>
      </c>
      <c r="I14" s="160">
        <v>11.414</v>
      </c>
      <c r="J14" s="160">
        <v>11.945</v>
      </c>
      <c r="K14" s="160">
        <v>14.339</v>
      </c>
    </row>
    <row r="15" spans="1:11" ht="15" customHeight="1" outlineLevel="2" x14ac:dyDescent="0.2">
      <c r="A15" s="161" t="s">
        <v>382</v>
      </c>
      <c r="B15" s="156">
        <v>3.1966429999999999</v>
      </c>
      <c r="C15" s="156">
        <v>3.9209999999999998</v>
      </c>
      <c r="D15" s="156">
        <v>4.9240000000000004</v>
      </c>
      <c r="E15" s="156">
        <v>6.6230000000000002</v>
      </c>
      <c r="F15" s="156">
        <v>8.2629999999999999</v>
      </c>
      <c r="G15" s="156">
        <v>10.326000000000001</v>
      </c>
      <c r="H15" s="156">
        <v>11.403</v>
      </c>
      <c r="I15" s="156">
        <v>11.414</v>
      </c>
      <c r="J15" s="156">
        <v>11.945</v>
      </c>
      <c r="K15" s="156">
        <v>14.339</v>
      </c>
    </row>
    <row r="16" spans="1:11" ht="15" customHeight="1" outlineLevel="3" x14ac:dyDescent="0.2">
      <c r="A16" s="162" t="s">
        <v>383</v>
      </c>
      <c r="B16" s="126">
        <v>3.208682</v>
      </c>
      <c r="C16" s="126">
        <v>3.9420000000000002</v>
      </c>
      <c r="D16" s="126">
        <v>4.9459999999999997</v>
      </c>
      <c r="E16" s="126">
        <v>6.6459999999999999</v>
      </c>
      <c r="F16" s="126">
        <v>8.2629999999999999</v>
      </c>
      <c r="G16" s="126">
        <v>10.326000000000001</v>
      </c>
      <c r="H16" s="126">
        <v>11.403</v>
      </c>
      <c r="I16" s="126">
        <v>11.414</v>
      </c>
      <c r="J16" s="126">
        <v>11.945</v>
      </c>
      <c r="K16" s="126">
        <v>14.339</v>
      </c>
    </row>
    <row r="17" spans="1:11" ht="15" customHeight="1" outlineLevel="3" x14ac:dyDescent="0.2">
      <c r="A17" s="163" t="s">
        <v>384</v>
      </c>
      <c r="B17" s="164">
        <v>-1.2038999999999999E-2</v>
      </c>
      <c r="C17" s="164">
        <v>-2.1000000000000001E-2</v>
      </c>
      <c r="D17" s="164">
        <v>-2.1999999999999999E-2</v>
      </c>
      <c r="E17" s="164">
        <v>-2.3E-2</v>
      </c>
      <c r="F17" s="165"/>
      <c r="G17" s="165"/>
      <c r="H17" s="165"/>
      <c r="I17" s="165"/>
      <c r="J17" s="165"/>
      <c r="K17" s="165"/>
    </row>
    <row r="18" spans="1:11" ht="15" customHeight="1" outlineLevel="2" x14ac:dyDescent="0.2">
      <c r="A18" s="157" t="s">
        <v>385</v>
      </c>
      <c r="B18" s="126">
        <v>3.4176999999999999E-2</v>
      </c>
      <c r="C18" s="126">
        <v>0</v>
      </c>
      <c r="D18" s="126">
        <v>0</v>
      </c>
      <c r="E18" s="126">
        <v>0</v>
      </c>
      <c r="F18" s="126">
        <v>0</v>
      </c>
      <c r="G18" s="126">
        <v>0</v>
      </c>
      <c r="H18" s="126">
        <v>0</v>
      </c>
      <c r="I18" s="126">
        <v>0</v>
      </c>
      <c r="J18" s="126">
        <v>0</v>
      </c>
      <c r="K18" s="126">
        <v>0</v>
      </c>
    </row>
    <row r="19" spans="1:11" ht="15" customHeight="1" outlineLevel="1" x14ac:dyDescent="0.2">
      <c r="A19" s="155" t="s">
        <v>386</v>
      </c>
      <c r="B19" s="156">
        <v>0.24535000000000001</v>
      </c>
      <c r="C19" s="156">
        <v>0.47099999999999997</v>
      </c>
      <c r="D19" s="156">
        <v>0.629</v>
      </c>
      <c r="E19" s="156">
        <v>0.46700000000000003</v>
      </c>
      <c r="F19" s="156">
        <v>0.51400000000000001</v>
      </c>
      <c r="G19" s="156">
        <v>0.53300000000000003</v>
      </c>
      <c r="H19" s="156">
        <v>0.70799999999999996</v>
      </c>
      <c r="I19" s="156">
        <v>1.5609999999999999</v>
      </c>
      <c r="J19" s="156">
        <v>1.7789999999999999</v>
      </c>
      <c r="K19" s="156">
        <v>2.2429999999999999</v>
      </c>
    </row>
    <row r="20" spans="1:11" ht="15" customHeight="1" outlineLevel="2" x14ac:dyDescent="0.2">
      <c r="A20" s="157" t="s">
        <v>387</v>
      </c>
      <c r="B20" s="126">
        <v>2.6932000000000001E-2</v>
      </c>
      <c r="C20" s="166"/>
      <c r="D20" s="166"/>
      <c r="E20" s="166"/>
      <c r="F20" s="166"/>
      <c r="G20" s="166"/>
      <c r="H20" s="166"/>
      <c r="I20" s="166"/>
      <c r="J20" s="166"/>
      <c r="K20" s="166"/>
    </row>
    <row r="21" spans="1:11" ht="15" customHeight="1" outlineLevel="2" x14ac:dyDescent="0.2">
      <c r="A21" s="158" t="s">
        <v>388</v>
      </c>
      <c r="B21" s="129">
        <v>0.218418</v>
      </c>
      <c r="C21" s="129">
        <v>0.47099999999999997</v>
      </c>
      <c r="D21" s="129">
        <v>0.629</v>
      </c>
      <c r="E21" s="129">
        <v>0.46700000000000003</v>
      </c>
      <c r="F21" s="129">
        <v>0.51400000000000001</v>
      </c>
      <c r="G21" s="129">
        <v>0.53300000000000003</v>
      </c>
      <c r="H21" s="129">
        <v>0.70799999999999996</v>
      </c>
      <c r="I21" s="129">
        <v>1.5609999999999999</v>
      </c>
      <c r="J21" s="129">
        <v>1.7789999999999999</v>
      </c>
      <c r="K21" s="129">
        <v>2.2429999999999999</v>
      </c>
    </row>
    <row r="22" spans="1:11" ht="15" customHeight="1" outlineLevel="1" x14ac:dyDescent="0.2">
      <c r="A22" s="167" t="s">
        <v>389</v>
      </c>
      <c r="B22" s="126">
        <v>5.6850569999999996</v>
      </c>
      <c r="C22" s="126">
        <v>8.9130000000000003</v>
      </c>
      <c r="D22" s="126">
        <v>9.8949999999999996</v>
      </c>
      <c r="E22" s="126">
        <v>15.037000000000001</v>
      </c>
      <c r="F22" s="126">
        <v>20.742999999999999</v>
      </c>
      <c r="G22" s="126">
        <v>21.396000000000001</v>
      </c>
      <c r="H22" s="126">
        <v>24.619</v>
      </c>
      <c r="I22" s="126">
        <v>27.169</v>
      </c>
      <c r="J22" s="126">
        <v>27.756</v>
      </c>
      <c r="K22" s="126">
        <v>26.146999999999998</v>
      </c>
    </row>
    <row r="23" spans="1:11" ht="15" customHeight="1" outlineLevel="1" x14ac:dyDescent="0.2">
      <c r="A23" s="155" t="s">
        <v>390</v>
      </c>
      <c r="B23" s="156">
        <v>1.787534</v>
      </c>
      <c r="C23" s="156">
        <v>1.9470000000000001</v>
      </c>
      <c r="D23" s="156">
        <v>2.0510000000000002</v>
      </c>
      <c r="E23" s="156">
        <v>5.415</v>
      </c>
      <c r="F23" s="156">
        <v>5.6630000000000003</v>
      </c>
      <c r="G23" s="156">
        <v>5.6950000000000003</v>
      </c>
      <c r="H23" s="156">
        <v>6.5919999999999996</v>
      </c>
      <c r="I23" s="156">
        <v>6.0549999999999997</v>
      </c>
      <c r="J23" s="156">
        <v>5.3929999999999998</v>
      </c>
      <c r="K23" s="156">
        <v>5.1230000000000002</v>
      </c>
    </row>
    <row r="24" spans="1:11" ht="15" customHeight="1" outlineLevel="2" x14ac:dyDescent="0.2">
      <c r="A24" s="168" t="s">
        <v>391</v>
      </c>
      <c r="B24" s="160">
        <v>2.985884</v>
      </c>
      <c r="C24" s="160">
        <v>3.403</v>
      </c>
      <c r="D24" s="160">
        <v>3.8340000000000001</v>
      </c>
      <c r="E24" s="160">
        <v>7.2160000000000002</v>
      </c>
      <c r="F24" s="160">
        <v>7.6180000000000003</v>
      </c>
      <c r="G24" s="160">
        <v>8.0960000000000001</v>
      </c>
      <c r="H24" s="160">
        <v>9.2940000000000005</v>
      </c>
      <c r="I24" s="160">
        <v>9.2070000000000007</v>
      </c>
      <c r="J24" s="160">
        <v>9.0749999999999993</v>
      </c>
      <c r="K24" s="160">
        <v>8.8260000000000005</v>
      </c>
    </row>
    <row r="25" spans="1:11" ht="15" customHeight="1" outlineLevel="3" x14ac:dyDescent="0.2">
      <c r="A25" s="163" t="s">
        <v>392</v>
      </c>
      <c r="B25" s="129">
        <v>0.62137699999999996</v>
      </c>
      <c r="C25" s="129">
        <v>0.626</v>
      </c>
      <c r="D25" s="129">
        <v>0.629</v>
      </c>
      <c r="E25" s="129">
        <v>0.77700000000000002</v>
      </c>
      <c r="F25" s="129">
        <v>0.48499999999999999</v>
      </c>
      <c r="G25" s="129">
        <v>0.48699999999999999</v>
      </c>
      <c r="H25" s="129">
        <v>0.48899999999999999</v>
      </c>
      <c r="I25" s="129">
        <v>0.49</v>
      </c>
      <c r="J25" s="129">
        <v>0.49199999999999999</v>
      </c>
      <c r="K25" s="129">
        <v>0.5</v>
      </c>
    </row>
    <row r="26" spans="1:11" ht="15" customHeight="1" outlineLevel="3" x14ac:dyDescent="0.2">
      <c r="A26" s="162" t="s">
        <v>393</v>
      </c>
      <c r="B26" s="126">
        <v>0.183888</v>
      </c>
      <c r="C26" s="126">
        <v>0.184</v>
      </c>
      <c r="D26" s="126">
        <v>0.184</v>
      </c>
      <c r="E26" s="126">
        <v>0.184</v>
      </c>
      <c r="F26" s="126">
        <v>0.29299999999999998</v>
      </c>
      <c r="G26" s="126">
        <v>0.29299999999999998</v>
      </c>
      <c r="H26" s="126">
        <v>0.29299999999999998</v>
      </c>
      <c r="I26" s="126">
        <v>0.29299999999999998</v>
      </c>
      <c r="J26" s="126">
        <v>0.29299999999999998</v>
      </c>
      <c r="K26" s="126">
        <v>0.35699999999999998</v>
      </c>
    </row>
    <row r="27" spans="1:11" ht="15" customHeight="1" outlineLevel="3" x14ac:dyDescent="0.2">
      <c r="A27" s="163" t="s">
        <v>394</v>
      </c>
      <c r="B27" s="129">
        <v>0.72899999999999998</v>
      </c>
      <c r="C27" s="129">
        <v>0.70899999999999996</v>
      </c>
      <c r="D27" s="129">
        <v>0.67100000000000004</v>
      </c>
      <c r="E27" s="165"/>
      <c r="F27" s="165"/>
      <c r="G27" s="165"/>
      <c r="H27" s="165"/>
      <c r="I27" s="165"/>
      <c r="J27" s="165"/>
      <c r="K27" s="165"/>
    </row>
    <row r="28" spans="1:11" ht="15" customHeight="1" outlineLevel="3" x14ac:dyDescent="0.2">
      <c r="A28" s="162" t="s">
        <v>395</v>
      </c>
      <c r="B28" s="126">
        <v>0.71198600000000001</v>
      </c>
      <c r="C28" s="126">
        <v>0.92</v>
      </c>
      <c r="D28" s="126">
        <v>1.0640000000000001</v>
      </c>
      <c r="E28" s="126">
        <v>1.6080000000000001</v>
      </c>
      <c r="F28" s="126">
        <v>1.901</v>
      </c>
      <c r="G28" s="126">
        <v>2.5430000000000001</v>
      </c>
      <c r="H28" s="126">
        <v>3.556</v>
      </c>
      <c r="I28" s="126">
        <v>4.2089999999999996</v>
      </c>
      <c r="J28" s="126">
        <v>4.3449999999999998</v>
      </c>
      <c r="K28" s="126">
        <v>4.1040000000000001</v>
      </c>
    </row>
    <row r="29" spans="1:11" ht="15" customHeight="1" outlineLevel="3" x14ac:dyDescent="0.2">
      <c r="A29" s="163" t="s">
        <v>396</v>
      </c>
      <c r="B29" s="129">
        <v>0.73963299999999998</v>
      </c>
      <c r="C29" s="129">
        <v>0.96399999999999997</v>
      </c>
      <c r="D29" s="129">
        <v>1.286</v>
      </c>
      <c r="E29" s="129">
        <v>1.607</v>
      </c>
      <c r="F29" s="129">
        <v>1.7350000000000001</v>
      </c>
      <c r="G29" s="129">
        <v>1.893</v>
      </c>
      <c r="H29" s="129">
        <v>2.0659999999999998</v>
      </c>
      <c r="I29" s="129">
        <v>1.849</v>
      </c>
      <c r="J29" s="129">
        <v>1.788</v>
      </c>
      <c r="K29" s="129">
        <v>1.8620000000000001</v>
      </c>
    </row>
    <row r="30" spans="1:11" ht="15" customHeight="1" outlineLevel="3" x14ac:dyDescent="0.2">
      <c r="A30" s="162" t="s">
        <v>397</v>
      </c>
      <c r="B30" s="166"/>
      <c r="C30" s="166"/>
      <c r="D30" s="166"/>
      <c r="E30" s="126">
        <v>3.04</v>
      </c>
      <c r="F30" s="126">
        <v>3.2040000000000002</v>
      </c>
      <c r="G30" s="126">
        <v>2.88</v>
      </c>
      <c r="H30" s="126">
        <v>2.89</v>
      </c>
      <c r="I30" s="126">
        <v>2.3660000000000001</v>
      </c>
      <c r="J30" s="126">
        <v>2.157</v>
      </c>
      <c r="K30" s="126">
        <v>2.0030000000000001</v>
      </c>
    </row>
    <row r="31" spans="1:11" ht="15" customHeight="1" outlineLevel="2" x14ac:dyDescent="0.2">
      <c r="A31" s="158" t="s">
        <v>398</v>
      </c>
      <c r="B31" s="129">
        <v>1.19835</v>
      </c>
      <c r="C31" s="129">
        <v>1.456</v>
      </c>
      <c r="D31" s="129">
        <v>1.7829999999999999</v>
      </c>
      <c r="E31" s="129">
        <v>1.8009999999999999</v>
      </c>
      <c r="F31" s="129">
        <v>1.9550000000000001</v>
      </c>
      <c r="G31" s="129">
        <v>2.4009999999999998</v>
      </c>
      <c r="H31" s="129">
        <v>2.702</v>
      </c>
      <c r="I31" s="129">
        <v>3.1520000000000001</v>
      </c>
      <c r="J31" s="129">
        <v>3.6819999999999999</v>
      </c>
      <c r="K31" s="129">
        <v>3.7029999999999998</v>
      </c>
    </row>
    <row r="32" spans="1:11" ht="15" customHeight="1" outlineLevel="1" x14ac:dyDescent="0.2">
      <c r="A32" s="159" t="s">
        <v>399</v>
      </c>
      <c r="B32" s="160">
        <v>0.84868600000000005</v>
      </c>
      <c r="C32" s="160">
        <v>0.83599999999999997</v>
      </c>
      <c r="D32" s="160">
        <v>1.423</v>
      </c>
      <c r="E32" s="160">
        <v>2.056</v>
      </c>
      <c r="F32" s="160">
        <v>3.9510000000000001</v>
      </c>
      <c r="G32" s="160">
        <v>4.7839999999999998</v>
      </c>
      <c r="H32" s="160">
        <v>4.6719999999999997</v>
      </c>
      <c r="I32" s="160">
        <v>4.8479999999999999</v>
      </c>
      <c r="J32" s="160">
        <v>5.5759999999999996</v>
      </c>
      <c r="K32" s="160">
        <v>7.5910000000000002</v>
      </c>
    </row>
    <row r="33" spans="1:11" ht="15" customHeight="1" outlineLevel="2" x14ac:dyDescent="0.2">
      <c r="A33" s="158" t="s">
        <v>400</v>
      </c>
      <c r="B33" s="129">
        <v>0.56695300000000004</v>
      </c>
      <c r="C33" s="129">
        <v>0.67700000000000005</v>
      </c>
      <c r="D33" s="129">
        <v>1.302</v>
      </c>
      <c r="E33" s="129">
        <v>1.9630000000000001</v>
      </c>
      <c r="F33" s="129">
        <v>3.9089999999999998</v>
      </c>
      <c r="G33" s="129">
        <v>4.7839999999999998</v>
      </c>
      <c r="H33" s="129">
        <v>4.6719999999999997</v>
      </c>
      <c r="I33" s="129">
        <v>4.8479999999999999</v>
      </c>
      <c r="J33" s="129">
        <v>4.8520000000000003</v>
      </c>
      <c r="K33" s="129">
        <v>7.5910000000000002</v>
      </c>
    </row>
    <row r="34" spans="1:11" ht="15" customHeight="1" outlineLevel="2" x14ac:dyDescent="0.2">
      <c r="A34" s="157" t="s">
        <v>401</v>
      </c>
      <c r="B34" s="126">
        <v>0.28173300000000001</v>
      </c>
      <c r="C34" s="126">
        <v>0.159</v>
      </c>
      <c r="D34" s="126">
        <v>0.121</v>
      </c>
      <c r="E34" s="126">
        <v>9.2999999999999999E-2</v>
      </c>
      <c r="F34" s="126">
        <v>4.2000000000000003E-2</v>
      </c>
      <c r="G34" s="166"/>
      <c r="H34" s="166"/>
      <c r="I34" s="166"/>
      <c r="J34" s="126">
        <v>0.72399999999999998</v>
      </c>
      <c r="K34" s="166"/>
    </row>
    <row r="35" spans="1:11" ht="15" customHeight="1" outlineLevel="1" x14ac:dyDescent="0.2">
      <c r="A35" s="155" t="s">
        <v>402</v>
      </c>
      <c r="B35" s="156">
        <v>8.5581040000000002</v>
      </c>
      <c r="C35" s="156">
        <v>8.2870000000000008</v>
      </c>
      <c r="D35" s="156">
        <v>14.926</v>
      </c>
      <c r="E35" s="156">
        <v>29.858000000000001</v>
      </c>
      <c r="F35" s="156">
        <v>30.431999999999999</v>
      </c>
      <c r="G35" s="156">
        <v>56.914999999999999</v>
      </c>
      <c r="H35" s="156">
        <v>55.692999999999998</v>
      </c>
      <c r="I35" s="156">
        <v>53.898000000000003</v>
      </c>
      <c r="J35" s="156">
        <v>55.710999999999999</v>
      </c>
      <c r="K35" s="156">
        <v>64.756</v>
      </c>
    </row>
    <row r="36" spans="1:11" ht="15" customHeight="1" outlineLevel="2" x14ac:dyDescent="0.2">
      <c r="A36" s="157" t="s">
        <v>125</v>
      </c>
      <c r="B36" s="126">
        <v>7.263846</v>
      </c>
      <c r="C36" s="126">
        <v>7.3140000000000001</v>
      </c>
      <c r="D36" s="126">
        <v>12.851000000000001</v>
      </c>
      <c r="E36" s="126">
        <v>25.134</v>
      </c>
      <c r="F36" s="126">
        <v>26.318000000000001</v>
      </c>
      <c r="G36" s="126">
        <v>47.936999999999998</v>
      </c>
      <c r="H36" s="126">
        <v>48.567999999999998</v>
      </c>
      <c r="I36" s="126">
        <v>48.62</v>
      </c>
      <c r="J36" s="126">
        <v>51.283000000000001</v>
      </c>
      <c r="K36" s="126">
        <v>57.941000000000003</v>
      </c>
    </row>
    <row r="37" spans="1:11" ht="15" customHeight="1" outlineLevel="2" x14ac:dyDescent="0.2">
      <c r="A37" s="158" t="s">
        <v>403</v>
      </c>
      <c r="B37" s="129">
        <v>1.2942579999999999</v>
      </c>
      <c r="C37" s="129">
        <v>0.97299999999999998</v>
      </c>
      <c r="D37" s="129">
        <v>2.0750000000000002</v>
      </c>
      <c r="E37" s="129">
        <v>4.7240000000000002</v>
      </c>
      <c r="F37" s="129">
        <v>4.1139999999999999</v>
      </c>
      <c r="G37" s="129">
        <v>8.9779999999999998</v>
      </c>
      <c r="H37" s="129">
        <v>7.125</v>
      </c>
      <c r="I37" s="129">
        <v>5.2779999999999996</v>
      </c>
      <c r="J37" s="129">
        <v>4.4279999999999999</v>
      </c>
      <c r="K37" s="129">
        <v>6.8150000000000004</v>
      </c>
    </row>
    <row r="38" spans="1:11" ht="15" customHeight="1" outlineLevel="1" x14ac:dyDescent="0.2">
      <c r="A38" s="167" t="s">
        <v>404</v>
      </c>
      <c r="B38" s="126">
        <v>2.8938999999999999E-2</v>
      </c>
      <c r="C38" s="166"/>
      <c r="D38" s="166"/>
      <c r="E38" s="166"/>
      <c r="F38" s="166"/>
      <c r="G38" s="126">
        <v>5.2510000000000003</v>
      </c>
      <c r="H38" s="126">
        <v>5.4379999999999997</v>
      </c>
      <c r="I38" s="126">
        <v>5.3860000000000001</v>
      </c>
      <c r="J38" s="126">
        <v>5.8129999999999997</v>
      </c>
      <c r="K38" s="126">
        <v>5.2039999999999997</v>
      </c>
    </row>
    <row r="39" spans="1:11" ht="15" customHeight="1" outlineLevel="1" x14ac:dyDescent="0.2">
      <c r="A39" s="155" t="s">
        <v>405</v>
      </c>
      <c r="B39" s="156">
        <v>0.67659999999999998</v>
      </c>
      <c r="C39" s="156">
        <v>2.0009999999999999</v>
      </c>
      <c r="D39" s="156">
        <v>2.4420000000000002</v>
      </c>
      <c r="E39" s="156">
        <v>2.76</v>
      </c>
      <c r="F39" s="156">
        <v>5.5119999999999996</v>
      </c>
      <c r="G39" s="156">
        <v>5.1369999999999996</v>
      </c>
      <c r="H39" s="156">
        <v>5.569</v>
      </c>
      <c r="I39" s="156">
        <v>5.45</v>
      </c>
      <c r="J39" s="156">
        <v>5.0030000000000001</v>
      </c>
      <c r="K39" s="156">
        <v>6.6280000000000001</v>
      </c>
    </row>
    <row r="40" spans="1:11" ht="15" customHeight="1" outlineLevel="2" x14ac:dyDescent="0.2">
      <c r="A40" s="157" t="s">
        <v>406</v>
      </c>
      <c r="B40" s="126">
        <v>0.53961899999999996</v>
      </c>
      <c r="C40" s="126">
        <v>1.776</v>
      </c>
      <c r="D40" s="126">
        <v>2.02</v>
      </c>
      <c r="E40" s="126">
        <v>2.274</v>
      </c>
      <c r="F40" s="126">
        <v>2.8610000000000002</v>
      </c>
      <c r="G40" s="126">
        <v>3.7959999999999998</v>
      </c>
      <c r="H40" s="126">
        <v>4.4729999999999999</v>
      </c>
      <c r="I40" s="126">
        <v>4.42</v>
      </c>
      <c r="J40" s="126">
        <v>4.4459999999999997</v>
      </c>
      <c r="K40" s="126">
        <v>5.0599999999999996</v>
      </c>
    </row>
    <row r="41" spans="1:11" ht="15" customHeight="1" outlineLevel="2" x14ac:dyDescent="0.2">
      <c r="A41" s="158" t="s">
        <v>407</v>
      </c>
      <c r="B41" s="129">
        <v>0.13698399999999999</v>
      </c>
      <c r="C41" s="129">
        <v>0.22500000000000001</v>
      </c>
      <c r="D41" s="129">
        <v>0.42199999999999999</v>
      </c>
      <c r="E41" s="129">
        <v>0.48599999999999999</v>
      </c>
      <c r="F41" s="129">
        <v>2.6509999999999998</v>
      </c>
      <c r="G41" s="129">
        <v>1.341</v>
      </c>
      <c r="H41" s="129">
        <v>1.0960000000000001</v>
      </c>
      <c r="I41" s="129">
        <v>1.03</v>
      </c>
      <c r="J41" s="129">
        <v>0.55700000000000005</v>
      </c>
      <c r="K41" s="129">
        <v>1.5680000000000001</v>
      </c>
    </row>
    <row r="42" spans="1:11" ht="15" customHeight="1" outlineLevel="1" x14ac:dyDescent="0.2">
      <c r="A42" s="167" t="s">
        <v>408</v>
      </c>
      <c r="B42" s="126">
        <v>17.584923</v>
      </c>
      <c r="C42" s="126">
        <v>21.984000000000002</v>
      </c>
      <c r="D42" s="126">
        <v>30.736999999999998</v>
      </c>
      <c r="E42" s="126">
        <v>55.125999999999998</v>
      </c>
      <c r="F42" s="126">
        <v>66.301000000000002</v>
      </c>
      <c r="G42" s="126">
        <v>99.177999999999997</v>
      </c>
      <c r="H42" s="126">
        <v>102.583</v>
      </c>
      <c r="I42" s="126">
        <v>102.806</v>
      </c>
      <c r="J42" s="126">
        <v>105.252</v>
      </c>
      <c r="K42" s="126">
        <v>115.449</v>
      </c>
    </row>
    <row r="43" spans="1:11" ht="15" customHeight="1" x14ac:dyDescent="0.2">
      <c r="A43" s="169" t="s">
        <v>409</v>
      </c>
      <c r="B43" s="169"/>
      <c r="C43" s="169"/>
      <c r="D43" s="169"/>
      <c r="E43" s="169"/>
      <c r="F43" s="169"/>
      <c r="G43" s="169"/>
      <c r="H43" s="169"/>
      <c r="I43" s="169"/>
      <c r="J43" s="169"/>
      <c r="K43" s="169"/>
    </row>
    <row r="44" spans="1:11" ht="15" customHeight="1" outlineLevel="1" x14ac:dyDescent="0.2">
      <c r="A44" s="159" t="s">
        <v>410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</row>
    <row r="45" spans="1:11" ht="15" customHeight="1" outlineLevel="2" x14ac:dyDescent="0.2">
      <c r="A45" s="158" t="s">
        <v>411</v>
      </c>
      <c r="B45" s="129">
        <v>1.9594E-2</v>
      </c>
      <c r="C45" s="129">
        <v>1.0249999999999999</v>
      </c>
      <c r="D45" s="129">
        <v>0.20300000000000001</v>
      </c>
      <c r="E45" s="129">
        <v>0.80300000000000005</v>
      </c>
      <c r="F45" s="129">
        <v>0.80100000000000005</v>
      </c>
      <c r="G45" s="129">
        <v>0.8</v>
      </c>
      <c r="H45" s="129">
        <v>2.0289999999999999</v>
      </c>
      <c r="I45" s="129">
        <v>1.889</v>
      </c>
      <c r="J45" s="129">
        <v>0.91600000000000004</v>
      </c>
      <c r="K45" s="129">
        <v>4.8230000000000004</v>
      </c>
    </row>
    <row r="46" spans="1:11" ht="15" customHeight="1" outlineLevel="2" x14ac:dyDescent="0.2">
      <c r="A46" s="157" t="s">
        <v>412</v>
      </c>
      <c r="B46" s="126">
        <v>0.115257</v>
      </c>
      <c r="C46" s="126">
        <v>7.5999999999999998E-2</v>
      </c>
      <c r="D46" s="126">
        <v>0.16500000000000001</v>
      </c>
      <c r="E46" s="126">
        <v>1.8560000000000001</v>
      </c>
      <c r="F46" s="126">
        <v>2.62</v>
      </c>
      <c r="G46" s="126">
        <v>2.96</v>
      </c>
      <c r="H46" s="126">
        <v>3.8860000000000001</v>
      </c>
      <c r="I46" s="126">
        <v>3.2389999999999999</v>
      </c>
      <c r="J46" s="126">
        <v>3.5209999999999999</v>
      </c>
      <c r="K46" s="126">
        <v>4.6779999999999999</v>
      </c>
    </row>
    <row r="47" spans="1:11" ht="15" customHeight="1" outlineLevel="2" x14ac:dyDescent="0.2">
      <c r="A47" s="158" t="s">
        <v>413</v>
      </c>
      <c r="B47" s="129">
        <v>0.239699</v>
      </c>
      <c r="C47" s="165"/>
      <c r="D47" s="165"/>
      <c r="E47" s="165"/>
      <c r="F47" s="165"/>
      <c r="G47" s="165"/>
      <c r="H47" s="165"/>
      <c r="I47" s="165"/>
      <c r="J47" s="165"/>
      <c r="K47" s="165"/>
    </row>
    <row r="48" spans="1:11" ht="15" customHeight="1" outlineLevel="2" x14ac:dyDescent="0.2">
      <c r="A48" s="168" t="s">
        <v>414</v>
      </c>
      <c r="B48" s="160">
        <v>6.8838030000000003</v>
      </c>
      <c r="C48" s="160">
        <v>8.9659999999999993</v>
      </c>
      <c r="D48" s="160">
        <v>10.887</v>
      </c>
      <c r="E48" s="160">
        <v>12.186</v>
      </c>
      <c r="F48" s="160">
        <v>14.307</v>
      </c>
      <c r="G48" s="160">
        <v>18.027999999999999</v>
      </c>
      <c r="H48" s="160">
        <v>19.975999999999999</v>
      </c>
      <c r="I48" s="160">
        <v>21.503</v>
      </c>
      <c r="J48" s="160">
        <v>23.542999999999999</v>
      </c>
      <c r="K48" s="160">
        <v>27.617000000000001</v>
      </c>
    </row>
    <row r="49" spans="1:11" ht="15" customHeight="1" outlineLevel="3" x14ac:dyDescent="0.2">
      <c r="A49" s="163" t="s">
        <v>415</v>
      </c>
      <c r="B49" s="129">
        <v>0.73038999999999998</v>
      </c>
      <c r="C49" s="129">
        <v>1.0009999999999999</v>
      </c>
      <c r="D49" s="129">
        <v>1.167</v>
      </c>
      <c r="E49" s="129">
        <v>1.5</v>
      </c>
      <c r="F49" s="129">
        <v>1.7</v>
      </c>
      <c r="G49" s="129">
        <v>2.4</v>
      </c>
      <c r="H49" s="129">
        <v>2.6</v>
      </c>
      <c r="I49" s="129">
        <v>2.5</v>
      </c>
      <c r="J49" s="129">
        <v>2.8</v>
      </c>
      <c r="K49" s="129">
        <v>3.3</v>
      </c>
    </row>
    <row r="50" spans="1:11" ht="15" customHeight="1" outlineLevel="3" x14ac:dyDescent="0.2">
      <c r="A50" s="162" t="s">
        <v>416</v>
      </c>
      <c r="B50" s="126">
        <v>6.1534129999999996</v>
      </c>
      <c r="C50" s="126">
        <v>7.9649999999999999</v>
      </c>
      <c r="D50" s="126">
        <v>9.7200000000000006</v>
      </c>
      <c r="E50" s="126">
        <v>10.686</v>
      </c>
      <c r="F50" s="126">
        <v>12.606999999999999</v>
      </c>
      <c r="G50" s="126">
        <v>15.628</v>
      </c>
      <c r="H50" s="126">
        <v>17.376000000000001</v>
      </c>
      <c r="I50" s="126">
        <v>19.003</v>
      </c>
      <c r="J50" s="126">
        <v>20.742999999999999</v>
      </c>
      <c r="K50" s="126">
        <v>24.317</v>
      </c>
    </row>
    <row r="51" spans="1:11" ht="15" customHeight="1" outlineLevel="2" x14ac:dyDescent="0.2">
      <c r="A51" s="158" t="s">
        <v>417</v>
      </c>
      <c r="B51" s="129">
        <v>7.2583529999999996</v>
      </c>
      <c r="C51" s="129">
        <v>10.067</v>
      </c>
      <c r="D51" s="129">
        <v>11.255000000000001</v>
      </c>
      <c r="E51" s="129">
        <v>14.845000000000001</v>
      </c>
      <c r="F51" s="129">
        <v>17.728000000000002</v>
      </c>
      <c r="G51" s="129">
        <v>21.788</v>
      </c>
      <c r="H51" s="129">
        <v>25.890999999999998</v>
      </c>
      <c r="I51" s="129">
        <v>26.631</v>
      </c>
      <c r="J51" s="129">
        <v>27.98</v>
      </c>
      <c r="K51" s="129">
        <v>37.118000000000002</v>
      </c>
    </row>
    <row r="52" spans="1:11" ht="15" customHeight="1" outlineLevel="1" x14ac:dyDescent="0.2">
      <c r="A52" s="159" t="s">
        <v>418</v>
      </c>
      <c r="B52" s="154"/>
      <c r="C52" s="154"/>
      <c r="D52" s="154"/>
      <c r="E52" s="154"/>
      <c r="F52" s="154"/>
      <c r="G52" s="154"/>
      <c r="H52" s="154"/>
      <c r="I52" s="154"/>
      <c r="J52" s="154"/>
      <c r="K52" s="154"/>
    </row>
    <row r="53" spans="1:11" ht="15" customHeight="1" outlineLevel="2" x14ac:dyDescent="0.2">
      <c r="A53" s="161" t="s">
        <v>419</v>
      </c>
      <c r="B53" s="156">
        <v>2.6899519999999999</v>
      </c>
      <c r="C53" s="156">
        <v>0.69499999999999995</v>
      </c>
      <c r="D53" s="156">
        <v>3.173</v>
      </c>
      <c r="E53" s="156">
        <v>5.45</v>
      </c>
      <c r="F53" s="156">
        <v>5.6079999999999997</v>
      </c>
      <c r="G53" s="156">
        <v>13.566000000000001</v>
      </c>
      <c r="H53" s="156">
        <v>12.85</v>
      </c>
      <c r="I53" s="156">
        <v>11.673</v>
      </c>
      <c r="J53" s="156">
        <v>11.154</v>
      </c>
      <c r="K53" s="156">
        <v>12.888</v>
      </c>
    </row>
    <row r="54" spans="1:11" ht="15" customHeight="1" outlineLevel="3" x14ac:dyDescent="0.2">
      <c r="A54" s="162" t="s">
        <v>420</v>
      </c>
      <c r="B54" s="126">
        <v>2.008391</v>
      </c>
      <c r="C54" s="126">
        <v>0.69499999999999995</v>
      </c>
      <c r="D54" s="126">
        <v>3.173</v>
      </c>
      <c r="E54" s="126">
        <v>2.673</v>
      </c>
      <c r="F54" s="126">
        <v>2.673</v>
      </c>
      <c r="G54" s="126">
        <v>10.592000000000001</v>
      </c>
      <c r="H54" s="126">
        <v>9.4190000000000005</v>
      </c>
      <c r="I54" s="126">
        <v>8.4269999999999996</v>
      </c>
      <c r="J54" s="126">
        <v>8.4329999999999998</v>
      </c>
      <c r="K54" s="126">
        <v>10.439</v>
      </c>
    </row>
    <row r="55" spans="1:11" ht="15" customHeight="1" outlineLevel="3" x14ac:dyDescent="0.2">
      <c r="A55" s="163" t="s">
        <v>421</v>
      </c>
      <c r="B55" s="129">
        <v>0.68156099999999997</v>
      </c>
      <c r="C55" s="129">
        <v>0</v>
      </c>
      <c r="D55" s="129">
        <v>0</v>
      </c>
      <c r="E55" s="129">
        <v>2.7770000000000001</v>
      </c>
      <c r="F55" s="129">
        <v>2.9350000000000001</v>
      </c>
      <c r="G55" s="129">
        <v>2.9740000000000002</v>
      </c>
      <c r="H55" s="129">
        <v>3.431</v>
      </c>
      <c r="I55" s="129">
        <v>3.246</v>
      </c>
      <c r="J55" s="129">
        <v>2.7210000000000001</v>
      </c>
      <c r="K55" s="129">
        <v>2.4489999999999998</v>
      </c>
    </row>
    <row r="56" spans="1:11" ht="15" customHeight="1" outlineLevel="2" x14ac:dyDescent="0.2">
      <c r="A56" s="157" t="s">
        <v>422</v>
      </c>
      <c r="B56" s="126">
        <v>9.9377999999999994E-2</v>
      </c>
      <c r="C56" s="166"/>
      <c r="D56" s="166"/>
      <c r="E56" s="166"/>
      <c r="F56" s="166"/>
      <c r="G56" s="126">
        <v>3.9689999999999999</v>
      </c>
      <c r="H56" s="126">
        <v>3.734</v>
      </c>
      <c r="I56" s="126">
        <v>2.9830000000000001</v>
      </c>
      <c r="J56" s="126">
        <v>2.3239999999999998</v>
      </c>
      <c r="K56" s="126">
        <v>3.1440000000000001</v>
      </c>
    </row>
    <row r="57" spans="1:11" ht="15" customHeight="1" outlineLevel="2" x14ac:dyDescent="0.2">
      <c r="A57" s="161" t="s">
        <v>423</v>
      </c>
      <c r="B57" s="156">
        <v>3.7109999999999997E-2</v>
      </c>
      <c r="C57" s="156">
        <v>0.84599999999999997</v>
      </c>
      <c r="D57" s="156">
        <v>0.70399999999999996</v>
      </c>
      <c r="E57" s="156">
        <v>0.94599999999999995</v>
      </c>
      <c r="F57" s="156">
        <v>1.472</v>
      </c>
      <c r="G57" s="156">
        <v>1.724</v>
      </c>
      <c r="H57" s="156">
        <v>1.7490000000000001</v>
      </c>
      <c r="I57" s="156">
        <v>1.873</v>
      </c>
      <c r="J57" s="156">
        <v>2.621</v>
      </c>
      <c r="K57" s="156">
        <v>3.157</v>
      </c>
    </row>
    <row r="58" spans="1:11" ht="15" customHeight="1" outlineLevel="3" x14ac:dyDescent="0.2">
      <c r="A58" s="162" t="s">
        <v>424</v>
      </c>
      <c r="B58" s="126">
        <v>0</v>
      </c>
      <c r="C58" s="126">
        <v>0.84599999999999997</v>
      </c>
      <c r="D58" s="126">
        <v>0.70399999999999996</v>
      </c>
      <c r="E58" s="126">
        <v>0.94599999999999995</v>
      </c>
      <c r="F58" s="126">
        <v>1.472</v>
      </c>
      <c r="G58" s="126">
        <v>1.724</v>
      </c>
      <c r="H58" s="126">
        <v>1.7490000000000001</v>
      </c>
      <c r="I58" s="126">
        <v>1.873</v>
      </c>
      <c r="J58" s="126">
        <v>2.621</v>
      </c>
      <c r="K58" s="126">
        <v>3.157</v>
      </c>
    </row>
    <row r="59" spans="1:11" ht="15" customHeight="1" outlineLevel="3" x14ac:dyDescent="0.2">
      <c r="A59" s="163" t="s">
        <v>425</v>
      </c>
      <c r="B59" s="129">
        <v>3.7113E-2</v>
      </c>
      <c r="C59" s="165"/>
      <c r="D59" s="165"/>
      <c r="E59" s="165"/>
      <c r="F59" s="165"/>
      <c r="G59" s="165"/>
      <c r="H59" s="165"/>
      <c r="I59" s="165"/>
      <c r="J59" s="165"/>
      <c r="K59" s="165"/>
    </row>
    <row r="60" spans="1:11" ht="15" customHeight="1" outlineLevel="2" x14ac:dyDescent="0.2">
      <c r="A60" s="157" t="s">
        <v>426</v>
      </c>
      <c r="B60" s="126">
        <v>10.084796000000001</v>
      </c>
      <c r="C60" s="126">
        <v>11.608000000000001</v>
      </c>
      <c r="D60" s="126">
        <v>15.132</v>
      </c>
      <c r="E60" s="126">
        <v>21.241</v>
      </c>
      <c r="F60" s="126">
        <v>24.808</v>
      </c>
      <c r="G60" s="126">
        <v>41.046999999999997</v>
      </c>
      <c r="H60" s="126">
        <v>44.223999999999997</v>
      </c>
      <c r="I60" s="126">
        <v>43.16</v>
      </c>
      <c r="J60" s="126">
        <v>44.079000000000001</v>
      </c>
      <c r="K60" s="126">
        <v>56.307000000000002</v>
      </c>
    </row>
    <row r="61" spans="1:11" ht="15" customHeight="1" outlineLevel="1" x14ac:dyDescent="0.2">
      <c r="A61" s="155" t="s">
        <v>427</v>
      </c>
      <c r="B61" s="169"/>
      <c r="C61" s="169"/>
      <c r="D61" s="169"/>
      <c r="E61" s="169"/>
      <c r="F61" s="169"/>
      <c r="G61" s="169"/>
      <c r="H61" s="169"/>
      <c r="I61" s="169"/>
      <c r="J61" s="169"/>
      <c r="K61" s="169"/>
    </row>
    <row r="62" spans="1:11" ht="15" customHeight="1" outlineLevel="2" x14ac:dyDescent="0.2">
      <c r="A62" s="168" t="s">
        <v>428</v>
      </c>
      <c r="B62" s="160">
        <v>7.500127</v>
      </c>
      <c r="C62" s="160">
        <v>10.375999999999999</v>
      </c>
      <c r="D62" s="160">
        <v>15.605</v>
      </c>
      <c r="E62" s="160">
        <v>33.884999999999998</v>
      </c>
      <c r="F62" s="160">
        <v>41.493000000000002</v>
      </c>
      <c r="G62" s="160">
        <v>58.131</v>
      </c>
      <c r="H62" s="160">
        <v>58.359000000000002</v>
      </c>
      <c r="I62" s="160">
        <v>59.646000000000001</v>
      </c>
      <c r="J62" s="160">
        <v>61.173000000000002</v>
      </c>
      <c r="K62" s="160">
        <v>59.142000000000003</v>
      </c>
    </row>
    <row r="63" spans="1:11" ht="15" customHeight="1" outlineLevel="3" x14ac:dyDescent="0.2">
      <c r="A63" s="163" t="s">
        <v>429</v>
      </c>
      <c r="B63" s="129">
        <v>7.0799999999999997E-4</v>
      </c>
      <c r="C63" s="129">
        <v>1E-3</v>
      </c>
      <c r="D63" s="129">
        <v>1E-3</v>
      </c>
      <c r="E63" s="129">
        <v>1E-3</v>
      </c>
      <c r="F63" s="129">
        <v>1E-3</v>
      </c>
      <c r="G63" s="129">
        <v>1E-3</v>
      </c>
      <c r="H63" s="129">
        <v>1E-3</v>
      </c>
      <c r="I63" s="129">
        <v>1E-3</v>
      </c>
      <c r="J63" s="129">
        <v>1E-3</v>
      </c>
      <c r="K63" s="129">
        <v>1E-3</v>
      </c>
    </row>
    <row r="64" spans="1:11" ht="15" customHeight="1" outlineLevel="3" x14ac:dyDescent="0.2">
      <c r="A64" s="162" t="s">
        <v>430</v>
      </c>
      <c r="B64" s="126">
        <v>8.0401699999999998</v>
      </c>
      <c r="C64" s="126">
        <v>9.7520000000000007</v>
      </c>
      <c r="D64" s="126">
        <v>13.927</v>
      </c>
      <c r="E64" s="126">
        <v>32.116</v>
      </c>
      <c r="F64" s="126">
        <v>35.600999999999999</v>
      </c>
      <c r="G64" s="126">
        <v>50.918999999999997</v>
      </c>
      <c r="H64" s="126">
        <v>55.046999999999997</v>
      </c>
      <c r="I64" s="126">
        <v>59.841000000000001</v>
      </c>
      <c r="J64" s="126">
        <v>64.575999999999993</v>
      </c>
      <c r="K64" s="126">
        <v>68.834999999999994</v>
      </c>
    </row>
    <row r="65" spans="1:11" ht="15" customHeight="1" outlineLevel="3" x14ac:dyDescent="0.2">
      <c r="A65" s="163" t="s">
        <v>431</v>
      </c>
      <c r="B65" s="164">
        <v>-0.46490999999999999</v>
      </c>
      <c r="C65" s="129">
        <v>0.63500000000000001</v>
      </c>
      <c r="D65" s="129">
        <v>1.7350000000000001</v>
      </c>
      <c r="E65" s="129">
        <v>1.861</v>
      </c>
      <c r="F65" s="129">
        <v>5.9329999999999998</v>
      </c>
      <c r="G65" s="129">
        <v>7.3769999999999998</v>
      </c>
      <c r="H65" s="129">
        <v>7.585</v>
      </c>
      <c r="I65" s="129">
        <v>11.721</v>
      </c>
      <c r="J65" s="129">
        <v>16.369</v>
      </c>
      <c r="K65" s="129">
        <v>22.221</v>
      </c>
    </row>
    <row r="66" spans="1:11" ht="15" customHeight="1" outlineLevel="3" x14ac:dyDescent="0.2">
      <c r="A66" s="162" t="s">
        <v>432</v>
      </c>
      <c r="B66" s="170">
        <v>-7.5841000000000006E-2</v>
      </c>
      <c r="C66" s="170">
        <v>-1.2E-2</v>
      </c>
      <c r="D66" s="170">
        <v>-5.8000000000000003E-2</v>
      </c>
      <c r="E66" s="170">
        <v>-9.2999999999999999E-2</v>
      </c>
      <c r="F66" s="170">
        <v>-4.2000000000000003E-2</v>
      </c>
      <c r="G66" s="170">
        <v>-0.16600000000000001</v>
      </c>
      <c r="H66" s="170">
        <v>-0.27400000000000002</v>
      </c>
      <c r="I66" s="170">
        <v>-0.22500000000000001</v>
      </c>
      <c r="J66" s="170">
        <v>-0.26600000000000001</v>
      </c>
      <c r="K66" s="126">
        <v>0.313</v>
      </c>
    </row>
    <row r="67" spans="1:11" ht="15" customHeight="1" outlineLevel="3" x14ac:dyDescent="0.2">
      <c r="A67" s="163" t="s">
        <v>433</v>
      </c>
      <c r="B67" s="129">
        <v>0</v>
      </c>
      <c r="C67" s="129">
        <v>0</v>
      </c>
      <c r="D67" s="129">
        <v>0</v>
      </c>
      <c r="E67" s="129">
        <v>0</v>
      </c>
      <c r="F67" s="129">
        <v>0</v>
      </c>
      <c r="G67" s="129">
        <v>0</v>
      </c>
      <c r="H67" s="164">
        <v>-4</v>
      </c>
      <c r="I67" s="164">
        <v>-11.692</v>
      </c>
      <c r="J67" s="164">
        <v>-19.507000000000001</v>
      </c>
      <c r="K67" s="164">
        <v>-32.228000000000002</v>
      </c>
    </row>
    <row r="68" spans="1:11" ht="15" customHeight="1" outlineLevel="2" x14ac:dyDescent="0.2">
      <c r="A68" s="157" t="s">
        <v>434</v>
      </c>
      <c r="B68" s="126">
        <v>7.500127</v>
      </c>
      <c r="C68" s="126">
        <v>10.375999999999999</v>
      </c>
      <c r="D68" s="126">
        <v>15.605</v>
      </c>
      <c r="E68" s="126">
        <v>33.884999999999998</v>
      </c>
      <c r="F68" s="126">
        <v>41.493000000000002</v>
      </c>
      <c r="G68" s="126">
        <v>58.131</v>
      </c>
      <c r="H68" s="126">
        <v>58.359000000000002</v>
      </c>
      <c r="I68" s="126">
        <v>59.646000000000001</v>
      </c>
      <c r="J68" s="126">
        <v>61.173000000000002</v>
      </c>
      <c r="K68" s="126">
        <v>59.142000000000003</v>
      </c>
    </row>
    <row r="69" spans="1:11" ht="15" customHeight="1" outlineLevel="2" x14ac:dyDescent="0.2">
      <c r="A69" s="158" t="s">
        <v>435</v>
      </c>
      <c r="B69" s="129">
        <v>7.500127</v>
      </c>
      <c r="C69" s="129">
        <v>10.375999999999999</v>
      </c>
      <c r="D69" s="129">
        <v>15.605</v>
      </c>
      <c r="E69" s="129">
        <v>33.884999999999998</v>
      </c>
      <c r="F69" s="129">
        <v>41.493000000000002</v>
      </c>
      <c r="G69" s="129">
        <v>58.131</v>
      </c>
      <c r="H69" s="129">
        <v>58.359000000000002</v>
      </c>
      <c r="I69" s="129">
        <v>59.646000000000001</v>
      </c>
      <c r="J69" s="129">
        <v>61.173000000000002</v>
      </c>
      <c r="K69" s="129">
        <v>59.142000000000003</v>
      </c>
    </row>
    <row r="70" spans="1:11" ht="15" customHeight="1" outlineLevel="1" x14ac:dyDescent="0.2">
      <c r="A70" s="167" t="s">
        <v>436</v>
      </c>
      <c r="B70" s="126">
        <v>17.584923</v>
      </c>
      <c r="C70" s="126">
        <v>21.984000000000002</v>
      </c>
      <c r="D70" s="126">
        <v>30.736999999999998</v>
      </c>
      <c r="E70" s="126">
        <v>55.125999999999998</v>
      </c>
      <c r="F70" s="126">
        <v>66.301000000000002</v>
      </c>
      <c r="G70" s="126">
        <v>99.177999999999997</v>
      </c>
      <c r="H70" s="126">
        <v>102.583</v>
      </c>
      <c r="I70" s="126">
        <v>102.806</v>
      </c>
      <c r="J70" s="126">
        <v>105.252</v>
      </c>
      <c r="K70" s="126">
        <v>115.449</v>
      </c>
    </row>
    <row r="71" spans="1:11" ht="15" customHeight="1" x14ac:dyDescent="0.2">
      <c r="A71" s="169" t="s">
        <v>437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</row>
    <row r="72" spans="1:11" ht="15" customHeight="1" outlineLevel="1" x14ac:dyDescent="0.2">
      <c r="A72" s="167" t="s">
        <v>438</v>
      </c>
      <c r="B72" s="126">
        <v>10.60149</v>
      </c>
      <c r="C72" s="126">
        <v>14.213699999999999</v>
      </c>
      <c r="D72" s="126">
        <v>20.26623</v>
      </c>
      <c r="E72" s="126">
        <v>37.945129999999999</v>
      </c>
      <c r="F72" s="126">
        <v>45.15016</v>
      </c>
      <c r="G72" s="126">
        <v>58.777549999999998</v>
      </c>
      <c r="H72" s="126">
        <v>57.838450000000002</v>
      </c>
      <c r="I72" s="126">
        <v>61.427390000000003</v>
      </c>
      <c r="J72" s="126">
        <v>63.589399999999998</v>
      </c>
      <c r="K72" s="126">
        <v>63.661999999999999</v>
      </c>
    </row>
    <row r="73" spans="1:11" ht="15" customHeight="1" outlineLevel="1" x14ac:dyDescent="0.2">
      <c r="A73" s="171" t="s">
        <v>439</v>
      </c>
      <c r="B73" s="164">
        <v>-1.495458</v>
      </c>
      <c r="C73" s="129">
        <v>2.8616440000000001</v>
      </c>
      <c r="D73" s="129">
        <v>0.88181799999999999</v>
      </c>
      <c r="E73" s="129">
        <v>4.5095179999999999</v>
      </c>
      <c r="F73" s="129">
        <v>12.035909</v>
      </c>
      <c r="G73" s="129">
        <v>1.229525</v>
      </c>
      <c r="H73" s="129">
        <v>2.64222</v>
      </c>
      <c r="I73" s="129">
        <v>5.91967</v>
      </c>
      <c r="J73" s="129">
        <v>5.6777550000000003</v>
      </c>
      <c r="K73" s="164">
        <v>-6.0430570000000001</v>
      </c>
    </row>
    <row r="74" spans="1:11" ht="15" customHeight="1" x14ac:dyDescent="0.2">
      <c r="A74" s="172" t="s">
        <v>440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K59"/>
  <sheetViews>
    <sheetView zoomScaleNormal="100" workbookViewId="0">
      <selection activeCell="A2" sqref="A2"/>
    </sheetView>
  </sheetViews>
  <sheetFormatPr defaultColWidth="9.140625" defaultRowHeight="12.75" outlineLevelRow="3" x14ac:dyDescent="0.2"/>
  <cols>
    <col min="1" max="1" width="51.7109375" customWidth="1"/>
    <col min="2" max="2" width="7.85546875" customWidth="1"/>
    <col min="3" max="3" width="8" customWidth="1"/>
    <col min="4" max="7" width="7.85546875" customWidth="1"/>
    <col min="8" max="8" width="8.42578125" customWidth="1"/>
    <col min="9" max="11" width="7.85546875" customWidth="1"/>
  </cols>
  <sheetData>
    <row r="2" spans="1:11" ht="15" customHeight="1" x14ac:dyDescent="0.25">
      <c r="A2" s="248" t="s">
        <v>368</v>
      </c>
    </row>
    <row r="3" spans="1:11" ht="1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5" spans="1:11" ht="15" customHeight="1" x14ac:dyDescent="0.2">
      <c r="A5" s="246" t="s">
        <v>369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</row>
    <row r="6" spans="1:11" ht="15" customHeight="1" x14ac:dyDescent="0.2">
      <c r="A6" s="246" t="s">
        <v>370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</row>
    <row r="7" spans="1:11" ht="15" customHeight="1" x14ac:dyDescent="0.2">
      <c r="A7" s="246" t="s">
        <v>371</v>
      </c>
      <c r="B7" s="246"/>
      <c r="C7" s="246"/>
      <c r="D7" s="246"/>
      <c r="E7" s="246"/>
      <c r="F7" s="246"/>
      <c r="G7" s="246"/>
      <c r="H7" s="246"/>
      <c r="I7" s="246"/>
      <c r="J7" s="246"/>
      <c r="K7" s="246"/>
    </row>
    <row r="8" spans="1:11" ht="15" customHeight="1" x14ac:dyDescent="0.2">
      <c r="A8" s="246"/>
      <c r="B8" s="246" t="s">
        <v>372</v>
      </c>
      <c r="C8" s="246" t="s">
        <v>373</v>
      </c>
      <c r="D8" s="246" t="s">
        <v>374</v>
      </c>
      <c r="E8" s="246" t="s">
        <v>375</v>
      </c>
      <c r="F8" s="246" t="s">
        <v>262</v>
      </c>
      <c r="G8" s="246" t="s">
        <v>263</v>
      </c>
      <c r="H8" s="246" t="s">
        <v>264</v>
      </c>
      <c r="I8" s="246" t="s">
        <v>265</v>
      </c>
      <c r="J8" s="246" t="s">
        <v>266</v>
      </c>
      <c r="K8" s="246" t="s">
        <v>267</v>
      </c>
    </row>
    <row r="9" spans="1:11" ht="15" customHeight="1" x14ac:dyDescent="0.2">
      <c r="A9" s="246"/>
      <c r="B9" s="246"/>
      <c r="C9" s="246" t="s">
        <v>376</v>
      </c>
      <c r="D9" s="246"/>
      <c r="E9" s="246"/>
      <c r="F9" s="246"/>
      <c r="G9" s="246"/>
      <c r="H9" s="246"/>
      <c r="I9" s="246"/>
      <c r="J9" s="246"/>
      <c r="K9" s="246"/>
    </row>
    <row r="10" spans="1:11" ht="15" customHeight="1" x14ac:dyDescent="0.2">
      <c r="A10" s="154" t="s">
        <v>356</v>
      </c>
      <c r="B10" s="173">
        <v>8391.9840000000004</v>
      </c>
      <c r="C10" s="173">
        <v>10540</v>
      </c>
      <c r="D10" s="173">
        <v>13282</v>
      </c>
      <c r="E10" s="173">
        <v>17098</v>
      </c>
      <c r="F10" s="173">
        <v>21252</v>
      </c>
      <c r="G10" s="173">
        <v>26492</v>
      </c>
      <c r="H10" s="173">
        <v>31352</v>
      </c>
      <c r="I10" s="173">
        <v>34857</v>
      </c>
      <c r="J10" s="173">
        <v>37895</v>
      </c>
      <c r="K10" s="173">
        <v>41525</v>
      </c>
    </row>
    <row r="11" spans="1:11" ht="15" customHeight="1" outlineLevel="1" x14ac:dyDescent="0.2">
      <c r="A11" s="155" t="s">
        <v>441</v>
      </c>
      <c r="B11" s="174">
        <v>2334.1309999999999</v>
      </c>
      <c r="C11" s="174">
        <v>2894</v>
      </c>
      <c r="D11" s="174">
        <v>3683</v>
      </c>
      <c r="E11" s="174">
        <v>4587</v>
      </c>
      <c r="F11" s="174">
        <v>5897</v>
      </c>
      <c r="G11" s="174">
        <v>7753</v>
      </c>
      <c r="H11" s="174">
        <v>9276</v>
      </c>
      <c r="I11" s="174">
        <v>9432</v>
      </c>
      <c r="J11" s="174">
        <v>9544</v>
      </c>
      <c r="K11" s="174">
        <v>10265</v>
      </c>
    </row>
    <row r="12" spans="1:11" ht="15" customHeight="1" outlineLevel="2" x14ac:dyDescent="0.2">
      <c r="A12" s="157" t="s">
        <v>442</v>
      </c>
      <c r="B12" s="175">
        <v>1701.886</v>
      </c>
      <c r="C12" s="175">
        <v>2141</v>
      </c>
      <c r="D12" s="175">
        <v>2721</v>
      </c>
      <c r="E12" s="175">
        <v>2452</v>
      </c>
      <c r="F12" s="175">
        <v>3051</v>
      </c>
      <c r="G12" s="175">
        <v>4455</v>
      </c>
      <c r="H12" s="175">
        <v>5490</v>
      </c>
      <c r="I12" s="175">
        <v>5473</v>
      </c>
      <c r="J12" s="175">
        <v>6067</v>
      </c>
      <c r="K12" s="175">
        <v>6634</v>
      </c>
    </row>
    <row r="13" spans="1:11" ht="15" customHeight="1" outlineLevel="2" x14ac:dyDescent="0.2">
      <c r="A13" s="161" t="s">
        <v>443</v>
      </c>
      <c r="B13" s="174">
        <v>632.245</v>
      </c>
      <c r="C13" s="174">
        <v>753</v>
      </c>
      <c r="D13" s="174">
        <v>962</v>
      </c>
      <c r="E13" s="174">
        <v>2135</v>
      </c>
      <c r="F13" s="174">
        <v>2846</v>
      </c>
      <c r="G13" s="174">
        <v>3298</v>
      </c>
      <c r="H13" s="174">
        <v>3786</v>
      </c>
      <c r="I13" s="174">
        <v>3959</v>
      </c>
      <c r="J13" s="174">
        <v>3477</v>
      </c>
      <c r="K13" s="174">
        <v>3631</v>
      </c>
    </row>
    <row r="14" spans="1:11" ht="15" customHeight="1" outlineLevel="3" x14ac:dyDescent="0.2">
      <c r="A14" s="162" t="s">
        <v>444</v>
      </c>
      <c r="B14" s="175">
        <v>323.37700000000001</v>
      </c>
      <c r="C14" s="175">
        <v>466</v>
      </c>
      <c r="D14" s="175">
        <v>515</v>
      </c>
      <c r="E14" s="175">
        <v>1343</v>
      </c>
      <c r="F14" s="175">
        <v>1746</v>
      </c>
      <c r="G14" s="175">
        <v>1698</v>
      </c>
      <c r="H14" s="175">
        <v>1786</v>
      </c>
      <c r="I14" s="175">
        <v>2059</v>
      </c>
      <c r="J14" s="175">
        <v>1877</v>
      </c>
      <c r="K14" s="175">
        <v>1931</v>
      </c>
    </row>
    <row r="15" spans="1:11" ht="15" customHeight="1" outlineLevel="3" x14ac:dyDescent="0.2">
      <c r="A15" s="163" t="s">
        <v>445</v>
      </c>
      <c r="B15" s="176">
        <v>308.86799999999999</v>
      </c>
      <c r="C15" s="176">
        <v>287</v>
      </c>
      <c r="D15" s="176">
        <v>447</v>
      </c>
      <c r="E15" s="176">
        <v>792</v>
      </c>
      <c r="F15" s="176">
        <v>1100</v>
      </c>
      <c r="G15" s="176">
        <v>1600</v>
      </c>
      <c r="H15" s="176">
        <v>2000</v>
      </c>
      <c r="I15" s="176">
        <v>1900</v>
      </c>
      <c r="J15" s="176">
        <v>1600</v>
      </c>
      <c r="K15" s="176">
        <v>1700</v>
      </c>
    </row>
    <row r="16" spans="1:11" ht="15" customHeight="1" x14ac:dyDescent="0.2">
      <c r="A16" s="154" t="s">
        <v>446</v>
      </c>
      <c r="B16" s="173">
        <v>6057.8530000000001</v>
      </c>
      <c r="C16" s="173">
        <v>7646</v>
      </c>
      <c r="D16" s="173">
        <v>9599</v>
      </c>
      <c r="E16" s="173">
        <v>12511</v>
      </c>
      <c r="F16" s="173">
        <v>15355</v>
      </c>
      <c r="G16" s="173">
        <v>18739</v>
      </c>
      <c r="H16" s="173">
        <v>22076</v>
      </c>
      <c r="I16" s="173">
        <v>25425</v>
      </c>
      <c r="J16" s="173">
        <v>28351</v>
      </c>
      <c r="K16" s="173">
        <v>31260</v>
      </c>
    </row>
    <row r="17" spans="1:11" ht="15" customHeight="1" outlineLevel="1" x14ac:dyDescent="0.2">
      <c r="A17" s="155" t="s">
        <v>447</v>
      </c>
      <c r="B17" s="174">
        <v>5980.616</v>
      </c>
      <c r="C17" s="174">
        <v>7192</v>
      </c>
      <c r="D17" s="174">
        <v>9037</v>
      </c>
      <c r="E17" s="174">
        <v>12008</v>
      </c>
      <c r="F17" s="174">
        <v>14900</v>
      </c>
      <c r="G17" s="174">
        <v>18191</v>
      </c>
      <c r="H17" s="174">
        <v>20218</v>
      </c>
      <c r="I17" s="174">
        <v>19426</v>
      </c>
      <c r="J17" s="174">
        <v>20685</v>
      </c>
      <c r="K17" s="174">
        <v>22343</v>
      </c>
    </row>
    <row r="18" spans="1:11" ht="15" customHeight="1" outlineLevel="2" x14ac:dyDescent="0.2">
      <c r="A18" s="157" t="s">
        <v>448</v>
      </c>
      <c r="B18" s="175">
        <v>1208.127</v>
      </c>
      <c r="C18" s="175">
        <v>1553</v>
      </c>
      <c r="D18" s="175">
        <v>1886</v>
      </c>
      <c r="E18" s="175">
        <v>2766</v>
      </c>
      <c r="F18" s="175">
        <v>3598</v>
      </c>
      <c r="G18" s="175">
        <v>4465</v>
      </c>
      <c r="H18" s="175">
        <v>5055</v>
      </c>
      <c r="I18" s="175">
        <v>4906</v>
      </c>
      <c r="J18" s="175">
        <v>5493</v>
      </c>
      <c r="K18" s="175">
        <v>5993</v>
      </c>
    </row>
    <row r="19" spans="1:11" ht="15" customHeight="1" outlineLevel="2" x14ac:dyDescent="0.2">
      <c r="A19" s="158" t="s">
        <v>449</v>
      </c>
      <c r="B19" s="176">
        <v>4772.4889999999996</v>
      </c>
      <c r="C19" s="176">
        <v>5639</v>
      </c>
      <c r="D19" s="176">
        <v>7151</v>
      </c>
      <c r="E19" s="176">
        <v>9242</v>
      </c>
      <c r="F19" s="176">
        <v>11302</v>
      </c>
      <c r="G19" s="176">
        <v>13726</v>
      </c>
      <c r="H19" s="176">
        <v>15163</v>
      </c>
      <c r="I19" s="176">
        <v>14520</v>
      </c>
      <c r="J19" s="176">
        <v>15192</v>
      </c>
      <c r="K19" s="176">
        <v>16350</v>
      </c>
    </row>
    <row r="20" spans="1:11" ht="15" customHeight="1" x14ac:dyDescent="0.2">
      <c r="A20" s="154" t="s">
        <v>450</v>
      </c>
      <c r="B20" s="173">
        <v>77.236999999999995</v>
      </c>
      <c r="C20" s="173">
        <v>454</v>
      </c>
      <c r="D20" s="173">
        <v>562</v>
      </c>
      <c r="E20" s="173">
        <v>503</v>
      </c>
      <c r="F20" s="173">
        <v>455</v>
      </c>
      <c r="G20" s="173">
        <v>548</v>
      </c>
      <c r="H20" s="173">
        <v>1858</v>
      </c>
      <c r="I20" s="173">
        <v>5999</v>
      </c>
      <c r="J20" s="173">
        <v>7666</v>
      </c>
      <c r="K20" s="173">
        <v>8917</v>
      </c>
    </row>
    <row r="21" spans="1:11" ht="15" customHeight="1" outlineLevel="1" x14ac:dyDescent="0.2">
      <c r="A21" s="155" t="s">
        <v>451</v>
      </c>
      <c r="B21" s="174">
        <v>138.87299999999999</v>
      </c>
      <c r="C21" s="174">
        <v>38</v>
      </c>
      <c r="D21" s="174">
        <v>568</v>
      </c>
      <c r="E21" s="174">
        <v>549</v>
      </c>
      <c r="F21" s="174">
        <v>2232</v>
      </c>
      <c r="G21" s="174">
        <v>286</v>
      </c>
      <c r="H21" s="174">
        <v>227</v>
      </c>
      <c r="I21" s="174">
        <v>257</v>
      </c>
      <c r="J21" s="174">
        <v>745</v>
      </c>
      <c r="K21" s="174">
        <v>543</v>
      </c>
    </row>
    <row r="22" spans="1:11" ht="15" customHeight="1" outlineLevel="2" x14ac:dyDescent="0.2">
      <c r="A22" s="157" t="s">
        <v>452</v>
      </c>
      <c r="B22" s="175">
        <v>21.901</v>
      </c>
      <c r="C22" s="175">
        <v>37</v>
      </c>
      <c r="D22" s="175">
        <v>61</v>
      </c>
      <c r="E22" s="175">
        <v>117</v>
      </c>
      <c r="F22" s="175">
        <v>0</v>
      </c>
      <c r="G22" s="175">
        <v>0</v>
      </c>
      <c r="H22" s="175">
        <v>0</v>
      </c>
      <c r="I22" s="175">
        <v>0</v>
      </c>
      <c r="J22" s="175">
        <v>0</v>
      </c>
      <c r="K22" s="175">
        <v>539</v>
      </c>
    </row>
    <row r="23" spans="1:11" ht="15" customHeight="1" outlineLevel="2" x14ac:dyDescent="0.2">
      <c r="A23" s="158" t="s">
        <v>453</v>
      </c>
      <c r="B23" s="176">
        <v>116.97199999999999</v>
      </c>
      <c r="C23" s="176">
        <v>1</v>
      </c>
      <c r="D23" s="176">
        <v>507</v>
      </c>
      <c r="E23" s="176">
        <v>432</v>
      </c>
      <c r="F23" s="176">
        <v>2232</v>
      </c>
      <c r="G23" s="176">
        <v>286</v>
      </c>
      <c r="H23" s="176">
        <v>227</v>
      </c>
      <c r="I23" s="176">
        <v>257</v>
      </c>
      <c r="J23" s="176">
        <v>745</v>
      </c>
      <c r="K23" s="176">
        <v>4</v>
      </c>
    </row>
    <row r="24" spans="1:11" ht="15" customHeight="1" outlineLevel="1" x14ac:dyDescent="0.2">
      <c r="A24" s="159" t="s">
        <v>112</v>
      </c>
      <c r="B24" s="173">
        <v>88.988</v>
      </c>
      <c r="C24" s="173">
        <v>87</v>
      </c>
      <c r="D24" s="173">
        <v>154</v>
      </c>
      <c r="E24" s="173">
        <v>131</v>
      </c>
      <c r="F24" s="173">
        <v>126</v>
      </c>
      <c r="G24" s="173">
        <v>220</v>
      </c>
      <c r="H24" s="173">
        <v>287</v>
      </c>
      <c r="I24" s="154"/>
      <c r="J24" s="173">
        <v>272</v>
      </c>
      <c r="K24" s="173">
        <v>324</v>
      </c>
    </row>
    <row r="25" spans="1:11" ht="15" customHeight="1" outlineLevel="2" x14ac:dyDescent="0.2">
      <c r="A25" s="158" t="s">
        <v>63</v>
      </c>
      <c r="B25" s="176">
        <v>88.988</v>
      </c>
      <c r="C25" s="176">
        <v>87</v>
      </c>
      <c r="D25" s="176">
        <v>154</v>
      </c>
      <c r="E25" s="176">
        <v>131</v>
      </c>
      <c r="F25" s="176">
        <v>126</v>
      </c>
      <c r="G25" s="176">
        <v>220</v>
      </c>
      <c r="H25" s="176">
        <v>287</v>
      </c>
      <c r="I25" s="165"/>
      <c r="J25" s="176">
        <v>272</v>
      </c>
      <c r="K25" s="176">
        <v>324</v>
      </c>
    </row>
    <row r="26" spans="1:11" ht="15" customHeight="1" outlineLevel="1" x14ac:dyDescent="0.2">
      <c r="A26" s="159" t="s">
        <v>454</v>
      </c>
      <c r="B26" s="173">
        <v>101.739</v>
      </c>
      <c r="C26" s="173">
        <v>-15</v>
      </c>
      <c r="D26" s="173">
        <v>-7</v>
      </c>
      <c r="E26" s="173">
        <v>215</v>
      </c>
      <c r="F26" s="173">
        <v>0</v>
      </c>
      <c r="G26" s="173">
        <v>-918</v>
      </c>
      <c r="H26" s="173">
        <v>1138</v>
      </c>
      <c r="I26" s="173">
        <v>1306</v>
      </c>
      <c r="J26" s="173">
        <v>701</v>
      </c>
      <c r="K26" s="173">
        <v>-384</v>
      </c>
    </row>
    <row r="27" spans="1:11" ht="15" customHeight="1" outlineLevel="2" x14ac:dyDescent="0.2">
      <c r="A27" s="161" t="s">
        <v>455</v>
      </c>
      <c r="B27" s="169"/>
      <c r="C27" s="169"/>
      <c r="D27" s="169"/>
      <c r="E27" s="169"/>
      <c r="F27" s="169"/>
      <c r="G27" s="174">
        <v>51</v>
      </c>
      <c r="H27" s="174">
        <v>491</v>
      </c>
      <c r="I27" s="174">
        <v>466</v>
      </c>
      <c r="J27" s="174">
        <v>582</v>
      </c>
      <c r="K27" s="174">
        <v>496</v>
      </c>
    </row>
    <row r="28" spans="1:11" ht="15" customHeight="1" outlineLevel="3" x14ac:dyDescent="0.2">
      <c r="A28" s="162" t="s">
        <v>456</v>
      </c>
      <c r="B28" s="166"/>
      <c r="C28" s="166"/>
      <c r="D28" s="166"/>
      <c r="E28" s="166"/>
      <c r="F28" s="166"/>
      <c r="G28" s="175">
        <v>51</v>
      </c>
      <c r="H28" s="175">
        <v>491</v>
      </c>
      <c r="I28" s="175">
        <v>466</v>
      </c>
      <c r="J28" s="175">
        <v>582</v>
      </c>
      <c r="K28" s="175">
        <v>496</v>
      </c>
    </row>
    <row r="29" spans="1:11" ht="15" customHeight="1" outlineLevel="2" x14ac:dyDescent="0.2">
      <c r="A29" s="158" t="s">
        <v>457</v>
      </c>
      <c r="B29" s="176">
        <v>15.5</v>
      </c>
      <c r="C29" s="176">
        <v>0</v>
      </c>
      <c r="D29" s="176">
        <v>27</v>
      </c>
      <c r="E29" s="176">
        <v>40</v>
      </c>
      <c r="F29" s="176">
        <v>0</v>
      </c>
      <c r="G29" s="176">
        <v>0</v>
      </c>
      <c r="H29" s="176">
        <v>828</v>
      </c>
      <c r="I29" s="176">
        <v>988</v>
      </c>
      <c r="J29" s="176">
        <v>461</v>
      </c>
      <c r="K29" s="176">
        <v>586</v>
      </c>
    </row>
    <row r="30" spans="1:11" ht="15" customHeight="1" outlineLevel="2" x14ac:dyDescent="0.2">
      <c r="A30" s="168" t="s">
        <v>458</v>
      </c>
      <c r="B30" s="173">
        <v>-86.239000000000004</v>
      </c>
      <c r="C30" s="173">
        <v>15</v>
      </c>
      <c r="D30" s="173">
        <v>34</v>
      </c>
      <c r="E30" s="173">
        <v>-9</v>
      </c>
      <c r="F30" s="154"/>
      <c r="G30" s="173">
        <v>969</v>
      </c>
      <c r="H30" s="173">
        <v>181</v>
      </c>
      <c r="I30" s="173">
        <v>148</v>
      </c>
      <c r="J30" s="173">
        <v>342</v>
      </c>
      <c r="K30" s="173">
        <v>1466</v>
      </c>
    </row>
    <row r="31" spans="1:11" ht="15" customHeight="1" outlineLevel="3" x14ac:dyDescent="0.2">
      <c r="A31" s="163" t="s">
        <v>459</v>
      </c>
      <c r="B31" s="165"/>
      <c r="C31" s="165"/>
      <c r="D31" s="165"/>
      <c r="E31" s="165"/>
      <c r="F31" s="165"/>
      <c r="G31" s="165"/>
      <c r="H31" s="165"/>
      <c r="I31" s="176">
        <v>148</v>
      </c>
      <c r="J31" s="176">
        <v>342</v>
      </c>
      <c r="K31" s="176">
        <v>1466</v>
      </c>
    </row>
    <row r="32" spans="1:11" ht="15" customHeight="1" outlineLevel="3" x14ac:dyDescent="0.2">
      <c r="A32" s="162" t="s">
        <v>460</v>
      </c>
      <c r="B32" s="177">
        <v>-86.239000000000004</v>
      </c>
      <c r="C32" s="175">
        <v>15</v>
      </c>
      <c r="D32" s="175">
        <v>34</v>
      </c>
      <c r="E32" s="177">
        <v>-9</v>
      </c>
      <c r="F32" s="166"/>
      <c r="G32" s="175">
        <v>969</v>
      </c>
      <c r="H32" s="175">
        <v>181</v>
      </c>
      <c r="I32" s="166"/>
      <c r="J32" s="166"/>
      <c r="K32" s="166"/>
    </row>
    <row r="33" spans="1:11" ht="15" customHeight="1" outlineLevel="2" x14ac:dyDescent="0.2">
      <c r="A33" s="161" t="s">
        <v>461</v>
      </c>
      <c r="B33" s="174">
        <v>0</v>
      </c>
      <c r="C33" s="169"/>
      <c r="D33" s="169"/>
      <c r="E33" s="174">
        <v>166</v>
      </c>
      <c r="F33" s="174">
        <v>0</v>
      </c>
      <c r="G33" s="174">
        <v>0</v>
      </c>
      <c r="H33" s="169"/>
      <c r="I33" s="169"/>
      <c r="J33" s="169"/>
      <c r="K33" s="169"/>
    </row>
    <row r="34" spans="1:11" ht="15" customHeight="1" outlineLevel="3" x14ac:dyDescent="0.2">
      <c r="A34" s="162" t="s">
        <v>462</v>
      </c>
      <c r="B34" s="175">
        <v>0</v>
      </c>
      <c r="C34" s="166"/>
      <c r="D34" s="166"/>
      <c r="E34" s="175">
        <v>166</v>
      </c>
      <c r="F34" s="175">
        <v>0</v>
      </c>
      <c r="G34" s="175">
        <v>0</v>
      </c>
      <c r="H34" s="166"/>
      <c r="I34" s="166"/>
      <c r="J34" s="166"/>
      <c r="K34" s="166"/>
    </row>
    <row r="35" spans="1:11" ht="15" customHeight="1" x14ac:dyDescent="0.2">
      <c r="A35" s="169" t="s">
        <v>78</v>
      </c>
      <c r="B35" s="174">
        <v>25.382999999999999</v>
      </c>
      <c r="C35" s="174">
        <v>420</v>
      </c>
      <c r="D35" s="174">
        <v>983</v>
      </c>
      <c r="E35" s="174">
        <v>706</v>
      </c>
      <c r="F35" s="174">
        <v>2561</v>
      </c>
      <c r="G35" s="174">
        <v>1532</v>
      </c>
      <c r="H35" s="174">
        <v>660</v>
      </c>
      <c r="I35" s="174">
        <v>4950</v>
      </c>
      <c r="J35" s="174">
        <v>7438</v>
      </c>
      <c r="K35" s="174">
        <v>9520</v>
      </c>
    </row>
    <row r="36" spans="1:11" ht="15" customHeight="1" outlineLevel="1" x14ac:dyDescent="0.2">
      <c r="A36" s="159" t="s">
        <v>463</v>
      </c>
      <c r="B36" s="173">
        <v>-154.249</v>
      </c>
      <c r="C36" s="173">
        <v>60</v>
      </c>
      <c r="D36" s="173">
        <v>-127</v>
      </c>
      <c r="E36" s="173">
        <v>580</v>
      </c>
      <c r="F36" s="173">
        <v>-1511</v>
      </c>
      <c r="G36" s="173">
        <v>88</v>
      </c>
      <c r="H36" s="173">
        <v>452</v>
      </c>
      <c r="I36" s="173">
        <v>814</v>
      </c>
      <c r="J36" s="173">
        <v>1241</v>
      </c>
      <c r="K36" s="173">
        <v>2063</v>
      </c>
    </row>
    <row r="37" spans="1:11" ht="15" customHeight="1" outlineLevel="2" x14ac:dyDescent="0.2">
      <c r="A37" s="158" t="s">
        <v>464</v>
      </c>
      <c r="B37" s="176">
        <v>4.7789999999999999</v>
      </c>
      <c r="C37" s="178">
        <v>-5</v>
      </c>
      <c r="D37" s="176">
        <v>39</v>
      </c>
      <c r="E37" s="176">
        <v>545</v>
      </c>
      <c r="F37" s="176">
        <v>291</v>
      </c>
      <c r="G37" s="178">
        <v>-10</v>
      </c>
      <c r="H37" s="176">
        <v>389</v>
      </c>
      <c r="I37" s="176">
        <v>1139</v>
      </c>
      <c r="J37" s="176">
        <v>1529</v>
      </c>
      <c r="K37" s="176">
        <v>485</v>
      </c>
    </row>
    <row r="38" spans="1:11" ht="15" customHeight="1" outlineLevel="2" x14ac:dyDescent="0.2">
      <c r="A38" s="157" t="s">
        <v>465</v>
      </c>
      <c r="B38" s="175">
        <v>71.878</v>
      </c>
      <c r="C38" s="175">
        <v>85</v>
      </c>
      <c r="D38" s="175">
        <v>117</v>
      </c>
      <c r="E38" s="175">
        <v>8</v>
      </c>
      <c r="F38" s="177">
        <v>-12</v>
      </c>
      <c r="G38" s="175">
        <v>352</v>
      </c>
      <c r="H38" s="175">
        <v>397</v>
      </c>
      <c r="I38" s="175">
        <v>417</v>
      </c>
      <c r="J38" s="175">
        <v>925</v>
      </c>
      <c r="K38" s="175">
        <v>619</v>
      </c>
    </row>
    <row r="39" spans="1:11" ht="15" customHeight="1" outlineLevel="2" x14ac:dyDescent="0.2">
      <c r="A39" s="158" t="s">
        <v>466</v>
      </c>
      <c r="B39" s="178">
        <v>-218.65600000000001</v>
      </c>
      <c r="C39" s="178">
        <v>-16</v>
      </c>
      <c r="D39" s="178">
        <v>-285</v>
      </c>
      <c r="E39" s="178">
        <v>-33</v>
      </c>
      <c r="F39" s="176">
        <v>294</v>
      </c>
      <c r="G39" s="178">
        <v>-238</v>
      </c>
      <c r="H39" s="178">
        <v>-337</v>
      </c>
      <c r="I39" s="178">
        <v>-822</v>
      </c>
      <c r="J39" s="178">
        <v>-1149</v>
      </c>
      <c r="K39" s="176">
        <v>739</v>
      </c>
    </row>
    <row r="40" spans="1:11" ht="15" customHeight="1" outlineLevel="2" x14ac:dyDescent="0.2">
      <c r="A40" s="157" t="s">
        <v>467</v>
      </c>
      <c r="B40" s="177">
        <v>-12.25</v>
      </c>
      <c r="C40" s="177">
        <v>-4</v>
      </c>
      <c r="D40" s="175">
        <v>2</v>
      </c>
      <c r="E40" s="175">
        <v>60</v>
      </c>
      <c r="F40" s="177">
        <v>-2084</v>
      </c>
      <c r="G40" s="177">
        <v>-16</v>
      </c>
      <c r="H40" s="175">
        <v>3</v>
      </c>
      <c r="I40" s="175">
        <v>80</v>
      </c>
      <c r="J40" s="177">
        <v>-64</v>
      </c>
      <c r="K40" s="175">
        <v>220</v>
      </c>
    </row>
    <row r="41" spans="1:11" ht="15" customHeight="1" x14ac:dyDescent="0.2">
      <c r="A41" s="165" t="s">
        <v>468</v>
      </c>
      <c r="B41" s="176">
        <v>179.63200000000001</v>
      </c>
      <c r="C41" s="176">
        <v>360</v>
      </c>
      <c r="D41" s="176">
        <v>1110</v>
      </c>
      <c r="E41" s="176">
        <v>126</v>
      </c>
      <c r="F41" s="176">
        <v>4072</v>
      </c>
      <c r="G41" s="176">
        <v>1444</v>
      </c>
      <c r="H41" s="176">
        <v>208</v>
      </c>
      <c r="I41" s="176">
        <v>4136</v>
      </c>
      <c r="J41" s="176">
        <v>6197</v>
      </c>
      <c r="K41" s="176">
        <v>7457</v>
      </c>
    </row>
    <row r="42" spans="1:11" ht="15" customHeight="1" x14ac:dyDescent="0.2">
      <c r="A42" s="154" t="s">
        <v>116</v>
      </c>
      <c r="B42" s="173">
        <v>179.63200000000001</v>
      </c>
      <c r="C42" s="173">
        <v>360</v>
      </c>
      <c r="D42" s="173">
        <v>1110</v>
      </c>
      <c r="E42" s="173">
        <v>126</v>
      </c>
      <c r="F42" s="173">
        <v>4072</v>
      </c>
      <c r="G42" s="173">
        <v>1444</v>
      </c>
      <c r="H42" s="173">
        <v>208</v>
      </c>
      <c r="I42" s="173">
        <v>4136</v>
      </c>
      <c r="J42" s="173">
        <v>6197</v>
      </c>
      <c r="K42" s="173">
        <v>7457</v>
      </c>
    </row>
    <row r="43" spans="1:11" ht="15" customHeight="1" outlineLevel="1" x14ac:dyDescent="0.2">
      <c r="A43" s="171" t="s">
        <v>469</v>
      </c>
      <c r="B43" s="176">
        <v>179.63200000000001</v>
      </c>
      <c r="C43" s="176">
        <v>360</v>
      </c>
      <c r="D43" s="176">
        <v>1110</v>
      </c>
      <c r="E43" s="176">
        <v>126</v>
      </c>
      <c r="F43" s="176">
        <v>4072</v>
      </c>
      <c r="G43" s="176">
        <v>1444</v>
      </c>
      <c r="H43" s="176">
        <v>208</v>
      </c>
      <c r="I43" s="176">
        <v>4136</v>
      </c>
      <c r="J43" s="176">
        <v>6197</v>
      </c>
      <c r="K43" s="176">
        <v>7457</v>
      </c>
    </row>
    <row r="44" spans="1:11" ht="15" customHeight="1" x14ac:dyDescent="0.2">
      <c r="A44" s="154" t="s">
        <v>437</v>
      </c>
      <c r="B44" s="154"/>
      <c r="C44" s="154"/>
      <c r="D44" s="154"/>
      <c r="E44" s="154"/>
      <c r="F44" s="154"/>
      <c r="G44" s="154"/>
      <c r="H44" s="154"/>
      <c r="I44" s="154"/>
      <c r="J44" s="154"/>
      <c r="K44" s="154"/>
    </row>
    <row r="45" spans="1:11" ht="15" customHeight="1" outlineLevel="1" x14ac:dyDescent="0.2">
      <c r="A45" s="171" t="s">
        <v>470</v>
      </c>
      <c r="B45" s="129">
        <v>0.35824499999999998</v>
      </c>
      <c r="C45" s="129">
        <v>0.47550999999999999</v>
      </c>
      <c r="D45" s="129">
        <v>1.425935</v>
      </c>
      <c r="E45" s="129">
        <v>0.32529400000000003</v>
      </c>
      <c r="F45" s="129">
        <v>4.378495</v>
      </c>
      <c r="G45" s="129">
        <v>0.822793</v>
      </c>
      <c r="H45" s="129">
        <v>1.0076229999999999</v>
      </c>
      <c r="I45" s="129">
        <v>5.1323169999999996</v>
      </c>
      <c r="J45" s="129">
        <v>6.8662219999999996</v>
      </c>
      <c r="K45" s="129">
        <v>7.5190380000000001</v>
      </c>
    </row>
    <row r="46" spans="1:11" ht="15" customHeight="1" outlineLevel="1" x14ac:dyDescent="0.2">
      <c r="A46" s="159" t="s">
        <v>471</v>
      </c>
      <c r="B46" s="160">
        <v>0.26</v>
      </c>
      <c r="C46" s="160">
        <v>0.5</v>
      </c>
      <c r="D46" s="160">
        <v>1.48</v>
      </c>
      <c r="E46" s="160">
        <v>0.152</v>
      </c>
      <c r="F46" s="160">
        <v>4.4846000000000004</v>
      </c>
      <c r="G46" s="160">
        <v>1.512</v>
      </c>
      <c r="H46" s="160">
        <v>0.2097</v>
      </c>
      <c r="I46" s="160">
        <v>4.2464000000000004</v>
      </c>
      <c r="J46" s="160">
        <v>6.4417999999999997</v>
      </c>
      <c r="K46" s="160">
        <v>7.8494999999999999</v>
      </c>
    </row>
    <row r="47" spans="1:11" ht="15" customHeight="1" outlineLevel="2" x14ac:dyDescent="0.2">
      <c r="A47" s="158" t="s">
        <v>472</v>
      </c>
      <c r="B47" s="129">
        <v>687.79700000000003</v>
      </c>
      <c r="C47" s="129">
        <v>715</v>
      </c>
      <c r="D47" s="129">
        <v>751</v>
      </c>
      <c r="E47" s="129">
        <v>829</v>
      </c>
      <c r="F47" s="129">
        <v>908</v>
      </c>
      <c r="G47" s="129">
        <v>955</v>
      </c>
      <c r="H47" s="129">
        <v>992</v>
      </c>
      <c r="I47" s="129">
        <v>974</v>
      </c>
      <c r="J47" s="129">
        <v>962</v>
      </c>
      <c r="K47" s="129">
        <v>950</v>
      </c>
    </row>
    <row r="48" spans="1:11" ht="15" customHeight="1" outlineLevel="2" x14ac:dyDescent="0.2">
      <c r="A48" s="157" t="s">
        <v>473</v>
      </c>
      <c r="B48" s="126">
        <v>707.46</v>
      </c>
      <c r="C48" s="126">
        <v>730</v>
      </c>
      <c r="D48" s="126">
        <v>770</v>
      </c>
      <c r="E48" s="126">
        <v>893</v>
      </c>
      <c r="F48" s="126">
        <v>919</v>
      </c>
      <c r="G48" s="126">
        <v>989</v>
      </c>
      <c r="H48" s="126">
        <v>1009</v>
      </c>
      <c r="I48" s="126">
        <v>971</v>
      </c>
      <c r="J48" s="126">
        <v>962</v>
      </c>
      <c r="K48" s="126">
        <v>929</v>
      </c>
    </row>
    <row r="49" spans="1:11" ht="15" customHeight="1" outlineLevel="1" x14ac:dyDescent="0.2">
      <c r="A49" s="155" t="s">
        <v>474</v>
      </c>
      <c r="B49" s="156">
        <v>0.26</v>
      </c>
      <c r="C49" s="156">
        <v>0.49</v>
      </c>
      <c r="D49" s="156">
        <v>1.43</v>
      </c>
      <c r="E49" s="156">
        <v>0.1482</v>
      </c>
      <c r="F49" s="156">
        <v>4.3784999999999998</v>
      </c>
      <c r="G49" s="156">
        <v>1.4825999999999999</v>
      </c>
      <c r="H49" s="156">
        <v>0.20860000000000001</v>
      </c>
      <c r="I49" s="156">
        <v>4.2031999999999998</v>
      </c>
      <c r="J49" s="156">
        <v>6.3624000000000001</v>
      </c>
      <c r="K49" s="156">
        <v>7.8002000000000002</v>
      </c>
    </row>
    <row r="50" spans="1:11" ht="15" customHeight="1" outlineLevel="2" x14ac:dyDescent="0.2">
      <c r="A50" s="157" t="s">
        <v>475</v>
      </c>
      <c r="B50" s="126">
        <v>700.21699999999998</v>
      </c>
      <c r="C50" s="126">
        <v>735</v>
      </c>
      <c r="D50" s="126">
        <v>775</v>
      </c>
      <c r="E50" s="126">
        <v>850</v>
      </c>
      <c r="F50" s="126">
        <v>930</v>
      </c>
      <c r="G50" s="126">
        <v>974</v>
      </c>
      <c r="H50" s="126">
        <v>997</v>
      </c>
      <c r="I50" s="126">
        <v>984</v>
      </c>
      <c r="J50" s="126">
        <v>974</v>
      </c>
      <c r="K50" s="126">
        <v>956</v>
      </c>
    </row>
    <row r="51" spans="1:11" ht="15" customHeight="1" outlineLevel="2" x14ac:dyDescent="0.2">
      <c r="A51" s="158" t="s">
        <v>473</v>
      </c>
      <c r="B51" s="129">
        <v>707.46</v>
      </c>
      <c r="C51" s="129">
        <v>730</v>
      </c>
      <c r="D51" s="129">
        <v>770</v>
      </c>
      <c r="E51" s="129">
        <v>893</v>
      </c>
      <c r="F51" s="129">
        <v>919</v>
      </c>
      <c r="G51" s="129">
        <v>989</v>
      </c>
      <c r="H51" s="129">
        <v>1009</v>
      </c>
      <c r="I51" s="129">
        <v>971</v>
      </c>
      <c r="J51" s="129">
        <v>962</v>
      </c>
      <c r="K51" s="129">
        <v>929</v>
      </c>
    </row>
    <row r="52" spans="1:11" ht="15" customHeight="1" outlineLevel="1" x14ac:dyDescent="0.2">
      <c r="A52" s="167" t="s">
        <v>476</v>
      </c>
      <c r="B52" s="126">
        <v>70.265000000000001</v>
      </c>
      <c r="C52" s="126">
        <v>88.73</v>
      </c>
      <c r="D52" s="126">
        <v>66.381</v>
      </c>
      <c r="E52" s="126">
        <v>68.402000000000001</v>
      </c>
      <c r="F52" s="126">
        <v>84.007999999999996</v>
      </c>
      <c r="G52" s="126">
        <v>69.736999999999995</v>
      </c>
      <c r="H52" s="126">
        <v>88.820999999999998</v>
      </c>
      <c r="I52" s="126">
        <v>88.373000000000005</v>
      </c>
      <c r="J52" s="126">
        <v>90.891000000000005</v>
      </c>
      <c r="K52" s="126">
        <v>86.582999999999998</v>
      </c>
    </row>
    <row r="53" spans="1:11" ht="15" customHeight="1" outlineLevel="1" x14ac:dyDescent="0.2">
      <c r="A53" s="155" t="s">
        <v>477</v>
      </c>
      <c r="B53" s="156">
        <v>0</v>
      </c>
      <c r="C53" s="156">
        <v>0</v>
      </c>
      <c r="D53" s="156">
        <v>0</v>
      </c>
      <c r="E53" s="156">
        <v>0</v>
      </c>
      <c r="F53" s="156">
        <v>0</v>
      </c>
      <c r="G53" s="156">
        <v>0</v>
      </c>
      <c r="H53" s="156">
        <v>0</v>
      </c>
      <c r="I53" s="156">
        <v>0</v>
      </c>
      <c r="J53" s="156">
        <v>1.6</v>
      </c>
      <c r="K53" s="156">
        <v>1.6639999999999999</v>
      </c>
    </row>
    <row r="54" spans="1:11" ht="15" customHeight="1" outlineLevel="2" x14ac:dyDescent="0.2">
      <c r="A54" s="157" t="s">
        <v>478</v>
      </c>
      <c r="B54" s="126">
        <v>0</v>
      </c>
      <c r="C54" s="126">
        <v>0</v>
      </c>
      <c r="D54" s="126">
        <v>0</v>
      </c>
      <c r="E54" s="126">
        <v>0</v>
      </c>
      <c r="F54" s="126">
        <v>0</v>
      </c>
      <c r="G54" s="126">
        <v>0</v>
      </c>
      <c r="H54" s="126">
        <v>0</v>
      </c>
      <c r="I54" s="126">
        <v>0</v>
      </c>
      <c r="J54" s="126">
        <v>25.147742999999998</v>
      </c>
      <c r="K54" s="126">
        <v>21.332785999999999</v>
      </c>
    </row>
    <row r="55" spans="1:11" ht="15" customHeight="1" x14ac:dyDescent="0.2">
      <c r="A55" s="169" t="s">
        <v>324</v>
      </c>
      <c r="B55" s="169"/>
      <c r="C55" s="169"/>
      <c r="D55" s="169"/>
      <c r="E55" s="169"/>
      <c r="F55" s="169"/>
      <c r="G55" s="169"/>
      <c r="H55" s="169"/>
      <c r="I55" s="169"/>
      <c r="J55" s="169"/>
      <c r="K55" s="169"/>
    </row>
    <row r="56" spans="1:11" ht="15" customHeight="1" outlineLevel="1" x14ac:dyDescent="0.2">
      <c r="A56" s="159" t="s">
        <v>324</v>
      </c>
      <c r="B56" s="173">
        <v>709.48199999999997</v>
      </c>
      <c r="C56" s="173">
        <v>1207</v>
      </c>
      <c r="D56" s="173">
        <v>1524</v>
      </c>
      <c r="E56" s="173">
        <v>2638</v>
      </c>
      <c r="F56" s="173">
        <v>3301</v>
      </c>
      <c r="G56" s="173">
        <v>3846</v>
      </c>
      <c r="H56" s="173">
        <v>5644</v>
      </c>
      <c r="I56" s="173">
        <v>9958</v>
      </c>
      <c r="J56" s="173">
        <v>11143</v>
      </c>
      <c r="K56" s="173">
        <v>12548</v>
      </c>
    </row>
    <row r="57" spans="1:11" ht="15" customHeight="1" outlineLevel="2" x14ac:dyDescent="0.2">
      <c r="A57" s="158" t="s">
        <v>5</v>
      </c>
      <c r="B57" s="176">
        <v>77.236999999999995</v>
      </c>
      <c r="C57" s="176">
        <v>454</v>
      </c>
      <c r="D57" s="176">
        <v>562</v>
      </c>
      <c r="E57" s="176">
        <v>503</v>
      </c>
      <c r="F57" s="176">
        <v>455</v>
      </c>
      <c r="G57" s="176">
        <v>548</v>
      </c>
      <c r="H57" s="176">
        <v>1858</v>
      </c>
      <c r="I57" s="176">
        <v>5999</v>
      </c>
      <c r="J57" s="176">
        <v>7666</v>
      </c>
      <c r="K57" s="176">
        <v>8917</v>
      </c>
    </row>
    <row r="58" spans="1:11" ht="15" customHeight="1" outlineLevel="2" x14ac:dyDescent="0.2">
      <c r="A58" s="157" t="s">
        <v>443</v>
      </c>
      <c r="B58" s="175">
        <v>632.245</v>
      </c>
      <c r="C58" s="175">
        <v>753</v>
      </c>
      <c r="D58" s="175">
        <v>962</v>
      </c>
      <c r="E58" s="175">
        <v>2135</v>
      </c>
      <c r="F58" s="175">
        <v>2846</v>
      </c>
      <c r="G58" s="175">
        <v>3298</v>
      </c>
      <c r="H58" s="175">
        <v>3786</v>
      </c>
      <c r="I58" s="175">
        <v>3959</v>
      </c>
      <c r="J58" s="175">
        <v>3477</v>
      </c>
      <c r="K58" s="175">
        <v>3631</v>
      </c>
    </row>
    <row r="59" spans="1:11" ht="15" customHeight="1" x14ac:dyDescent="0.2">
      <c r="A59" s="172" t="s">
        <v>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K50"/>
  <sheetViews>
    <sheetView zoomScaleNormal="100" workbookViewId="0">
      <selection activeCell="A2" sqref="A2"/>
    </sheetView>
  </sheetViews>
  <sheetFormatPr defaultColWidth="9.140625" defaultRowHeight="12.75" outlineLevelRow="3" x14ac:dyDescent="0.2"/>
  <cols>
    <col min="1" max="1" width="49.42578125" customWidth="1"/>
    <col min="2" max="2" width="7.85546875" customWidth="1"/>
    <col min="3" max="3" width="8" customWidth="1"/>
    <col min="4" max="11" width="7.85546875" customWidth="1"/>
  </cols>
  <sheetData>
    <row r="2" spans="1:11" ht="15" customHeight="1" x14ac:dyDescent="0.25">
      <c r="A2" s="248" t="s">
        <v>368</v>
      </c>
    </row>
    <row r="4" spans="1:11" ht="15" customHeight="1" x14ac:dyDescent="0.2">
      <c r="A4" s="246" t="s">
        <v>369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</row>
    <row r="5" spans="1:11" ht="15" customHeight="1" x14ac:dyDescent="0.2">
      <c r="A5" s="246" t="s">
        <v>370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</row>
    <row r="6" spans="1:11" ht="15" customHeight="1" x14ac:dyDescent="0.2">
      <c r="A6" s="246" t="s">
        <v>371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</row>
    <row r="7" spans="1:11" ht="15" customHeight="1" x14ac:dyDescent="0.2">
      <c r="A7" s="246"/>
      <c r="B7" s="246" t="s">
        <v>372</v>
      </c>
      <c r="C7" s="246" t="s">
        <v>373</v>
      </c>
      <c r="D7" s="246" t="s">
        <v>374</v>
      </c>
      <c r="E7" s="246" t="s">
        <v>375</v>
      </c>
      <c r="F7" s="246" t="s">
        <v>262</v>
      </c>
      <c r="G7" s="246" t="s">
        <v>263</v>
      </c>
      <c r="H7" s="246" t="s">
        <v>264</v>
      </c>
      <c r="I7" s="246" t="s">
        <v>265</v>
      </c>
      <c r="J7" s="246" t="s">
        <v>266</v>
      </c>
      <c r="K7" s="246" t="s">
        <v>267</v>
      </c>
    </row>
    <row r="8" spans="1:11" ht="15" customHeight="1" x14ac:dyDescent="0.2">
      <c r="A8" s="246"/>
      <c r="B8" s="246"/>
      <c r="C8" s="246" t="s">
        <v>376</v>
      </c>
      <c r="D8" s="246"/>
      <c r="E8" s="246"/>
      <c r="F8" s="246"/>
      <c r="G8" s="246"/>
      <c r="H8" s="246"/>
      <c r="I8" s="246"/>
      <c r="J8" s="246"/>
      <c r="K8" s="246"/>
    </row>
    <row r="9" spans="1:11" ht="15" customHeight="1" x14ac:dyDescent="0.2">
      <c r="A9" s="154" t="s">
        <v>480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5" customHeight="1" outlineLevel="1" x14ac:dyDescent="0.2">
      <c r="A10" s="171" t="s">
        <v>481</v>
      </c>
      <c r="B10" s="176">
        <v>179.63200000000001</v>
      </c>
      <c r="C10" s="176">
        <v>360</v>
      </c>
      <c r="D10" s="176">
        <v>1110</v>
      </c>
      <c r="E10" s="176">
        <v>126</v>
      </c>
      <c r="F10" s="176">
        <v>4072</v>
      </c>
      <c r="G10" s="176">
        <v>1444</v>
      </c>
      <c r="H10" s="176">
        <v>208</v>
      </c>
      <c r="I10" s="176">
        <v>4136</v>
      </c>
      <c r="J10" s="176">
        <v>6197</v>
      </c>
      <c r="K10" s="176">
        <v>7457</v>
      </c>
    </row>
    <row r="11" spans="1:11" ht="15" customHeight="1" outlineLevel="1" x14ac:dyDescent="0.2">
      <c r="A11" s="159" t="s">
        <v>482</v>
      </c>
      <c r="B11" s="173">
        <v>632.245</v>
      </c>
      <c r="C11" s="173">
        <v>1345</v>
      </c>
      <c r="D11" s="173">
        <v>1699</v>
      </c>
      <c r="E11" s="173">
        <v>3011</v>
      </c>
      <c r="F11" s="173">
        <v>3904</v>
      </c>
      <c r="G11" s="173">
        <v>4646</v>
      </c>
      <c r="H11" s="173">
        <v>5454</v>
      </c>
      <c r="I11" s="173">
        <v>5884</v>
      </c>
      <c r="J11" s="173">
        <v>5572</v>
      </c>
      <c r="K11" s="173">
        <v>3631</v>
      </c>
    </row>
    <row r="12" spans="1:11" ht="15" customHeight="1" outlineLevel="2" x14ac:dyDescent="0.2">
      <c r="A12" s="158" t="s">
        <v>483</v>
      </c>
      <c r="B12" s="176">
        <v>323.37700000000001</v>
      </c>
      <c r="C12" s="165"/>
      <c r="D12" s="165"/>
      <c r="E12" s="176">
        <v>1343</v>
      </c>
      <c r="F12" s="176">
        <v>1746</v>
      </c>
      <c r="G12" s="176">
        <v>1698</v>
      </c>
      <c r="H12" s="176">
        <v>1786</v>
      </c>
      <c r="I12" s="176">
        <v>2059</v>
      </c>
      <c r="J12" s="176">
        <v>1877</v>
      </c>
      <c r="K12" s="176">
        <v>1931</v>
      </c>
    </row>
    <row r="13" spans="1:11" ht="15" customHeight="1" outlineLevel="2" x14ac:dyDescent="0.2">
      <c r="A13" s="157" t="s">
        <v>484</v>
      </c>
      <c r="B13" s="175">
        <v>308.86799999999999</v>
      </c>
      <c r="C13" s="166"/>
      <c r="D13" s="166"/>
      <c r="E13" s="175">
        <v>1668</v>
      </c>
      <c r="F13" s="175">
        <v>2158</v>
      </c>
      <c r="G13" s="175">
        <v>2948</v>
      </c>
      <c r="H13" s="175">
        <v>3668</v>
      </c>
      <c r="I13" s="175">
        <v>3825</v>
      </c>
      <c r="J13" s="175">
        <v>3695</v>
      </c>
      <c r="K13" s="175">
        <v>1700</v>
      </c>
    </row>
    <row r="14" spans="1:11" ht="15" customHeight="1" outlineLevel="1" x14ac:dyDescent="0.2">
      <c r="A14" s="171" t="s">
        <v>485</v>
      </c>
      <c r="B14" s="176">
        <v>1208.752</v>
      </c>
      <c r="C14" s="176">
        <v>1009</v>
      </c>
      <c r="D14" s="176">
        <v>761</v>
      </c>
      <c r="E14" s="176">
        <v>1524</v>
      </c>
      <c r="F14" s="178">
        <v>-1983</v>
      </c>
      <c r="G14" s="176">
        <v>1568</v>
      </c>
      <c r="H14" s="176">
        <v>3518</v>
      </c>
      <c r="I14" s="176">
        <v>3064</v>
      </c>
      <c r="J14" s="176">
        <v>3304</v>
      </c>
      <c r="K14" s="176">
        <v>4689</v>
      </c>
    </row>
    <row r="15" spans="1:11" ht="15" customHeight="1" outlineLevel="1" x14ac:dyDescent="0.2">
      <c r="A15" s="167" t="s">
        <v>486</v>
      </c>
      <c r="B15" s="175">
        <v>2020.6289999999999</v>
      </c>
      <c r="C15" s="175">
        <v>2714</v>
      </c>
      <c r="D15" s="175">
        <v>3570</v>
      </c>
      <c r="E15" s="175">
        <v>4661</v>
      </c>
      <c r="F15" s="175">
        <v>5993</v>
      </c>
      <c r="G15" s="175">
        <v>7658</v>
      </c>
      <c r="H15" s="175">
        <v>9180</v>
      </c>
      <c r="I15" s="175">
        <v>13084</v>
      </c>
      <c r="J15" s="175">
        <v>15073</v>
      </c>
      <c r="K15" s="175">
        <v>15777</v>
      </c>
    </row>
    <row r="16" spans="1:11" ht="15" customHeight="1" outlineLevel="1" x14ac:dyDescent="0.2">
      <c r="A16" s="155" t="s">
        <v>487</v>
      </c>
      <c r="B16" s="174">
        <v>141.56899999999999</v>
      </c>
      <c r="C16" s="174">
        <v>24</v>
      </c>
      <c r="D16" s="174">
        <v>-172</v>
      </c>
      <c r="E16" s="174">
        <v>-330</v>
      </c>
      <c r="F16" s="174">
        <v>-1192</v>
      </c>
      <c r="G16" s="174">
        <v>-1658</v>
      </c>
      <c r="H16" s="174">
        <v>-2069</v>
      </c>
      <c r="I16" s="174">
        <v>-2850</v>
      </c>
      <c r="J16" s="174">
        <v>-1981</v>
      </c>
      <c r="K16" s="174">
        <v>-781</v>
      </c>
    </row>
    <row r="17" spans="1:11" ht="15" customHeight="1" outlineLevel="2" x14ac:dyDescent="0.2">
      <c r="A17" s="157" t="s">
        <v>488</v>
      </c>
      <c r="B17" s="177">
        <v>-628.47699999999998</v>
      </c>
      <c r="C17" s="177">
        <v>-719</v>
      </c>
      <c r="D17" s="177">
        <v>-923</v>
      </c>
      <c r="E17" s="177">
        <v>-1000</v>
      </c>
      <c r="F17" s="177">
        <v>-1556</v>
      </c>
      <c r="G17" s="177">
        <v>-1824</v>
      </c>
      <c r="H17" s="177">
        <v>-995</v>
      </c>
      <c r="I17" s="177">
        <v>-659</v>
      </c>
      <c r="J17" s="177">
        <v>-490</v>
      </c>
      <c r="K17" s="177">
        <v>-2160</v>
      </c>
    </row>
    <row r="18" spans="1:11" ht="15" customHeight="1" outlineLevel="2" x14ac:dyDescent="0.2">
      <c r="A18" s="158" t="s">
        <v>412</v>
      </c>
      <c r="B18" s="165"/>
      <c r="C18" s="178">
        <v>-39</v>
      </c>
      <c r="D18" s="176">
        <v>74</v>
      </c>
      <c r="E18" s="176">
        <v>15</v>
      </c>
      <c r="F18" s="176">
        <v>1100</v>
      </c>
      <c r="G18" s="176">
        <v>507</v>
      </c>
      <c r="H18" s="176">
        <v>528</v>
      </c>
      <c r="I18" s="178">
        <v>-478</v>
      </c>
      <c r="J18" s="176">
        <v>1089</v>
      </c>
      <c r="K18" s="176">
        <v>1014</v>
      </c>
    </row>
    <row r="19" spans="1:11" ht="15" customHeight="1" outlineLevel="2" x14ac:dyDescent="0.2">
      <c r="A19" s="157" t="s">
        <v>489</v>
      </c>
      <c r="B19" s="166"/>
      <c r="C19" s="175">
        <v>392</v>
      </c>
      <c r="D19" s="175">
        <v>213</v>
      </c>
      <c r="E19" s="175">
        <v>967</v>
      </c>
      <c r="F19" s="166"/>
      <c r="G19" s="166"/>
      <c r="H19" s="166"/>
      <c r="I19" s="166"/>
      <c r="J19" s="166"/>
      <c r="K19" s="166"/>
    </row>
    <row r="20" spans="1:11" ht="15" customHeight="1" outlineLevel="2" x14ac:dyDescent="0.2">
      <c r="A20" s="158" t="s">
        <v>490</v>
      </c>
      <c r="B20" s="176">
        <v>770.04600000000005</v>
      </c>
      <c r="C20" s="176">
        <v>390</v>
      </c>
      <c r="D20" s="176">
        <v>464</v>
      </c>
      <c r="E20" s="178">
        <v>-312</v>
      </c>
      <c r="F20" s="178">
        <v>-736</v>
      </c>
      <c r="G20" s="178">
        <v>-341</v>
      </c>
      <c r="H20" s="178">
        <v>-1602</v>
      </c>
      <c r="I20" s="178">
        <v>-1713</v>
      </c>
      <c r="J20" s="178">
        <v>-2580</v>
      </c>
      <c r="K20" s="176">
        <v>365</v>
      </c>
    </row>
    <row r="21" spans="1:11" ht="15" customHeight="1" outlineLevel="1" x14ac:dyDescent="0.2">
      <c r="A21" s="167" t="s">
        <v>491</v>
      </c>
      <c r="B21" s="175">
        <v>2162.1979999999999</v>
      </c>
      <c r="C21" s="175">
        <v>2738</v>
      </c>
      <c r="D21" s="175">
        <v>3398</v>
      </c>
      <c r="E21" s="175">
        <v>4331</v>
      </c>
      <c r="F21" s="175">
        <v>4801</v>
      </c>
      <c r="G21" s="175">
        <v>6000</v>
      </c>
      <c r="H21" s="175">
        <v>7111</v>
      </c>
      <c r="I21" s="175">
        <v>10234</v>
      </c>
      <c r="J21" s="175">
        <v>13092</v>
      </c>
      <c r="K21" s="175">
        <v>14996</v>
      </c>
    </row>
    <row r="22" spans="1:11" ht="15" customHeight="1" x14ac:dyDescent="0.2">
      <c r="A22" s="169" t="s">
        <v>492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</row>
    <row r="23" spans="1:11" ht="15" customHeight="1" outlineLevel="1" x14ac:dyDescent="0.2">
      <c r="A23" s="159" t="s">
        <v>120</v>
      </c>
      <c r="B23" s="173">
        <v>-463.95800000000003</v>
      </c>
      <c r="C23" s="173">
        <v>-534</v>
      </c>
      <c r="D23" s="173">
        <v>-595</v>
      </c>
      <c r="E23" s="173">
        <v>-643</v>
      </c>
      <c r="F23" s="173">
        <v>-710</v>
      </c>
      <c r="G23" s="173">
        <v>-717</v>
      </c>
      <c r="H23" s="173">
        <v>-798</v>
      </c>
      <c r="I23" s="173">
        <v>-736</v>
      </c>
      <c r="J23" s="173">
        <v>-658</v>
      </c>
      <c r="K23" s="173">
        <v>-594</v>
      </c>
    </row>
    <row r="24" spans="1:11" ht="15" customHeight="1" outlineLevel="2" x14ac:dyDescent="0.2">
      <c r="A24" s="158" t="s">
        <v>493</v>
      </c>
      <c r="B24" s="178">
        <v>-463.95800000000003</v>
      </c>
      <c r="C24" s="178">
        <v>-534</v>
      </c>
      <c r="D24" s="178">
        <v>-595</v>
      </c>
      <c r="E24" s="178">
        <v>-643</v>
      </c>
      <c r="F24" s="178">
        <v>-710</v>
      </c>
      <c r="G24" s="178">
        <v>-717</v>
      </c>
      <c r="H24" s="178">
        <v>-798</v>
      </c>
      <c r="I24" s="178">
        <v>-736</v>
      </c>
      <c r="J24" s="178">
        <v>-658</v>
      </c>
      <c r="K24" s="178">
        <v>-594</v>
      </c>
    </row>
    <row r="25" spans="1:11" ht="15" customHeight="1" outlineLevel="1" x14ac:dyDescent="0.2">
      <c r="A25" s="167" t="s">
        <v>494</v>
      </c>
      <c r="B25" s="177">
        <v>-3192.739</v>
      </c>
      <c r="C25" s="177">
        <v>-25</v>
      </c>
      <c r="D25" s="177">
        <v>-5115</v>
      </c>
      <c r="E25" s="177">
        <v>-369</v>
      </c>
      <c r="F25" s="177">
        <v>-1281</v>
      </c>
      <c r="G25" s="177">
        <v>-14876</v>
      </c>
      <c r="H25" s="177">
        <v>-439</v>
      </c>
      <c r="I25" s="177">
        <v>-82</v>
      </c>
      <c r="J25" s="177">
        <v>-2734</v>
      </c>
      <c r="K25" s="177">
        <v>-9268</v>
      </c>
    </row>
    <row r="26" spans="1:11" ht="15" customHeight="1" outlineLevel="1" x14ac:dyDescent="0.2">
      <c r="A26" s="155" t="s">
        <v>495</v>
      </c>
      <c r="B26" s="174">
        <v>972.35599999999999</v>
      </c>
      <c r="C26" s="174">
        <v>-1452</v>
      </c>
      <c r="D26" s="174">
        <v>402</v>
      </c>
      <c r="E26" s="174">
        <v>-1968</v>
      </c>
      <c r="F26" s="174">
        <v>-1980</v>
      </c>
      <c r="G26" s="174">
        <v>1057</v>
      </c>
      <c r="H26" s="174">
        <v>-752</v>
      </c>
      <c r="I26" s="174">
        <v>-509</v>
      </c>
      <c r="J26" s="174">
        <v>229</v>
      </c>
      <c r="K26" s="174">
        <v>1272</v>
      </c>
    </row>
    <row r="27" spans="1:11" ht="15" customHeight="1" outlineLevel="2" x14ac:dyDescent="0.2">
      <c r="A27" s="157" t="s">
        <v>496</v>
      </c>
      <c r="B27" s="175">
        <v>1100.3989999999999</v>
      </c>
      <c r="C27" s="175">
        <v>2219</v>
      </c>
      <c r="D27" s="175">
        <v>1430</v>
      </c>
      <c r="E27" s="175">
        <v>4625</v>
      </c>
      <c r="F27" s="175">
        <v>5902</v>
      </c>
      <c r="G27" s="175">
        <v>7392</v>
      </c>
      <c r="H27" s="175">
        <v>5327</v>
      </c>
      <c r="I27" s="175">
        <v>4257</v>
      </c>
      <c r="J27" s="175">
        <v>7418</v>
      </c>
      <c r="K27" s="175">
        <v>5721</v>
      </c>
    </row>
    <row r="28" spans="1:11" ht="15" customHeight="1" outlineLevel="2" x14ac:dyDescent="0.2">
      <c r="A28" s="158" t="s">
        <v>497</v>
      </c>
      <c r="B28" s="176">
        <v>2072.7550000000001</v>
      </c>
      <c r="C28" s="176">
        <v>767</v>
      </c>
      <c r="D28" s="176">
        <v>1832</v>
      </c>
      <c r="E28" s="176">
        <v>2657</v>
      </c>
      <c r="F28" s="176">
        <v>3922</v>
      </c>
      <c r="G28" s="176">
        <v>8449</v>
      </c>
      <c r="H28" s="176">
        <v>4575</v>
      </c>
      <c r="I28" s="176">
        <v>3748</v>
      </c>
      <c r="J28" s="176">
        <v>7647</v>
      </c>
      <c r="K28" s="176">
        <v>6993</v>
      </c>
    </row>
    <row r="29" spans="1:11" ht="15" customHeight="1" outlineLevel="1" x14ac:dyDescent="0.2">
      <c r="A29" s="167" t="s">
        <v>498</v>
      </c>
      <c r="B29" s="177">
        <v>-2684.3409999999999</v>
      </c>
      <c r="C29" s="177">
        <v>-2011</v>
      </c>
      <c r="D29" s="177">
        <v>-5308</v>
      </c>
      <c r="E29" s="177">
        <v>-2980</v>
      </c>
      <c r="F29" s="177">
        <v>-3971</v>
      </c>
      <c r="G29" s="177">
        <v>-14536</v>
      </c>
      <c r="H29" s="177">
        <v>-1989</v>
      </c>
      <c r="I29" s="177">
        <v>-1327</v>
      </c>
      <c r="J29" s="177">
        <v>-3163</v>
      </c>
      <c r="K29" s="177">
        <v>-8590</v>
      </c>
    </row>
    <row r="30" spans="1:11" ht="15" customHeight="1" x14ac:dyDescent="0.2">
      <c r="A30" s="169" t="s">
        <v>499</v>
      </c>
      <c r="B30" s="169"/>
      <c r="C30" s="169"/>
      <c r="D30" s="169"/>
      <c r="E30" s="169"/>
      <c r="F30" s="169"/>
      <c r="G30" s="169"/>
      <c r="H30" s="169"/>
      <c r="I30" s="169"/>
      <c r="J30" s="169"/>
      <c r="K30" s="169"/>
    </row>
    <row r="31" spans="1:11" ht="15" customHeight="1" outlineLevel="1" x14ac:dyDescent="0.2">
      <c r="A31" s="159" t="s">
        <v>500</v>
      </c>
      <c r="B31" s="173">
        <v>0</v>
      </c>
      <c r="C31" s="173">
        <v>0</v>
      </c>
      <c r="D31" s="173">
        <v>0</v>
      </c>
      <c r="E31" s="173">
        <v>0</v>
      </c>
      <c r="F31" s="173">
        <v>0</v>
      </c>
      <c r="G31" s="173">
        <v>0</v>
      </c>
      <c r="H31" s="173">
        <v>0</v>
      </c>
      <c r="I31" s="173">
        <v>0</v>
      </c>
      <c r="J31" s="173">
        <v>-1537</v>
      </c>
      <c r="K31" s="173">
        <v>-1587</v>
      </c>
    </row>
    <row r="32" spans="1:11" ht="15" customHeight="1" outlineLevel="2" x14ac:dyDescent="0.2">
      <c r="A32" s="158" t="s">
        <v>501</v>
      </c>
      <c r="B32" s="176">
        <v>0</v>
      </c>
      <c r="C32" s="176">
        <v>0</v>
      </c>
      <c r="D32" s="176">
        <v>0</v>
      </c>
      <c r="E32" s="176">
        <v>0</v>
      </c>
      <c r="F32" s="176">
        <v>0</v>
      </c>
      <c r="G32" s="176">
        <v>0</v>
      </c>
      <c r="H32" s="176">
        <v>0</v>
      </c>
      <c r="I32" s="176">
        <v>0</v>
      </c>
      <c r="J32" s="178">
        <v>-1537</v>
      </c>
      <c r="K32" s="178">
        <v>-1587</v>
      </c>
    </row>
    <row r="33" spans="1:11" ht="15" customHeight="1" outlineLevel="1" x14ac:dyDescent="0.2">
      <c r="A33" s="159" t="s">
        <v>502</v>
      </c>
      <c r="B33" s="173">
        <v>401.48099999999999</v>
      </c>
      <c r="C33" s="173">
        <v>650</v>
      </c>
      <c r="D33" s="173">
        <v>704</v>
      </c>
      <c r="E33" s="173">
        <v>840</v>
      </c>
      <c r="F33" s="173">
        <v>1321</v>
      </c>
      <c r="G33" s="173">
        <v>1289</v>
      </c>
      <c r="H33" s="173">
        <v>-3139</v>
      </c>
      <c r="I33" s="173">
        <v>-5666</v>
      </c>
      <c r="J33" s="173">
        <v>-6289</v>
      </c>
      <c r="K33" s="173">
        <v>-11557</v>
      </c>
    </row>
    <row r="34" spans="1:11" ht="15" customHeight="1" outlineLevel="2" x14ac:dyDescent="0.2">
      <c r="A34" s="158" t="s">
        <v>503</v>
      </c>
      <c r="B34" s="176">
        <v>0</v>
      </c>
      <c r="C34" s="176">
        <v>0</v>
      </c>
      <c r="D34" s="176">
        <v>0</v>
      </c>
      <c r="E34" s="176">
        <v>0</v>
      </c>
      <c r="F34" s="176">
        <v>0</v>
      </c>
      <c r="G34" s="176">
        <v>0</v>
      </c>
      <c r="H34" s="178">
        <v>-4000</v>
      </c>
      <c r="I34" s="178">
        <v>-7620</v>
      </c>
      <c r="J34" s="178">
        <v>-7829</v>
      </c>
      <c r="K34" s="178">
        <v>-12596</v>
      </c>
    </row>
    <row r="35" spans="1:11" ht="15" customHeight="1" outlineLevel="2" x14ac:dyDescent="0.2">
      <c r="A35" s="168" t="s">
        <v>504</v>
      </c>
      <c r="B35" s="173">
        <v>401.48099999999999</v>
      </c>
      <c r="C35" s="173">
        <v>650</v>
      </c>
      <c r="D35" s="173">
        <v>704</v>
      </c>
      <c r="E35" s="173">
        <v>840</v>
      </c>
      <c r="F35" s="173">
        <v>1321</v>
      </c>
      <c r="G35" s="173">
        <v>1289</v>
      </c>
      <c r="H35" s="173">
        <v>861</v>
      </c>
      <c r="I35" s="173">
        <v>1954</v>
      </c>
      <c r="J35" s="173">
        <v>1540</v>
      </c>
      <c r="K35" s="173">
        <v>1039</v>
      </c>
    </row>
    <row r="36" spans="1:11" ht="15" customHeight="1" outlineLevel="3" x14ac:dyDescent="0.2">
      <c r="A36" s="163" t="s">
        <v>505</v>
      </c>
      <c r="B36" s="176">
        <v>401.48099999999999</v>
      </c>
      <c r="C36" s="176">
        <v>650</v>
      </c>
      <c r="D36" s="176">
        <v>704</v>
      </c>
      <c r="E36" s="176">
        <v>840</v>
      </c>
      <c r="F36" s="176">
        <v>1321</v>
      </c>
      <c r="G36" s="176">
        <v>1289</v>
      </c>
      <c r="H36" s="176">
        <v>861</v>
      </c>
      <c r="I36" s="176">
        <v>1954</v>
      </c>
      <c r="J36" s="176">
        <v>1540</v>
      </c>
      <c r="K36" s="176">
        <v>1039</v>
      </c>
    </row>
    <row r="37" spans="1:11" ht="15" customHeight="1" outlineLevel="1" x14ac:dyDescent="0.2">
      <c r="A37" s="159" t="s">
        <v>506</v>
      </c>
      <c r="B37" s="173">
        <v>596.21699999999998</v>
      </c>
      <c r="C37" s="173">
        <v>-429</v>
      </c>
      <c r="D37" s="173">
        <v>1306</v>
      </c>
      <c r="E37" s="173">
        <v>-676</v>
      </c>
      <c r="F37" s="173">
        <v>-127</v>
      </c>
      <c r="G37" s="173">
        <v>6549</v>
      </c>
      <c r="H37" s="173">
        <v>-423</v>
      </c>
      <c r="I37" s="173">
        <v>-1811</v>
      </c>
      <c r="J37" s="173">
        <v>-1603</v>
      </c>
      <c r="K37" s="173">
        <v>5416</v>
      </c>
    </row>
    <row r="38" spans="1:11" ht="15" customHeight="1" outlineLevel="2" x14ac:dyDescent="0.2">
      <c r="A38" s="161" t="s">
        <v>507</v>
      </c>
      <c r="B38" s="174">
        <v>596.21699999999998</v>
      </c>
      <c r="C38" s="174">
        <v>-429</v>
      </c>
      <c r="D38" s="174">
        <v>1306</v>
      </c>
      <c r="E38" s="174">
        <v>-676</v>
      </c>
      <c r="F38" s="174">
        <v>-127</v>
      </c>
      <c r="G38" s="174">
        <v>6549</v>
      </c>
      <c r="H38" s="174">
        <v>-423</v>
      </c>
      <c r="I38" s="174">
        <v>-1811</v>
      </c>
      <c r="J38" s="174">
        <v>-1603</v>
      </c>
      <c r="K38" s="174">
        <v>5416</v>
      </c>
    </row>
    <row r="39" spans="1:11" ht="15" customHeight="1" outlineLevel="3" x14ac:dyDescent="0.2">
      <c r="A39" s="162" t="s">
        <v>508</v>
      </c>
      <c r="B39" s="175">
        <v>1244.374</v>
      </c>
      <c r="C39" s="175">
        <v>0</v>
      </c>
      <c r="D39" s="175">
        <v>2966</v>
      </c>
      <c r="E39" s="175">
        <v>0</v>
      </c>
      <c r="F39" s="175">
        <v>0</v>
      </c>
      <c r="G39" s="175">
        <v>7906</v>
      </c>
      <c r="H39" s="175">
        <v>0</v>
      </c>
      <c r="I39" s="175">
        <v>0</v>
      </c>
      <c r="J39" s="175">
        <v>0</v>
      </c>
      <c r="K39" s="175">
        <v>6000</v>
      </c>
    </row>
    <row r="40" spans="1:11" ht="15" customHeight="1" outlineLevel="3" x14ac:dyDescent="0.2">
      <c r="A40" s="163" t="s">
        <v>509</v>
      </c>
      <c r="B40" s="178">
        <v>-648.15700000000004</v>
      </c>
      <c r="C40" s="178">
        <v>-429</v>
      </c>
      <c r="D40" s="178">
        <v>-1660</v>
      </c>
      <c r="E40" s="178">
        <v>-676</v>
      </c>
      <c r="F40" s="178">
        <v>-127</v>
      </c>
      <c r="G40" s="178">
        <v>-1357</v>
      </c>
      <c r="H40" s="178">
        <v>-423</v>
      </c>
      <c r="I40" s="178">
        <v>-1811</v>
      </c>
      <c r="J40" s="178">
        <v>-1603</v>
      </c>
      <c r="K40" s="178">
        <v>-584</v>
      </c>
    </row>
    <row r="41" spans="1:11" ht="15" customHeight="1" outlineLevel="1" x14ac:dyDescent="0.2">
      <c r="A41" s="159" t="s">
        <v>485</v>
      </c>
      <c r="B41" s="173">
        <v>0</v>
      </c>
      <c r="C41" s="173">
        <v>0</v>
      </c>
      <c r="D41" s="173">
        <v>0</v>
      </c>
      <c r="E41" s="173">
        <v>0</v>
      </c>
      <c r="F41" s="173">
        <v>0</v>
      </c>
      <c r="G41" s="173">
        <v>0</v>
      </c>
      <c r="H41" s="173">
        <v>0</v>
      </c>
      <c r="I41" s="173">
        <v>0</v>
      </c>
      <c r="J41" s="173">
        <v>0</v>
      </c>
      <c r="K41" s="173">
        <v>-351</v>
      </c>
    </row>
    <row r="42" spans="1:11" ht="15" customHeight="1" outlineLevel="2" x14ac:dyDescent="0.2">
      <c r="A42" s="158" t="s">
        <v>510</v>
      </c>
      <c r="B42" s="176">
        <v>0</v>
      </c>
      <c r="C42" s="176">
        <v>0</v>
      </c>
      <c r="D42" s="176">
        <v>0</v>
      </c>
      <c r="E42" s="176">
        <v>0</v>
      </c>
      <c r="F42" s="176">
        <v>0</v>
      </c>
      <c r="G42" s="176">
        <v>0</v>
      </c>
      <c r="H42" s="176">
        <v>0</v>
      </c>
      <c r="I42" s="176">
        <v>0</v>
      </c>
      <c r="J42" s="176">
        <v>0</v>
      </c>
      <c r="K42" s="178">
        <v>-351</v>
      </c>
    </row>
    <row r="43" spans="1:11" ht="15" customHeight="1" outlineLevel="1" x14ac:dyDescent="0.2">
      <c r="A43" s="167" t="s">
        <v>511</v>
      </c>
      <c r="B43" s="175">
        <v>997.69799999999998</v>
      </c>
      <c r="C43" s="175">
        <v>221</v>
      </c>
      <c r="D43" s="175">
        <v>2010</v>
      </c>
      <c r="E43" s="175">
        <v>164</v>
      </c>
      <c r="F43" s="175">
        <v>1194</v>
      </c>
      <c r="G43" s="175">
        <v>7838</v>
      </c>
      <c r="H43" s="177">
        <v>-3562</v>
      </c>
      <c r="I43" s="177">
        <v>-7477</v>
      </c>
      <c r="J43" s="177">
        <v>-9429</v>
      </c>
      <c r="K43" s="177">
        <v>-8079</v>
      </c>
    </row>
    <row r="44" spans="1:11" ht="15" customHeight="1" x14ac:dyDescent="0.2">
      <c r="A44" s="169" t="s">
        <v>512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</row>
    <row r="45" spans="1:11" ht="15" customHeight="1" outlineLevel="1" x14ac:dyDescent="0.2">
      <c r="A45" s="167" t="s">
        <v>513</v>
      </c>
      <c r="B45" s="177">
        <v>-27.369</v>
      </c>
      <c r="C45" s="177">
        <v>-12</v>
      </c>
      <c r="D45" s="175">
        <v>26</v>
      </c>
      <c r="E45" s="177">
        <v>-39</v>
      </c>
      <c r="F45" s="175">
        <v>26</v>
      </c>
      <c r="G45" s="177">
        <v>-33</v>
      </c>
      <c r="H45" s="177">
        <v>-8</v>
      </c>
      <c r="I45" s="175">
        <v>26</v>
      </c>
      <c r="J45" s="177">
        <v>-124</v>
      </c>
      <c r="K45" s="175">
        <v>152</v>
      </c>
    </row>
    <row r="46" spans="1:11" ht="15" customHeight="1" outlineLevel="1" x14ac:dyDescent="0.2">
      <c r="A46" s="171" t="s">
        <v>514</v>
      </c>
      <c r="B46" s="176">
        <v>448.18599999999998</v>
      </c>
      <c r="C46" s="176">
        <v>936</v>
      </c>
      <c r="D46" s="176">
        <v>126</v>
      </c>
      <c r="E46" s="176">
        <v>1476</v>
      </c>
      <c r="F46" s="176">
        <v>2050</v>
      </c>
      <c r="G46" s="178">
        <v>-731</v>
      </c>
      <c r="H46" s="176">
        <v>1552</v>
      </c>
      <c r="I46" s="176">
        <v>1456</v>
      </c>
      <c r="J46" s="176">
        <v>376</v>
      </c>
      <c r="K46" s="178">
        <v>-1521</v>
      </c>
    </row>
    <row r="47" spans="1:11" ht="15" customHeight="1" outlineLevel="1" x14ac:dyDescent="0.2">
      <c r="A47" s="159" t="s">
        <v>10</v>
      </c>
      <c r="B47" s="173">
        <v>1698.24</v>
      </c>
      <c r="C47" s="173">
        <v>2204</v>
      </c>
      <c r="D47" s="173">
        <v>2803</v>
      </c>
      <c r="E47" s="173">
        <v>3688</v>
      </c>
      <c r="F47" s="173">
        <v>4091</v>
      </c>
      <c r="G47" s="173">
        <v>5283</v>
      </c>
      <c r="H47" s="173">
        <v>6313</v>
      </c>
      <c r="I47" s="173">
        <v>9498</v>
      </c>
      <c r="J47" s="173">
        <v>12434</v>
      </c>
      <c r="K47" s="173">
        <v>14402</v>
      </c>
    </row>
    <row r="48" spans="1:11" ht="15" customHeight="1" outlineLevel="2" x14ac:dyDescent="0.2">
      <c r="A48" s="158" t="s">
        <v>515</v>
      </c>
      <c r="B48" s="176">
        <v>2.4253049999999998</v>
      </c>
      <c r="C48" s="176">
        <v>2.9986389999999998</v>
      </c>
      <c r="D48" s="176">
        <v>3.6167739999999999</v>
      </c>
      <c r="E48" s="176">
        <v>4.3388239999999998</v>
      </c>
      <c r="F48" s="176">
        <v>4.3989250000000002</v>
      </c>
      <c r="G48" s="176">
        <v>5.4240250000000003</v>
      </c>
      <c r="H48" s="176">
        <v>6.3319960000000002</v>
      </c>
      <c r="I48" s="176">
        <v>9.6524389999999993</v>
      </c>
      <c r="J48" s="176">
        <v>12.765914</v>
      </c>
      <c r="K48" s="176">
        <v>15.064854</v>
      </c>
    </row>
    <row r="49" spans="1:11" ht="15" customHeight="1" outlineLevel="2" x14ac:dyDescent="0.2">
      <c r="A49" s="157" t="s">
        <v>516</v>
      </c>
      <c r="B49" s="126">
        <v>3.0661260000000001</v>
      </c>
      <c r="C49" s="126">
        <v>2.6324640000000001</v>
      </c>
      <c r="D49" s="126">
        <v>2.3799260000000002</v>
      </c>
      <c r="E49" s="126">
        <v>2.379915</v>
      </c>
      <c r="F49" s="126">
        <v>1.950224</v>
      </c>
      <c r="G49" s="126">
        <v>2.33161</v>
      </c>
      <c r="H49" s="126">
        <v>3.7697180000000001</v>
      </c>
      <c r="I49" s="126">
        <v>3.433932</v>
      </c>
      <c r="J49" s="126">
        <v>3.7360009999999999</v>
      </c>
      <c r="K49" s="126">
        <v>7.0963560000000001</v>
      </c>
    </row>
    <row r="50" spans="1:11" ht="15" customHeight="1" x14ac:dyDescent="0.2">
      <c r="A50" s="172" t="s">
        <v>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K71"/>
  <sheetViews>
    <sheetView zoomScaleNormal="100" workbookViewId="0">
      <selection activeCell="A2" sqref="A2"/>
    </sheetView>
  </sheetViews>
  <sheetFormatPr defaultColWidth="9.140625" defaultRowHeight="12.75" outlineLevelRow="3" x14ac:dyDescent="0.2"/>
  <cols>
    <col min="1" max="1" width="65.85546875" customWidth="1"/>
    <col min="2" max="11" width="8" customWidth="1"/>
  </cols>
  <sheetData>
    <row r="2" spans="1:11" ht="15" customHeight="1" x14ac:dyDescent="0.25">
      <c r="A2" s="248" t="s">
        <v>517</v>
      </c>
    </row>
    <row r="4" spans="1:11" ht="15" customHeight="1" x14ac:dyDescent="0.2">
      <c r="A4" s="247" t="s">
        <v>518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</row>
    <row r="5" spans="1:11" ht="15" customHeight="1" x14ac:dyDescent="0.2">
      <c r="A5" s="247" t="s">
        <v>519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</row>
    <row r="6" spans="1:11" ht="15" customHeight="1" x14ac:dyDescent="0.2">
      <c r="A6" s="247" t="s">
        <v>371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</row>
    <row r="7" spans="1:11" ht="15" customHeight="1" x14ac:dyDescent="0.2">
      <c r="A7" s="247"/>
      <c r="B7" s="247" t="s">
        <v>520</v>
      </c>
      <c r="C7" s="247" t="s">
        <v>521</v>
      </c>
      <c r="D7" s="247" t="s">
        <v>522</v>
      </c>
      <c r="E7" s="247" t="s">
        <v>523</v>
      </c>
      <c r="F7" s="247" t="s">
        <v>304</v>
      </c>
      <c r="G7" s="247" t="s">
        <v>305</v>
      </c>
      <c r="H7" s="247" t="s">
        <v>306</v>
      </c>
      <c r="I7" s="247" t="s">
        <v>307</v>
      </c>
      <c r="J7" s="247" t="s">
        <v>308</v>
      </c>
      <c r="K7" s="247" t="s">
        <v>309</v>
      </c>
    </row>
    <row r="8" spans="1:11" ht="15" customHeight="1" x14ac:dyDescent="0.2">
      <c r="A8" s="247"/>
      <c r="B8" s="247"/>
      <c r="C8" s="247"/>
      <c r="D8" s="247"/>
      <c r="E8" s="247"/>
      <c r="F8" s="247"/>
      <c r="G8" s="247"/>
      <c r="H8" s="247"/>
      <c r="I8" s="247" t="s">
        <v>376</v>
      </c>
      <c r="J8" s="247"/>
      <c r="K8" s="247"/>
    </row>
    <row r="9" spans="1:11" ht="15" customHeight="1" x14ac:dyDescent="0.2">
      <c r="A9" s="154" t="s">
        <v>377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5" customHeight="1" outlineLevel="1" x14ac:dyDescent="0.2">
      <c r="A10" s="155" t="s">
        <v>378</v>
      </c>
      <c r="B10" s="179">
        <v>114.512</v>
      </c>
      <c r="C10" s="179">
        <v>509.1</v>
      </c>
      <c r="D10" s="179">
        <v>597.42499999999995</v>
      </c>
      <c r="E10" s="179">
        <v>967.32</v>
      </c>
      <c r="F10" s="179">
        <v>1251.1959999999999</v>
      </c>
      <c r="G10" s="179">
        <v>1197.9749999999999</v>
      </c>
      <c r="H10" s="179">
        <v>1412.684</v>
      </c>
      <c r="I10" s="179">
        <v>1388.232</v>
      </c>
      <c r="J10" s="179">
        <v>2069.4949999999999</v>
      </c>
      <c r="K10" s="179">
        <v>1703.7940000000001</v>
      </c>
    </row>
    <row r="11" spans="1:11" ht="15" customHeight="1" outlineLevel="2" x14ac:dyDescent="0.2">
      <c r="A11" s="157" t="s">
        <v>379</v>
      </c>
      <c r="B11" s="180">
        <v>59.863999999999997</v>
      </c>
      <c r="C11" s="180">
        <v>92.436999999999998</v>
      </c>
      <c r="D11" s="180">
        <v>116.664</v>
      </c>
      <c r="E11" s="180">
        <v>275.48599999999999</v>
      </c>
      <c r="F11" s="180">
        <v>378.12299999999999</v>
      </c>
      <c r="G11" s="180">
        <v>377.01299999999998</v>
      </c>
      <c r="H11" s="180">
        <v>331.02199999999999</v>
      </c>
      <c r="I11" s="180">
        <v>387.98700000000002</v>
      </c>
      <c r="J11" s="180">
        <v>512.66700000000003</v>
      </c>
      <c r="K11" s="180">
        <v>882.24199999999996</v>
      </c>
    </row>
    <row r="12" spans="1:11" ht="15" customHeight="1" outlineLevel="2" x14ac:dyDescent="0.2">
      <c r="A12" s="158" t="s">
        <v>380</v>
      </c>
      <c r="B12" s="181">
        <v>54.648000000000003</v>
      </c>
      <c r="C12" s="181">
        <v>416.66300000000001</v>
      </c>
      <c r="D12" s="181">
        <v>480.76100000000002</v>
      </c>
      <c r="E12" s="181">
        <v>691.83399999999995</v>
      </c>
      <c r="F12" s="181">
        <v>873.07299999999998</v>
      </c>
      <c r="G12" s="181">
        <v>820.96199999999999</v>
      </c>
      <c r="H12" s="181">
        <v>1081.662</v>
      </c>
      <c r="I12" s="181">
        <v>1000.245</v>
      </c>
      <c r="J12" s="181">
        <v>1556.828</v>
      </c>
      <c r="K12" s="181">
        <v>821.55200000000002</v>
      </c>
    </row>
    <row r="13" spans="1:11" ht="15" customHeight="1" outlineLevel="1" x14ac:dyDescent="0.2">
      <c r="A13" s="159" t="s">
        <v>381</v>
      </c>
      <c r="B13" s="182">
        <v>38.984000000000002</v>
      </c>
      <c r="C13" s="182">
        <v>60.676000000000002</v>
      </c>
      <c r="D13" s="182">
        <v>77.099999999999994</v>
      </c>
      <c r="E13" s="182">
        <v>92.516999999999996</v>
      </c>
      <c r="F13" s="182">
        <v>126.43300000000001</v>
      </c>
      <c r="G13" s="182">
        <v>157.36199999999999</v>
      </c>
      <c r="H13" s="182">
        <v>226.84899999999999</v>
      </c>
      <c r="I13" s="182">
        <v>295.303</v>
      </c>
      <c r="J13" s="182">
        <v>334.82900000000001</v>
      </c>
      <c r="K13" s="182">
        <v>419.14600000000002</v>
      </c>
    </row>
    <row r="14" spans="1:11" ht="15" customHeight="1" outlineLevel="2" x14ac:dyDescent="0.2">
      <c r="A14" s="161" t="s">
        <v>382</v>
      </c>
      <c r="B14" s="179">
        <v>38.984000000000002</v>
      </c>
      <c r="C14" s="179">
        <v>60.676000000000002</v>
      </c>
      <c r="D14" s="179">
        <v>77.099999999999994</v>
      </c>
      <c r="E14" s="179">
        <v>92.516999999999996</v>
      </c>
      <c r="F14" s="179">
        <v>126.43300000000001</v>
      </c>
      <c r="G14" s="179">
        <v>157.36199999999999</v>
      </c>
      <c r="H14" s="179">
        <v>226.84899999999999</v>
      </c>
      <c r="I14" s="179">
        <v>295.303</v>
      </c>
      <c r="J14" s="179">
        <v>334.82900000000001</v>
      </c>
      <c r="K14" s="179">
        <v>419.14600000000002</v>
      </c>
    </row>
    <row r="15" spans="1:11" ht="15" customHeight="1" outlineLevel="3" x14ac:dyDescent="0.2">
      <c r="A15" s="162" t="s">
        <v>383</v>
      </c>
      <c r="B15" s="180">
        <v>39.600999999999999</v>
      </c>
      <c r="C15" s="180">
        <v>61.314</v>
      </c>
      <c r="D15" s="180">
        <v>78.417000000000002</v>
      </c>
      <c r="E15" s="180">
        <v>94.100999999999999</v>
      </c>
      <c r="F15" s="180">
        <v>128.42599999999999</v>
      </c>
      <c r="G15" s="180">
        <v>159.13</v>
      </c>
      <c r="H15" s="180">
        <v>230.11500000000001</v>
      </c>
      <c r="I15" s="180">
        <v>300.81900000000002</v>
      </c>
      <c r="J15" s="180">
        <v>340.91699999999997</v>
      </c>
      <c r="K15" s="180">
        <v>425.971</v>
      </c>
    </row>
    <row r="16" spans="1:11" ht="15" customHeight="1" outlineLevel="3" x14ac:dyDescent="0.2">
      <c r="A16" s="163" t="s">
        <v>384</v>
      </c>
      <c r="B16" s="183">
        <v>-0.61699999999999999</v>
      </c>
      <c r="C16" s="183">
        <v>-0.63800000000000001</v>
      </c>
      <c r="D16" s="183">
        <v>-1.3169999999999999</v>
      </c>
      <c r="E16" s="183">
        <v>-1.5840000000000001</v>
      </c>
      <c r="F16" s="183">
        <v>-1.9930000000000001</v>
      </c>
      <c r="G16" s="183">
        <v>-1.768</v>
      </c>
      <c r="H16" s="183">
        <v>-3.266</v>
      </c>
      <c r="I16" s="183">
        <v>-5.516</v>
      </c>
      <c r="J16" s="183">
        <v>-6.0880000000000001</v>
      </c>
      <c r="K16" s="183">
        <v>-6.8250000000000002</v>
      </c>
    </row>
    <row r="17" spans="1:11" ht="15" customHeight="1" outlineLevel="1" x14ac:dyDescent="0.2">
      <c r="A17" s="159" t="s">
        <v>386</v>
      </c>
      <c r="B17" s="182">
        <v>13.731999999999999</v>
      </c>
      <c r="C17" s="182">
        <v>19.382000000000001</v>
      </c>
      <c r="D17" s="182">
        <v>14.228999999999999</v>
      </c>
      <c r="E17" s="182">
        <v>17.809000000000001</v>
      </c>
      <c r="F17" s="182">
        <v>34.716000000000001</v>
      </c>
      <c r="G17" s="182">
        <v>38.387999999999998</v>
      </c>
      <c r="H17" s="182">
        <v>44.073999999999998</v>
      </c>
      <c r="I17" s="182">
        <v>88.679000000000002</v>
      </c>
      <c r="J17" s="182">
        <v>80.585999999999999</v>
      </c>
      <c r="K17" s="182">
        <v>100.611</v>
      </c>
    </row>
    <row r="18" spans="1:11" ht="15" customHeight="1" outlineLevel="2" x14ac:dyDescent="0.2">
      <c r="A18" s="158" t="s">
        <v>387</v>
      </c>
      <c r="B18" s="181">
        <v>5.2990000000000004</v>
      </c>
      <c r="C18" s="181">
        <v>4.9640000000000004</v>
      </c>
      <c r="D18" s="165"/>
      <c r="E18" s="165"/>
      <c r="F18" s="165"/>
      <c r="G18" s="165"/>
      <c r="H18" s="165"/>
      <c r="I18" s="165"/>
      <c r="J18" s="165"/>
      <c r="K18" s="165"/>
    </row>
    <row r="19" spans="1:11" ht="15" customHeight="1" outlineLevel="2" x14ac:dyDescent="0.2">
      <c r="A19" s="157" t="s">
        <v>388</v>
      </c>
      <c r="B19" s="180">
        <v>8.4329999999999998</v>
      </c>
      <c r="C19" s="180">
        <v>14.417999999999999</v>
      </c>
      <c r="D19" s="180">
        <v>14.228999999999999</v>
      </c>
      <c r="E19" s="180">
        <v>17.809000000000001</v>
      </c>
      <c r="F19" s="180">
        <v>34.716000000000001</v>
      </c>
      <c r="G19" s="180">
        <v>38.387999999999998</v>
      </c>
      <c r="H19" s="180">
        <v>44.073999999999998</v>
      </c>
      <c r="I19" s="180">
        <v>88.679000000000002</v>
      </c>
      <c r="J19" s="180">
        <v>80.585999999999999</v>
      </c>
      <c r="K19" s="180">
        <v>100.611</v>
      </c>
    </row>
    <row r="20" spans="1:11" ht="15" customHeight="1" outlineLevel="1" x14ac:dyDescent="0.2">
      <c r="A20" s="171" t="s">
        <v>389</v>
      </c>
      <c r="B20" s="181">
        <v>167.22800000000001</v>
      </c>
      <c r="C20" s="181">
        <v>589.15800000000002</v>
      </c>
      <c r="D20" s="181">
        <v>688.75400000000002</v>
      </c>
      <c r="E20" s="181">
        <v>1077.646</v>
      </c>
      <c r="F20" s="181">
        <v>1412.345</v>
      </c>
      <c r="G20" s="181">
        <v>1393.7249999999999</v>
      </c>
      <c r="H20" s="181">
        <v>1683.607</v>
      </c>
      <c r="I20" s="181">
        <v>1772.2139999999999</v>
      </c>
      <c r="J20" s="181">
        <v>2484.91</v>
      </c>
      <c r="K20" s="181">
        <v>2223.5509999999999</v>
      </c>
    </row>
    <row r="21" spans="1:11" ht="15" customHeight="1" outlineLevel="1" x14ac:dyDescent="0.2">
      <c r="A21" s="159" t="s">
        <v>390</v>
      </c>
      <c r="B21" s="182">
        <v>30.201000000000001</v>
      </c>
      <c r="C21" s="182">
        <v>43.293999999999997</v>
      </c>
      <c r="D21" s="182">
        <v>52.468000000000004</v>
      </c>
      <c r="E21" s="182">
        <v>318.03899999999999</v>
      </c>
      <c r="F21" s="182">
        <v>377.01600000000002</v>
      </c>
      <c r="G21" s="182">
        <v>376.96199999999999</v>
      </c>
      <c r="H21" s="182">
        <v>424.53100000000001</v>
      </c>
      <c r="I21" s="182">
        <v>354.40199999999999</v>
      </c>
      <c r="J21" s="182">
        <v>330.39499999999998</v>
      </c>
      <c r="K21" s="182">
        <v>342.69</v>
      </c>
    </row>
    <row r="22" spans="1:11" ht="15" customHeight="1" outlineLevel="2" x14ac:dyDescent="0.2">
      <c r="A22" s="161" t="s">
        <v>391</v>
      </c>
      <c r="B22" s="179">
        <v>42.999000000000002</v>
      </c>
      <c r="C22" s="179">
        <v>65.52</v>
      </c>
      <c r="D22" s="179">
        <v>86.91</v>
      </c>
      <c r="E22" s="179">
        <v>367.11799999999999</v>
      </c>
      <c r="F22" s="179">
        <v>447.86900000000003</v>
      </c>
      <c r="G22" s="179">
        <v>463.589</v>
      </c>
      <c r="H22" s="179">
        <v>536.976</v>
      </c>
      <c r="I22" s="179">
        <v>499.75799999999998</v>
      </c>
      <c r="J22" s="179">
        <v>476.97199999999998</v>
      </c>
      <c r="K22" s="179">
        <v>518.54499999999996</v>
      </c>
    </row>
    <row r="23" spans="1:11" ht="15" customHeight="1" outlineLevel="3" x14ac:dyDescent="0.2">
      <c r="A23" s="162" t="s">
        <v>524</v>
      </c>
      <c r="B23" s="180">
        <v>0.32200000000000001</v>
      </c>
      <c r="C23" s="180">
        <v>3.198</v>
      </c>
      <c r="D23" s="180">
        <v>2.4980000000000002</v>
      </c>
      <c r="E23" s="180">
        <v>23.713999999999999</v>
      </c>
      <c r="F23" s="180">
        <v>10.013999999999999</v>
      </c>
      <c r="G23" s="180">
        <v>4.141</v>
      </c>
      <c r="H23" s="180">
        <v>1.6990000000000001</v>
      </c>
      <c r="I23" s="180">
        <v>0</v>
      </c>
      <c r="J23" s="180">
        <v>1.6120000000000001</v>
      </c>
      <c r="K23" s="180">
        <v>5.5819999999999999</v>
      </c>
    </row>
    <row r="24" spans="1:11" ht="15" customHeight="1" outlineLevel="3" x14ac:dyDescent="0.2">
      <c r="A24" s="163" t="s">
        <v>394</v>
      </c>
      <c r="B24" s="181">
        <v>4.7380000000000004</v>
      </c>
      <c r="C24" s="181">
        <v>3.45</v>
      </c>
      <c r="D24" s="181">
        <v>3.45</v>
      </c>
      <c r="E24" s="181">
        <v>3.45</v>
      </c>
      <c r="F24" s="181">
        <v>3.45</v>
      </c>
      <c r="G24" s="165"/>
      <c r="H24" s="165"/>
      <c r="I24" s="165"/>
      <c r="J24" s="165"/>
      <c r="K24" s="165"/>
    </row>
    <row r="25" spans="1:11" ht="15" customHeight="1" outlineLevel="3" x14ac:dyDescent="0.2">
      <c r="A25" s="162" t="s">
        <v>395</v>
      </c>
      <c r="B25" s="180">
        <v>6.0720000000000001</v>
      </c>
      <c r="C25" s="180">
        <v>11.723000000000001</v>
      </c>
      <c r="D25" s="180">
        <v>22.498000000000001</v>
      </c>
      <c r="E25" s="180">
        <v>34.627000000000002</v>
      </c>
      <c r="F25" s="180">
        <v>48.457999999999998</v>
      </c>
      <c r="G25" s="180">
        <v>68.37</v>
      </c>
      <c r="H25" s="180">
        <v>96.313999999999993</v>
      </c>
      <c r="I25" s="180">
        <v>115.307</v>
      </c>
      <c r="J25" s="180">
        <v>125.73</v>
      </c>
      <c r="K25" s="180">
        <v>167.82900000000001</v>
      </c>
    </row>
    <row r="26" spans="1:11" ht="15" customHeight="1" outlineLevel="3" x14ac:dyDescent="0.2">
      <c r="A26" s="163" t="s">
        <v>396</v>
      </c>
      <c r="B26" s="181">
        <v>31.867000000000001</v>
      </c>
      <c r="C26" s="181">
        <v>47.149000000000001</v>
      </c>
      <c r="D26" s="181">
        <v>58.463999999999999</v>
      </c>
      <c r="E26" s="181">
        <v>70.936999999999998</v>
      </c>
      <c r="F26" s="181">
        <v>110.054</v>
      </c>
      <c r="G26" s="181">
        <v>110.25</v>
      </c>
      <c r="H26" s="181">
        <v>119.65900000000001</v>
      </c>
      <c r="I26" s="181">
        <v>133.38</v>
      </c>
      <c r="J26" s="181">
        <v>133.4</v>
      </c>
      <c r="K26" s="181">
        <v>144.31299999999999</v>
      </c>
    </row>
    <row r="27" spans="1:11" ht="15" customHeight="1" outlineLevel="3" x14ac:dyDescent="0.2">
      <c r="A27" s="162" t="s">
        <v>397</v>
      </c>
      <c r="B27" s="166"/>
      <c r="C27" s="166"/>
      <c r="D27" s="166"/>
      <c r="E27" s="180">
        <v>234.39</v>
      </c>
      <c r="F27" s="180">
        <v>275.89299999999997</v>
      </c>
      <c r="G27" s="180">
        <v>280.82799999999997</v>
      </c>
      <c r="H27" s="180">
        <v>319.30399999999997</v>
      </c>
      <c r="I27" s="180">
        <v>251.071</v>
      </c>
      <c r="J27" s="180">
        <v>216.23</v>
      </c>
      <c r="K27" s="180">
        <v>200.821</v>
      </c>
    </row>
    <row r="28" spans="1:11" ht="15" customHeight="1" outlineLevel="2" x14ac:dyDescent="0.2">
      <c r="A28" s="158" t="s">
        <v>398</v>
      </c>
      <c r="B28" s="181">
        <v>12.798</v>
      </c>
      <c r="C28" s="181">
        <v>22.225999999999999</v>
      </c>
      <c r="D28" s="181">
        <v>34.442</v>
      </c>
      <c r="E28" s="181">
        <v>49.079000000000001</v>
      </c>
      <c r="F28" s="181">
        <v>70.852999999999994</v>
      </c>
      <c r="G28" s="181">
        <v>86.626999999999995</v>
      </c>
      <c r="H28" s="181">
        <v>112.44499999999999</v>
      </c>
      <c r="I28" s="181">
        <v>145.35599999999999</v>
      </c>
      <c r="J28" s="181">
        <v>146.577</v>
      </c>
      <c r="K28" s="181">
        <v>175.85499999999999</v>
      </c>
    </row>
    <row r="29" spans="1:11" ht="15" customHeight="1" outlineLevel="1" x14ac:dyDescent="0.2">
      <c r="A29" s="159" t="s">
        <v>399</v>
      </c>
      <c r="B29" s="182">
        <v>36.039000000000001</v>
      </c>
      <c r="C29" s="182">
        <v>31.741</v>
      </c>
      <c r="D29" s="182">
        <v>11.9</v>
      </c>
      <c r="E29" s="182">
        <v>61.204999999999998</v>
      </c>
      <c r="F29" s="182">
        <v>40.426000000000002</v>
      </c>
      <c r="G29" s="182">
        <v>198.42400000000001</v>
      </c>
      <c r="H29" s="182">
        <v>165.34399999999999</v>
      </c>
      <c r="I29" s="182">
        <v>370.85599999999999</v>
      </c>
      <c r="J29" s="182">
        <v>230.76499999999999</v>
      </c>
      <c r="K29" s="182">
        <v>262.42899999999997</v>
      </c>
    </row>
    <row r="30" spans="1:11" ht="15" customHeight="1" outlineLevel="2" x14ac:dyDescent="0.2">
      <c r="A30" s="158" t="s">
        <v>525</v>
      </c>
      <c r="B30" s="181">
        <v>0</v>
      </c>
      <c r="C30" s="181">
        <v>0</v>
      </c>
      <c r="D30" s="181">
        <v>0</v>
      </c>
      <c r="E30" s="181">
        <v>4.4000000000000004</v>
      </c>
      <c r="F30" s="181">
        <v>6.7</v>
      </c>
      <c r="G30" s="181">
        <v>20.5</v>
      </c>
      <c r="H30" s="181">
        <v>49.4</v>
      </c>
      <c r="I30" s="181">
        <v>41.1</v>
      </c>
      <c r="J30" s="181">
        <v>72.5</v>
      </c>
      <c r="K30" s="181">
        <v>103.988</v>
      </c>
    </row>
    <row r="31" spans="1:11" ht="15" customHeight="1" outlineLevel="2" x14ac:dyDescent="0.2">
      <c r="A31" s="157" t="s">
        <v>400</v>
      </c>
      <c r="B31" s="180">
        <v>36.039000000000001</v>
      </c>
      <c r="C31" s="180">
        <v>31.741</v>
      </c>
      <c r="D31" s="180">
        <v>11.9</v>
      </c>
      <c r="E31" s="180">
        <v>56.805</v>
      </c>
      <c r="F31" s="180">
        <v>33.725999999999999</v>
      </c>
      <c r="G31" s="180">
        <v>177.92400000000001</v>
      </c>
      <c r="H31" s="180">
        <v>115.944</v>
      </c>
      <c r="I31" s="180">
        <v>329.75599999999997</v>
      </c>
      <c r="J31" s="180">
        <v>158.26499999999999</v>
      </c>
      <c r="K31" s="180">
        <v>158.441</v>
      </c>
    </row>
    <row r="32" spans="1:11" ht="15" customHeight="1" outlineLevel="1" x14ac:dyDescent="0.2">
      <c r="A32" s="155" t="s">
        <v>402</v>
      </c>
      <c r="B32" s="179">
        <v>16.312000000000001</v>
      </c>
      <c r="C32" s="179">
        <v>30.021999999999998</v>
      </c>
      <c r="D32" s="179">
        <v>32.615000000000002</v>
      </c>
      <c r="E32" s="179">
        <v>58.795000000000002</v>
      </c>
      <c r="F32" s="179">
        <v>66.543000000000006</v>
      </c>
      <c r="G32" s="179">
        <v>97.498000000000005</v>
      </c>
      <c r="H32" s="179">
        <v>127.46299999999999</v>
      </c>
      <c r="I32" s="179">
        <v>322.30599999999998</v>
      </c>
      <c r="J32" s="179">
        <v>401.55500000000001</v>
      </c>
      <c r="K32" s="179">
        <v>540.471</v>
      </c>
    </row>
    <row r="33" spans="1:11" ht="15" customHeight="1" outlineLevel="2" x14ac:dyDescent="0.2">
      <c r="A33" s="157" t="s">
        <v>125</v>
      </c>
      <c r="B33" s="180">
        <v>9.7729999999999997</v>
      </c>
      <c r="C33" s="180">
        <v>14.95</v>
      </c>
      <c r="D33" s="180">
        <v>14.95</v>
      </c>
      <c r="E33" s="180">
        <v>30.25</v>
      </c>
      <c r="F33" s="180">
        <v>31.318000000000001</v>
      </c>
      <c r="G33" s="180">
        <v>47.075000000000003</v>
      </c>
      <c r="H33" s="180">
        <v>46.226999999999997</v>
      </c>
      <c r="I33" s="180">
        <v>173.761</v>
      </c>
      <c r="J33" s="180">
        <v>209.50800000000001</v>
      </c>
      <c r="K33" s="180">
        <v>291.452</v>
      </c>
    </row>
    <row r="34" spans="1:11" ht="15" customHeight="1" outlineLevel="2" x14ac:dyDescent="0.2">
      <c r="A34" s="158" t="s">
        <v>403</v>
      </c>
      <c r="B34" s="181">
        <v>6.5389999999999997</v>
      </c>
      <c r="C34" s="181">
        <v>15.071999999999999</v>
      </c>
      <c r="D34" s="181">
        <v>17.664999999999999</v>
      </c>
      <c r="E34" s="181">
        <v>28.545000000000002</v>
      </c>
      <c r="F34" s="181">
        <v>35.225000000000001</v>
      </c>
      <c r="G34" s="181">
        <v>50.423000000000002</v>
      </c>
      <c r="H34" s="181">
        <v>81.236000000000004</v>
      </c>
      <c r="I34" s="181">
        <v>148.54499999999999</v>
      </c>
      <c r="J34" s="181">
        <v>192.047</v>
      </c>
      <c r="K34" s="181">
        <v>249.01900000000001</v>
      </c>
    </row>
    <row r="35" spans="1:11" ht="15" customHeight="1" outlineLevel="1" x14ac:dyDescent="0.2">
      <c r="A35" s="159" t="s">
        <v>405</v>
      </c>
      <c r="B35" s="182">
        <v>9.9749999999999996</v>
      </c>
      <c r="C35" s="182">
        <v>17.96</v>
      </c>
      <c r="D35" s="182">
        <v>48.216000000000001</v>
      </c>
      <c r="E35" s="182">
        <v>53.582999999999998</v>
      </c>
      <c r="F35" s="182">
        <v>77.036000000000001</v>
      </c>
      <c r="G35" s="182">
        <v>108.245</v>
      </c>
      <c r="H35" s="182">
        <v>143.79300000000001</v>
      </c>
      <c r="I35" s="182">
        <v>251.614</v>
      </c>
      <c r="J35" s="182">
        <v>348.20800000000003</v>
      </c>
      <c r="K35" s="182">
        <v>485.01</v>
      </c>
    </row>
    <row r="36" spans="1:11" ht="15" customHeight="1" outlineLevel="2" x14ac:dyDescent="0.2">
      <c r="A36" s="158" t="s">
        <v>406</v>
      </c>
      <c r="B36" s="181">
        <v>9.0250000000000004</v>
      </c>
      <c r="C36" s="181">
        <v>13.343</v>
      </c>
      <c r="D36" s="181">
        <v>41.777999999999999</v>
      </c>
      <c r="E36" s="181">
        <v>51.188000000000002</v>
      </c>
      <c r="F36" s="181">
        <v>72.872</v>
      </c>
      <c r="G36" s="181">
        <v>102.53</v>
      </c>
      <c r="H36" s="181">
        <v>137.55099999999999</v>
      </c>
      <c r="I36" s="181">
        <v>221.52</v>
      </c>
      <c r="J36" s="181">
        <v>309.50700000000001</v>
      </c>
      <c r="K36" s="181">
        <v>445.17500000000001</v>
      </c>
    </row>
    <row r="37" spans="1:11" ht="15" customHeight="1" outlineLevel="2" x14ac:dyDescent="0.2">
      <c r="A37" s="157" t="s">
        <v>407</v>
      </c>
      <c r="B37" s="180">
        <v>0.95</v>
      </c>
      <c r="C37" s="180">
        <v>4.617</v>
      </c>
      <c r="D37" s="180">
        <v>6.4379999999999997</v>
      </c>
      <c r="E37" s="180">
        <v>2.395</v>
      </c>
      <c r="F37" s="180">
        <v>4.1639999999999997</v>
      </c>
      <c r="G37" s="180">
        <v>5.7149999999999999</v>
      </c>
      <c r="H37" s="180">
        <v>6.242</v>
      </c>
      <c r="I37" s="180">
        <v>30.094000000000001</v>
      </c>
      <c r="J37" s="180">
        <v>38.701000000000001</v>
      </c>
      <c r="K37" s="180">
        <v>39.835000000000001</v>
      </c>
    </row>
    <row r="38" spans="1:11" ht="15" customHeight="1" outlineLevel="1" x14ac:dyDescent="0.2">
      <c r="A38" s="171" t="s">
        <v>408</v>
      </c>
      <c r="B38" s="181">
        <v>259.755</v>
      </c>
      <c r="C38" s="181">
        <v>712.17499999999995</v>
      </c>
      <c r="D38" s="181">
        <v>833.95299999999997</v>
      </c>
      <c r="E38" s="181">
        <v>1569.268</v>
      </c>
      <c r="F38" s="181">
        <v>1973.366</v>
      </c>
      <c r="G38" s="181">
        <v>2174.8539999999998</v>
      </c>
      <c r="H38" s="181">
        <v>2544.7379999999998</v>
      </c>
      <c r="I38" s="181">
        <v>3071.3919999999998</v>
      </c>
      <c r="J38" s="181">
        <v>3795.8330000000001</v>
      </c>
      <c r="K38" s="181">
        <v>3854.1509999999998</v>
      </c>
    </row>
    <row r="39" spans="1:11" ht="15" customHeight="1" x14ac:dyDescent="0.2">
      <c r="A39" s="154" t="s">
        <v>409</v>
      </c>
      <c r="B39" s="154"/>
      <c r="C39" s="154"/>
      <c r="D39" s="154"/>
      <c r="E39" s="154"/>
      <c r="F39" s="154"/>
      <c r="G39" s="154"/>
      <c r="H39" s="154"/>
      <c r="I39" s="154"/>
      <c r="J39" s="154"/>
      <c r="K39" s="154"/>
    </row>
    <row r="40" spans="1:11" ht="15" customHeight="1" outlineLevel="1" x14ac:dyDescent="0.2">
      <c r="A40" s="155" t="s">
        <v>410</v>
      </c>
      <c r="B40" s="169"/>
      <c r="C40" s="169"/>
      <c r="D40" s="169"/>
      <c r="E40" s="169"/>
      <c r="F40" s="169"/>
      <c r="G40" s="169"/>
      <c r="H40" s="169"/>
      <c r="I40" s="169"/>
      <c r="J40" s="169"/>
      <c r="K40" s="169"/>
    </row>
    <row r="41" spans="1:11" ht="15" customHeight="1" outlineLevel="2" x14ac:dyDescent="0.2">
      <c r="A41" s="157" t="s">
        <v>411</v>
      </c>
      <c r="B41" s="180">
        <v>0.79600000000000004</v>
      </c>
      <c r="C41" s="180">
        <v>0</v>
      </c>
      <c r="D41" s="180">
        <v>0</v>
      </c>
      <c r="E41" s="180">
        <v>23.640999999999998</v>
      </c>
      <c r="F41" s="180">
        <v>37.856999999999999</v>
      </c>
      <c r="G41" s="180">
        <v>45.994</v>
      </c>
      <c r="H41" s="180">
        <v>35.927999999999997</v>
      </c>
      <c r="I41" s="180">
        <v>35.046999999999997</v>
      </c>
      <c r="J41" s="180">
        <v>490.87700000000001</v>
      </c>
      <c r="K41" s="180">
        <v>39.703000000000003</v>
      </c>
    </row>
    <row r="42" spans="1:11" ht="15" customHeight="1" outlineLevel="2" x14ac:dyDescent="0.2">
      <c r="A42" s="158" t="s">
        <v>412</v>
      </c>
      <c r="B42" s="181">
        <v>4.3499999999999996</v>
      </c>
      <c r="C42" s="181">
        <v>4.657</v>
      </c>
      <c r="D42" s="181">
        <v>7.81</v>
      </c>
      <c r="E42" s="181">
        <v>12.842000000000001</v>
      </c>
      <c r="F42" s="181">
        <v>13.54</v>
      </c>
      <c r="G42" s="181">
        <v>2.7730000000000001</v>
      </c>
      <c r="H42" s="181">
        <v>20.882999999999999</v>
      </c>
      <c r="I42" s="181">
        <v>9.1059999999999999</v>
      </c>
      <c r="J42" s="181">
        <v>3.649</v>
      </c>
      <c r="K42" s="181">
        <v>24.763999999999999</v>
      </c>
    </row>
    <row r="43" spans="1:11" ht="15" customHeight="1" outlineLevel="2" x14ac:dyDescent="0.2">
      <c r="A43" s="168" t="s">
        <v>414</v>
      </c>
      <c r="B43" s="182">
        <v>122.23699999999999</v>
      </c>
      <c r="C43" s="182">
        <v>173.63900000000001</v>
      </c>
      <c r="D43" s="182">
        <v>229.19900000000001</v>
      </c>
      <c r="E43" s="182">
        <v>286.00599999999997</v>
      </c>
      <c r="F43" s="182">
        <v>394.10399999999998</v>
      </c>
      <c r="G43" s="182">
        <v>568.70699999999999</v>
      </c>
      <c r="H43" s="182">
        <v>704.84199999999998</v>
      </c>
      <c r="I43" s="182">
        <v>897.85500000000002</v>
      </c>
      <c r="J43" s="182">
        <v>1078.873</v>
      </c>
      <c r="K43" s="182">
        <v>1403.0039999999999</v>
      </c>
    </row>
    <row r="44" spans="1:11" ht="15" customHeight="1" outlineLevel="3" x14ac:dyDescent="0.2">
      <c r="A44" s="163" t="s">
        <v>415</v>
      </c>
      <c r="B44" s="181">
        <v>11.414999999999999</v>
      </c>
      <c r="C44" s="181">
        <v>16.329000000000001</v>
      </c>
      <c r="D44" s="181">
        <v>23.588999999999999</v>
      </c>
      <c r="E44" s="181">
        <v>26.318000000000001</v>
      </c>
      <c r="F44" s="181">
        <v>44.054000000000002</v>
      </c>
      <c r="G44" s="181">
        <v>63.835999999999999</v>
      </c>
      <c r="H44" s="181">
        <v>62.845999999999997</v>
      </c>
      <c r="I44" s="181">
        <v>131.631</v>
      </c>
      <c r="J44" s="181">
        <v>169.48500000000001</v>
      </c>
      <c r="K44" s="181">
        <v>231.19800000000001</v>
      </c>
    </row>
    <row r="45" spans="1:11" ht="15" customHeight="1" outlineLevel="3" x14ac:dyDescent="0.2">
      <c r="A45" s="162" t="s">
        <v>416</v>
      </c>
      <c r="B45" s="180">
        <v>110.822</v>
      </c>
      <c r="C45" s="180">
        <v>157.31</v>
      </c>
      <c r="D45" s="180">
        <v>205.61</v>
      </c>
      <c r="E45" s="180">
        <v>259.68799999999999</v>
      </c>
      <c r="F45" s="180">
        <v>350.05</v>
      </c>
      <c r="G45" s="180">
        <v>504.87099999999998</v>
      </c>
      <c r="H45" s="180">
        <v>641.99599999999998</v>
      </c>
      <c r="I45" s="180">
        <v>766.22400000000005</v>
      </c>
      <c r="J45" s="180">
        <v>909.38800000000003</v>
      </c>
      <c r="K45" s="180">
        <v>1171.806</v>
      </c>
    </row>
    <row r="46" spans="1:11" ht="15" customHeight="1" outlineLevel="2" x14ac:dyDescent="0.2">
      <c r="A46" s="158" t="s">
        <v>417</v>
      </c>
      <c r="B46" s="181">
        <v>127.383</v>
      </c>
      <c r="C46" s="181">
        <v>178.29599999999999</v>
      </c>
      <c r="D46" s="181">
        <v>237.00899999999999</v>
      </c>
      <c r="E46" s="181">
        <v>322.48899999999998</v>
      </c>
      <c r="F46" s="181">
        <v>445.50099999999998</v>
      </c>
      <c r="G46" s="181">
        <v>617.47400000000005</v>
      </c>
      <c r="H46" s="181">
        <v>761.65300000000002</v>
      </c>
      <c r="I46" s="181">
        <v>942.00800000000004</v>
      </c>
      <c r="J46" s="181">
        <v>1573.3989999999999</v>
      </c>
      <c r="K46" s="181">
        <v>1467.471</v>
      </c>
    </row>
    <row r="47" spans="1:11" ht="15" customHeight="1" outlineLevel="1" x14ac:dyDescent="0.2">
      <c r="A47" s="159" t="s">
        <v>418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</row>
    <row r="48" spans="1:11" ht="15" customHeight="1" outlineLevel="2" x14ac:dyDescent="0.2">
      <c r="A48" s="161" t="s">
        <v>419</v>
      </c>
      <c r="B48" s="179">
        <v>0.27500000000000002</v>
      </c>
      <c r="C48" s="179">
        <v>298.447</v>
      </c>
      <c r="D48" s="179">
        <v>318.78199999999998</v>
      </c>
      <c r="E48" s="179">
        <v>584.78</v>
      </c>
      <c r="F48" s="179">
        <v>750.76300000000003</v>
      </c>
      <c r="G48" s="179">
        <v>666.97400000000005</v>
      </c>
      <c r="H48" s="179">
        <v>770.41099999999994</v>
      </c>
      <c r="I48" s="179">
        <v>752.76700000000005</v>
      </c>
      <c r="J48" s="179">
        <v>254.53899999999999</v>
      </c>
      <c r="K48" s="179">
        <v>222.602</v>
      </c>
    </row>
    <row r="49" spans="1:11" ht="15" customHeight="1" outlineLevel="3" x14ac:dyDescent="0.2">
      <c r="A49" s="162" t="s">
        <v>420</v>
      </c>
      <c r="B49" s="180">
        <v>0</v>
      </c>
      <c r="C49" s="180">
        <v>298.447</v>
      </c>
      <c r="D49" s="180">
        <v>318.78199999999998</v>
      </c>
      <c r="E49" s="180">
        <v>340.56400000000002</v>
      </c>
      <c r="F49" s="180">
        <v>471.09899999999999</v>
      </c>
      <c r="G49" s="180">
        <v>383.101</v>
      </c>
      <c r="H49" s="180">
        <v>454.22699999999998</v>
      </c>
      <c r="I49" s="180">
        <v>456.20600000000002</v>
      </c>
      <c r="J49" s="180">
        <v>0</v>
      </c>
      <c r="K49" s="180">
        <v>0</v>
      </c>
    </row>
    <row r="50" spans="1:11" ht="15" customHeight="1" outlineLevel="3" x14ac:dyDescent="0.2">
      <c r="A50" s="163" t="s">
        <v>421</v>
      </c>
      <c r="B50" s="181">
        <v>0.27500000000000002</v>
      </c>
      <c r="C50" s="181">
        <v>0</v>
      </c>
      <c r="D50" s="181">
        <v>0</v>
      </c>
      <c r="E50" s="181">
        <v>244.21600000000001</v>
      </c>
      <c r="F50" s="181">
        <v>279.66399999999999</v>
      </c>
      <c r="G50" s="181">
        <v>283.87299999999999</v>
      </c>
      <c r="H50" s="181">
        <v>316.18400000000003</v>
      </c>
      <c r="I50" s="181">
        <v>296.56099999999998</v>
      </c>
      <c r="J50" s="181">
        <v>254.53899999999999</v>
      </c>
      <c r="K50" s="181">
        <v>222.602</v>
      </c>
    </row>
    <row r="51" spans="1:11" ht="15" customHeight="1" outlineLevel="2" x14ac:dyDescent="0.2">
      <c r="A51" s="157" t="s">
        <v>526</v>
      </c>
      <c r="B51" s="180">
        <v>0.59099999999999997</v>
      </c>
      <c r="C51" s="180">
        <v>0</v>
      </c>
      <c r="D51" s="180">
        <v>0</v>
      </c>
      <c r="E51" s="180">
        <v>0</v>
      </c>
      <c r="F51" s="180">
        <v>0</v>
      </c>
      <c r="G51" s="180">
        <v>0</v>
      </c>
      <c r="H51" s="180">
        <v>0</v>
      </c>
      <c r="I51" s="180">
        <v>0</v>
      </c>
      <c r="J51" s="180">
        <v>0</v>
      </c>
      <c r="K51" s="180">
        <v>0</v>
      </c>
    </row>
    <row r="52" spans="1:11" ht="15" customHeight="1" outlineLevel="2" x14ac:dyDescent="0.2">
      <c r="A52" s="161" t="s">
        <v>423</v>
      </c>
      <c r="B52" s="179">
        <v>12.805999999999999</v>
      </c>
      <c r="C52" s="179">
        <v>25.071999999999999</v>
      </c>
      <c r="D52" s="179">
        <v>33.521000000000001</v>
      </c>
      <c r="E52" s="179">
        <v>12.041</v>
      </c>
      <c r="F52" s="179">
        <v>14.446999999999999</v>
      </c>
      <c r="G52" s="179">
        <v>16.606999999999999</v>
      </c>
      <c r="H52" s="179">
        <v>20.45</v>
      </c>
      <c r="I52" s="179">
        <v>42.268999999999998</v>
      </c>
      <c r="J52" s="179">
        <v>59.609000000000002</v>
      </c>
      <c r="K52" s="179">
        <v>97.834000000000003</v>
      </c>
    </row>
    <row r="53" spans="1:11" ht="15" customHeight="1" outlineLevel="3" x14ac:dyDescent="0.2">
      <c r="A53" s="162" t="s">
        <v>424</v>
      </c>
      <c r="B53" s="180">
        <v>11.635</v>
      </c>
      <c r="C53" s="180">
        <v>22.795000000000002</v>
      </c>
      <c r="D53" s="180">
        <v>31.341999999999999</v>
      </c>
      <c r="E53" s="180">
        <v>8.9830000000000005</v>
      </c>
      <c r="F53" s="180">
        <v>10.811</v>
      </c>
      <c r="G53" s="180">
        <v>12.134</v>
      </c>
      <c r="H53" s="180">
        <v>14.545999999999999</v>
      </c>
      <c r="I53" s="180">
        <v>36.459000000000003</v>
      </c>
      <c r="J53" s="180">
        <v>55.64</v>
      </c>
      <c r="K53" s="180">
        <v>89.338999999999999</v>
      </c>
    </row>
    <row r="54" spans="1:11" ht="15" customHeight="1" outlineLevel="3" x14ac:dyDescent="0.2">
      <c r="A54" s="163" t="s">
        <v>425</v>
      </c>
      <c r="B54" s="181">
        <v>1.171</v>
      </c>
      <c r="C54" s="181">
        <v>2.2770000000000001</v>
      </c>
      <c r="D54" s="181">
        <v>2.1789999999999998</v>
      </c>
      <c r="E54" s="181">
        <v>3.0579999999999998</v>
      </c>
      <c r="F54" s="181">
        <v>3.6360000000000001</v>
      </c>
      <c r="G54" s="181">
        <v>4.4729999999999999</v>
      </c>
      <c r="H54" s="181">
        <v>5.9039999999999999</v>
      </c>
      <c r="I54" s="181">
        <v>5.81</v>
      </c>
      <c r="J54" s="181">
        <v>3.9689999999999999</v>
      </c>
      <c r="K54" s="181">
        <v>8.4949999999999992</v>
      </c>
    </row>
    <row r="55" spans="1:11" ht="15" customHeight="1" outlineLevel="2" x14ac:dyDescent="0.2">
      <c r="A55" s="157" t="s">
        <v>426</v>
      </c>
      <c r="B55" s="180">
        <v>141.05500000000001</v>
      </c>
      <c r="C55" s="180">
        <v>501.815</v>
      </c>
      <c r="D55" s="180">
        <v>589.31200000000001</v>
      </c>
      <c r="E55" s="180">
        <v>919.31</v>
      </c>
      <c r="F55" s="180">
        <v>1210.711</v>
      </c>
      <c r="G55" s="180">
        <v>1301.0550000000001</v>
      </c>
      <c r="H55" s="180">
        <v>1552.5139999999999</v>
      </c>
      <c r="I55" s="180">
        <v>1737.0440000000001</v>
      </c>
      <c r="J55" s="180">
        <v>1887.547</v>
      </c>
      <c r="K55" s="180">
        <v>1787.9069999999999</v>
      </c>
    </row>
    <row r="56" spans="1:11" ht="15" customHeight="1" outlineLevel="1" x14ac:dyDescent="0.2">
      <c r="A56" s="155" t="s">
        <v>427</v>
      </c>
      <c r="B56" s="169"/>
      <c r="C56" s="169"/>
      <c r="D56" s="169"/>
      <c r="E56" s="169"/>
      <c r="F56" s="169"/>
      <c r="G56" s="169"/>
      <c r="H56" s="169"/>
      <c r="I56" s="169"/>
      <c r="J56" s="169"/>
      <c r="K56" s="169"/>
    </row>
    <row r="57" spans="1:11" ht="15" customHeight="1" outlineLevel="2" x14ac:dyDescent="0.2">
      <c r="A57" s="168" t="s">
        <v>428</v>
      </c>
      <c r="B57" s="182">
        <v>118.7</v>
      </c>
      <c r="C57" s="182">
        <v>210.36</v>
      </c>
      <c r="D57" s="182">
        <v>244.64099999999999</v>
      </c>
      <c r="E57" s="182">
        <v>649.95799999999997</v>
      </c>
      <c r="F57" s="182">
        <v>762.65499999999997</v>
      </c>
      <c r="G57" s="182">
        <v>873.79899999999998</v>
      </c>
      <c r="H57" s="182">
        <v>992.22400000000005</v>
      </c>
      <c r="I57" s="182">
        <v>1334.348</v>
      </c>
      <c r="J57" s="182">
        <v>1908.2860000000001</v>
      </c>
      <c r="K57" s="182">
        <v>2066.2440000000001</v>
      </c>
    </row>
    <row r="58" spans="1:11" ht="15" customHeight="1" outlineLevel="3" x14ac:dyDescent="0.2">
      <c r="A58" s="163" t="s">
        <v>429</v>
      </c>
      <c r="B58" s="181">
        <v>3.5999999999999997E-2</v>
      </c>
      <c r="C58" s="181">
        <v>3.7999999999999999E-2</v>
      </c>
      <c r="D58" s="181">
        <v>0.04</v>
      </c>
      <c r="E58" s="181">
        <v>4.3999999999999997E-2</v>
      </c>
      <c r="F58" s="181">
        <v>4.5999999999999999E-2</v>
      </c>
      <c r="G58" s="181">
        <v>4.7E-2</v>
      </c>
      <c r="H58" s="181">
        <v>4.9000000000000002E-2</v>
      </c>
      <c r="I58" s="181">
        <v>0.05</v>
      </c>
      <c r="J58" s="181">
        <v>5.1999999999999998E-2</v>
      </c>
      <c r="K58" s="181">
        <v>5.2999999999999999E-2</v>
      </c>
    </row>
    <row r="59" spans="1:11" ht="15" customHeight="1" outlineLevel="3" x14ac:dyDescent="0.2">
      <c r="A59" s="162" t="s">
        <v>430</v>
      </c>
      <c r="B59" s="180">
        <v>365.44400000000002</v>
      </c>
      <c r="C59" s="180">
        <v>496.46100000000001</v>
      </c>
      <c r="D59" s="180">
        <v>589.70799999999997</v>
      </c>
      <c r="E59" s="180">
        <v>1048.3800000000001</v>
      </c>
      <c r="F59" s="180">
        <v>1241.1669999999999</v>
      </c>
      <c r="G59" s="180">
        <v>1436.0889999999999</v>
      </c>
      <c r="H59" s="180">
        <v>1647.4459999999999</v>
      </c>
      <c r="I59" s="180">
        <v>2136.9079999999999</v>
      </c>
      <c r="J59" s="180">
        <v>2713.6970000000001</v>
      </c>
      <c r="K59" s="180">
        <v>2814.8429999999998</v>
      </c>
    </row>
    <row r="60" spans="1:11" ht="15" customHeight="1" outlineLevel="3" x14ac:dyDescent="0.2">
      <c r="A60" s="163" t="s">
        <v>431</v>
      </c>
      <c r="B60" s="183">
        <v>-245.916</v>
      </c>
      <c r="C60" s="183">
        <v>-286.08199999999999</v>
      </c>
      <c r="D60" s="183">
        <v>-344.38400000000001</v>
      </c>
      <c r="E60" s="183">
        <v>-398.13</v>
      </c>
      <c r="F60" s="183">
        <v>-483.161</v>
      </c>
      <c r="G60" s="183">
        <v>-560.99800000000005</v>
      </c>
      <c r="H60" s="183">
        <v>-642.38099999999997</v>
      </c>
      <c r="I60" s="183">
        <v>-804.43700000000001</v>
      </c>
      <c r="J60" s="183">
        <v>-799.80899999999997</v>
      </c>
      <c r="K60" s="183">
        <v>-753.89800000000002</v>
      </c>
    </row>
    <row r="61" spans="1:11" ht="15" customHeight="1" outlineLevel="3" x14ac:dyDescent="0.2">
      <c r="A61" s="162" t="s">
        <v>527</v>
      </c>
      <c r="B61" s="184">
        <v>-0.58899999999999997</v>
      </c>
      <c r="C61" s="180">
        <v>0.379</v>
      </c>
      <c r="D61" s="184">
        <v>-0.39700000000000002</v>
      </c>
      <c r="E61" s="184">
        <v>-0.61</v>
      </c>
      <c r="F61" s="180">
        <v>4.18</v>
      </c>
      <c r="G61" s="184">
        <v>-0.53200000000000003</v>
      </c>
      <c r="H61" s="184">
        <v>-3.07</v>
      </c>
      <c r="I61" s="180">
        <v>0.95</v>
      </c>
      <c r="J61" s="184">
        <v>-5.9279999999999999</v>
      </c>
      <c r="K61" s="180">
        <v>3.4260000000000002</v>
      </c>
    </row>
    <row r="62" spans="1:11" ht="15" customHeight="1" outlineLevel="3" x14ac:dyDescent="0.2">
      <c r="A62" s="163" t="s">
        <v>528</v>
      </c>
      <c r="B62" s="183">
        <v>-0.27500000000000002</v>
      </c>
      <c r="C62" s="183">
        <v>-0.436</v>
      </c>
      <c r="D62" s="183">
        <v>-0.32600000000000001</v>
      </c>
      <c r="E62" s="181">
        <v>0.27400000000000002</v>
      </c>
      <c r="F62" s="181">
        <v>0.42299999999999999</v>
      </c>
      <c r="G62" s="183">
        <v>-0.80700000000000005</v>
      </c>
      <c r="H62" s="183">
        <v>-9.82</v>
      </c>
      <c r="I62" s="181">
        <v>0.877</v>
      </c>
      <c r="J62" s="181">
        <v>1.1950000000000001</v>
      </c>
      <c r="K62" s="181">
        <v>1.2889999999999999</v>
      </c>
    </row>
    <row r="63" spans="1:11" ht="15" customHeight="1" outlineLevel="3" x14ac:dyDescent="0.2">
      <c r="A63" s="162" t="s">
        <v>432</v>
      </c>
      <c r="B63" s="166"/>
      <c r="C63" s="166"/>
      <c r="D63" s="166"/>
      <c r="E63" s="166"/>
      <c r="F63" s="166"/>
      <c r="G63" s="166"/>
      <c r="H63" s="166"/>
      <c r="I63" s="180">
        <v>0</v>
      </c>
      <c r="J63" s="184">
        <v>-0.92100000000000004</v>
      </c>
      <c r="K63" s="180">
        <v>0.52900000000000003</v>
      </c>
    </row>
    <row r="64" spans="1:11" ht="15" customHeight="1" outlineLevel="3" x14ac:dyDescent="0.2">
      <c r="A64" s="163" t="s">
        <v>433</v>
      </c>
      <c r="B64" s="181">
        <v>0</v>
      </c>
      <c r="C64" s="181">
        <v>0</v>
      </c>
      <c r="D64" s="181">
        <v>0</v>
      </c>
      <c r="E64" s="181">
        <v>0</v>
      </c>
      <c r="F64" s="181">
        <v>0</v>
      </c>
      <c r="G64" s="181">
        <v>0</v>
      </c>
      <c r="H64" s="181">
        <v>0</v>
      </c>
      <c r="I64" s="181">
        <v>0</v>
      </c>
      <c r="J64" s="181">
        <v>0</v>
      </c>
      <c r="K64" s="181">
        <v>2E-3</v>
      </c>
    </row>
    <row r="65" spans="1:11" ht="15" customHeight="1" outlineLevel="2" x14ac:dyDescent="0.2">
      <c r="A65" s="157" t="s">
        <v>434</v>
      </c>
      <c r="B65" s="180">
        <v>118.7</v>
      </c>
      <c r="C65" s="180">
        <v>210.36</v>
      </c>
      <c r="D65" s="180">
        <v>244.64099999999999</v>
      </c>
      <c r="E65" s="180">
        <v>649.95799999999997</v>
      </c>
      <c r="F65" s="180">
        <v>762.65499999999997</v>
      </c>
      <c r="G65" s="180">
        <v>873.79899999999998</v>
      </c>
      <c r="H65" s="180">
        <v>992.22400000000005</v>
      </c>
      <c r="I65" s="180">
        <v>1334.348</v>
      </c>
      <c r="J65" s="180">
        <v>1908.2860000000001</v>
      </c>
      <c r="K65" s="180">
        <v>2066.2440000000001</v>
      </c>
    </row>
    <row r="66" spans="1:11" ht="15" customHeight="1" outlineLevel="2" x14ac:dyDescent="0.2">
      <c r="A66" s="158" t="s">
        <v>435</v>
      </c>
      <c r="B66" s="181">
        <v>118.7</v>
      </c>
      <c r="C66" s="181">
        <v>210.36</v>
      </c>
      <c r="D66" s="181">
        <v>244.64099999999999</v>
      </c>
      <c r="E66" s="181">
        <v>649.95799999999997</v>
      </c>
      <c r="F66" s="181">
        <v>762.65499999999997</v>
      </c>
      <c r="G66" s="181">
        <v>873.79899999999998</v>
      </c>
      <c r="H66" s="181">
        <v>992.22400000000005</v>
      </c>
      <c r="I66" s="181">
        <v>1334.348</v>
      </c>
      <c r="J66" s="181">
        <v>1908.2860000000001</v>
      </c>
      <c r="K66" s="181">
        <v>2066.2440000000001</v>
      </c>
    </row>
    <row r="67" spans="1:11" ht="15" customHeight="1" outlineLevel="1" x14ac:dyDescent="0.2">
      <c r="A67" s="167" t="s">
        <v>436</v>
      </c>
      <c r="B67" s="180">
        <v>259.755</v>
      </c>
      <c r="C67" s="180">
        <v>712.17499999999995</v>
      </c>
      <c r="D67" s="180">
        <v>833.95299999999997</v>
      </c>
      <c r="E67" s="180">
        <v>1569.268</v>
      </c>
      <c r="F67" s="180">
        <v>1973.366</v>
      </c>
      <c r="G67" s="180">
        <v>2174.8539999999998</v>
      </c>
      <c r="H67" s="180">
        <v>2544.7379999999998</v>
      </c>
      <c r="I67" s="180">
        <v>3071.3919999999998</v>
      </c>
      <c r="J67" s="180">
        <v>3795.8330000000001</v>
      </c>
      <c r="K67" s="180">
        <v>3854.1509999999998</v>
      </c>
    </row>
    <row r="68" spans="1:11" ht="15" customHeight="1" x14ac:dyDescent="0.2">
      <c r="A68" s="169" t="s">
        <v>437</v>
      </c>
      <c r="B68" s="169"/>
      <c r="C68" s="169"/>
      <c r="D68" s="169"/>
      <c r="E68" s="169"/>
      <c r="F68" s="169"/>
      <c r="G68" s="169"/>
      <c r="H68" s="169"/>
      <c r="I68" s="169"/>
      <c r="J68" s="169"/>
      <c r="K68" s="169"/>
    </row>
    <row r="69" spans="1:11" ht="15" customHeight="1" outlineLevel="1" x14ac:dyDescent="0.2">
      <c r="A69" s="167" t="s">
        <v>438</v>
      </c>
      <c r="B69" s="126">
        <v>3.3171200000000001</v>
      </c>
      <c r="C69" s="126">
        <v>5.6091499999999996</v>
      </c>
      <c r="D69" s="126">
        <v>6.2249600000000003</v>
      </c>
      <c r="E69" s="126">
        <v>15.13114</v>
      </c>
      <c r="F69" s="126">
        <v>16.53811</v>
      </c>
      <c r="G69" s="126">
        <v>18.438469999999999</v>
      </c>
      <c r="H69" s="126">
        <v>20.16019</v>
      </c>
      <c r="I69" s="126">
        <v>26.44997</v>
      </c>
      <c r="J69" s="126">
        <v>36.86298</v>
      </c>
      <c r="K69" s="126">
        <v>39.315840000000001</v>
      </c>
    </row>
    <row r="70" spans="1:11" ht="15" customHeight="1" outlineLevel="1" x14ac:dyDescent="0.2">
      <c r="A70" s="171" t="s">
        <v>439</v>
      </c>
      <c r="B70" s="129">
        <v>2.8612790000000001</v>
      </c>
      <c r="C70" s="129">
        <v>4.8086289999999998</v>
      </c>
      <c r="D70" s="129">
        <v>5.3950639999999996</v>
      </c>
      <c r="E70" s="129">
        <v>13.762378999999999</v>
      </c>
      <c r="F70" s="129">
        <v>15.095132</v>
      </c>
      <c r="G70" s="129">
        <v>16.381114</v>
      </c>
      <c r="H70" s="129">
        <v>17.570371999999999</v>
      </c>
      <c r="I70" s="129">
        <v>20.061093</v>
      </c>
      <c r="J70" s="129">
        <v>29.106013000000001</v>
      </c>
      <c r="K70" s="129">
        <v>29.031928000000001</v>
      </c>
    </row>
    <row r="71" spans="1:11" ht="15" customHeight="1" x14ac:dyDescent="0.2">
      <c r="A71" s="172" t="s">
        <v>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M56"/>
  <sheetViews>
    <sheetView zoomScaleNormal="100" workbookViewId="0">
      <selection activeCell="A2" sqref="A2"/>
    </sheetView>
  </sheetViews>
  <sheetFormatPr defaultColWidth="9.140625" defaultRowHeight="12.75" outlineLevelRow="3" x14ac:dyDescent="0.2"/>
  <cols>
    <col min="1" max="1" width="51.28515625" customWidth="1"/>
    <col min="2" max="11" width="8" customWidth="1"/>
  </cols>
  <sheetData>
    <row r="2" spans="1:13" ht="15" customHeight="1" x14ac:dyDescent="0.25">
      <c r="A2" s="248" t="s">
        <v>517</v>
      </c>
    </row>
    <row r="4" spans="1:13" ht="15" customHeight="1" x14ac:dyDescent="0.2">
      <c r="A4" s="247" t="s">
        <v>518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</row>
    <row r="5" spans="1:13" ht="15" customHeight="1" x14ac:dyDescent="0.2">
      <c r="A5" s="247" t="s">
        <v>519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</row>
    <row r="6" spans="1:13" ht="15" customHeight="1" x14ac:dyDescent="0.2">
      <c r="A6" s="247" t="s">
        <v>371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</row>
    <row r="7" spans="1:13" ht="15" customHeight="1" x14ac:dyDescent="0.2">
      <c r="A7" s="247"/>
      <c r="B7" s="247" t="s">
        <v>520</v>
      </c>
      <c r="C7" s="247" t="s">
        <v>521</v>
      </c>
      <c r="D7" s="247" t="s">
        <v>522</v>
      </c>
      <c r="E7" s="247" t="s">
        <v>523</v>
      </c>
      <c r="F7" s="247" t="s">
        <v>304</v>
      </c>
      <c r="G7" s="247" t="s">
        <v>305</v>
      </c>
      <c r="H7" s="247" t="s">
        <v>306</v>
      </c>
      <c r="I7" s="247" t="s">
        <v>307</v>
      </c>
      <c r="J7" s="247" t="s">
        <v>308</v>
      </c>
      <c r="K7" s="247" t="s">
        <v>309</v>
      </c>
    </row>
    <row r="8" spans="1:13" ht="15" customHeight="1" x14ac:dyDescent="0.2">
      <c r="A8" s="247"/>
      <c r="B8" s="247"/>
      <c r="C8" s="247"/>
      <c r="D8" s="247"/>
      <c r="E8" s="247"/>
      <c r="F8" s="247"/>
      <c r="G8" s="247"/>
      <c r="H8" s="247"/>
      <c r="I8" s="247" t="s">
        <v>376</v>
      </c>
      <c r="J8" s="247"/>
      <c r="K8" s="247"/>
    </row>
    <row r="9" spans="1:13" ht="15" customHeight="1" x14ac:dyDescent="0.2">
      <c r="A9" s="154" t="s">
        <v>356</v>
      </c>
      <c r="B9" s="182">
        <v>270.96699999999998</v>
      </c>
      <c r="C9" s="182">
        <v>375.61200000000002</v>
      </c>
      <c r="D9" s="182">
        <v>512.98</v>
      </c>
      <c r="E9" s="182">
        <v>674.86</v>
      </c>
      <c r="F9" s="182">
        <v>883.02599999999995</v>
      </c>
      <c r="G9" s="182">
        <v>1300.6579999999999</v>
      </c>
      <c r="H9" s="182">
        <v>1730.9690000000001</v>
      </c>
      <c r="I9" s="182">
        <v>2170.23</v>
      </c>
      <c r="J9" s="182">
        <v>2627.5430000000001</v>
      </c>
      <c r="K9" s="182">
        <v>3131.2440000000001</v>
      </c>
    </row>
    <row r="10" spans="1:13" ht="15" customHeight="1" outlineLevel="1" x14ac:dyDescent="0.2">
      <c r="A10" s="155" t="s">
        <v>441</v>
      </c>
      <c r="B10" s="179">
        <v>61.865000000000002</v>
      </c>
      <c r="C10" s="179">
        <v>75.728999999999999</v>
      </c>
      <c r="D10" s="179">
        <v>100.357</v>
      </c>
      <c r="E10" s="179">
        <v>129.958</v>
      </c>
      <c r="F10" s="179">
        <v>166.959</v>
      </c>
      <c r="G10" s="179">
        <v>258.85700000000003</v>
      </c>
      <c r="H10" s="179">
        <v>314.25900000000001</v>
      </c>
      <c r="I10" s="179">
        <v>338.36200000000002</v>
      </c>
      <c r="J10" s="179">
        <v>393.26499999999999</v>
      </c>
      <c r="K10" s="179">
        <v>508.48700000000002</v>
      </c>
    </row>
    <row r="11" spans="1:13" ht="15" customHeight="1" outlineLevel="2" x14ac:dyDescent="0.2">
      <c r="A11" s="157" t="s">
        <v>442</v>
      </c>
      <c r="B11" s="180">
        <v>50.688000000000002</v>
      </c>
      <c r="C11" s="180">
        <v>59.942999999999998</v>
      </c>
      <c r="D11" s="180">
        <v>76.929000000000002</v>
      </c>
      <c r="E11" s="180">
        <v>100.158</v>
      </c>
      <c r="F11" s="180">
        <v>127.759</v>
      </c>
      <c r="G11" s="180">
        <v>210.65700000000001</v>
      </c>
      <c r="H11" s="180">
        <v>251.85900000000001</v>
      </c>
      <c r="I11" s="180">
        <v>258.262</v>
      </c>
      <c r="J11" s="180">
        <v>279.66500000000002</v>
      </c>
      <c r="K11" s="180">
        <v>343.98700000000002</v>
      </c>
    </row>
    <row r="12" spans="1:13" ht="15" customHeight="1" outlineLevel="2" x14ac:dyDescent="0.2">
      <c r="A12" s="161" t="s">
        <v>443</v>
      </c>
      <c r="B12" s="179">
        <v>11.177</v>
      </c>
      <c r="C12" s="179">
        <v>15.786</v>
      </c>
      <c r="D12" s="179">
        <v>23.428000000000001</v>
      </c>
      <c r="E12" s="179">
        <v>29.8</v>
      </c>
      <c r="F12" s="179">
        <v>39.200000000000003</v>
      </c>
      <c r="G12" s="179">
        <v>48.2</v>
      </c>
      <c r="H12" s="179">
        <v>62.4</v>
      </c>
      <c r="I12" s="179">
        <v>80.099999999999994</v>
      </c>
      <c r="J12" s="179">
        <v>113.6</v>
      </c>
      <c r="K12" s="179">
        <v>164.5</v>
      </c>
    </row>
    <row r="13" spans="1:13" ht="15" customHeight="1" outlineLevel="3" x14ac:dyDescent="0.2">
      <c r="A13" s="162" t="s">
        <v>444</v>
      </c>
      <c r="B13" s="180">
        <v>5.9</v>
      </c>
      <c r="C13" s="180">
        <v>9.4</v>
      </c>
      <c r="D13" s="180">
        <v>12.827999999999999</v>
      </c>
      <c r="E13" s="180">
        <v>15</v>
      </c>
      <c r="F13" s="180">
        <v>20.6</v>
      </c>
      <c r="G13" s="180">
        <v>23.9</v>
      </c>
      <c r="H13" s="180">
        <v>27.8</v>
      </c>
      <c r="I13" s="180">
        <v>29</v>
      </c>
      <c r="J13" s="180">
        <v>29.7</v>
      </c>
      <c r="K13" s="180">
        <v>34.5</v>
      </c>
    </row>
    <row r="14" spans="1:13" ht="15" customHeight="1" outlineLevel="3" x14ac:dyDescent="0.2">
      <c r="A14" s="163" t="s">
        <v>445</v>
      </c>
      <c r="B14" s="181">
        <v>5.2770000000000001</v>
      </c>
      <c r="C14" s="181">
        <v>6.3860000000000001</v>
      </c>
      <c r="D14" s="181">
        <v>10.6</v>
      </c>
      <c r="E14" s="181">
        <v>14.8</v>
      </c>
      <c r="F14" s="181">
        <v>18.600000000000001</v>
      </c>
      <c r="G14" s="181">
        <v>24.3</v>
      </c>
      <c r="H14" s="181">
        <v>34.6</v>
      </c>
      <c r="I14" s="181">
        <v>51.1</v>
      </c>
      <c r="J14" s="181">
        <v>83.9</v>
      </c>
      <c r="K14" s="181">
        <v>130</v>
      </c>
    </row>
    <row r="15" spans="1:13" ht="15" customHeight="1" x14ac:dyDescent="0.2">
      <c r="A15" s="154" t="s">
        <v>446</v>
      </c>
      <c r="B15" s="182">
        <v>209.102</v>
      </c>
      <c r="C15" s="182">
        <v>299.88299999999998</v>
      </c>
      <c r="D15" s="182">
        <v>412.62299999999999</v>
      </c>
      <c r="E15" s="182">
        <v>544.90200000000004</v>
      </c>
      <c r="F15" s="182">
        <v>716.06700000000001</v>
      </c>
      <c r="G15" s="182">
        <v>1041.8009999999999</v>
      </c>
      <c r="H15" s="182">
        <v>1416.71</v>
      </c>
      <c r="I15" s="182">
        <v>1831.8679999999999</v>
      </c>
      <c r="J15" s="182">
        <v>2234.2779999999998</v>
      </c>
      <c r="K15" s="182">
        <v>2622.7570000000001</v>
      </c>
      <c r="M15" s="185"/>
    </row>
    <row r="16" spans="1:13" ht="15" customHeight="1" outlineLevel="1" x14ac:dyDescent="0.2">
      <c r="A16" s="155" t="s">
        <v>447</v>
      </c>
      <c r="B16" s="179">
        <v>253.76400000000001</v>
      </c>
      <c r="C16" s="179">
        <v>340.01900000000001</v>
      </c>
      <c r="D16" s="179">
        <v>460.88099999999997</v>
      </c>
      <c r="E16" s="179">
        <v>591.36599999999999</v>
      </c>
      <c r="F16" s="179">
        <v>766.89499999999998</v>
      </c>
      <c r="G16" s="179">
        <v>1094.4079999999999</v>
      </c>
      <c r="H16" s="179">
        <v>1525.8109999999999</v>
      </c>
      <c r="I16" s="179">
        <v>1935.954</v>
      </c>
      <c r="J16" s="179">
        <v>2297.89</v>
      </c>
      <c r="K16" s="179">
        <v>2611.364</v>
      </c>
    </row>
    <row r="17" spans="1:11" ht="15" customHeight="1" outlineLevel="2" x14ac:dyDescent="0.2">
      <c r="A17" s="157" t="s">
        <v>448</v>
      </c>
      <c r="B17" s="180">
        <v>45.997</v>
      </c>
      <c r="C17" s="180">
        <v>70.373000000000005</v>
      </c>
      <c r="D17" s="180">
        <v>117.60299999999999</v>
      </c>
      <c r="E17" s="180">
        <v>158.23699999999999</v>
      </c>
      <c r="F17" s="180">
        <v>205.589</v>
      </c>
      <c r="G17" s="180">
        <v>301.97000000000003</v>
      </c>
      <c r="H17" s="180">
        <v>442.02199999999999</v>
      </c>
      <c r="I17" s="180">
        <v>617.745</v>
      </c>
      <c r="J17" s="180">
        <v>778.71400000000006</v>
      </c>
      <c r="K17" s="180">
        <v>905.94299999999998</v>
      </c>
    </row>
    <row r="18" spans="1:11" ht="15" customHeight="1" outlineLevel="2" x14ac:dyDescent="0.2">
      <c r="A18" s="158" t="s">
        <v>449</v>
      </c>
      <c r="B18" s="181">
        <v>207.767</v>
      </c>
      <c r="C18" s="181">
        <v>269.64600000000002</v>
      </c>
      <c r="D18" s="181">
        <v>343.27800000000002</v>
      </c>
      <c r="E18" s="181">
        <v>433.12900000000002</v>
      </c>
      <c r="F18" s="181">
        <v>561.30600000000004</v>
      </c>
      <c r="G18" s="181">
        <v>792.43799999999999</v>
      </c>
      <c r="H18" s="181">
        <v>1083.789</v>
      </c>
      <c r="I18" s="181">
        <v>1318.2090000000001</v>
      </c>
      <c r="J18" s="181">
        <v>1519.1759999999999</v>
      </c>
      <c r="K18" s="181">
        <v>1705.421</v>
      </c>
    </row>
    <row r="19" spans="1:11" ht="15" customHeight="1" x14ac:dyDescent="0.2">
      <c r="A19" s="154" t="s">
        <v>450</v>
      </c>
      <c r="B19" s="182">
        <v>-44.661999999999999</v>
      </c>
      <c r="C19" s="182">
        <v>-40.136000000000003</v>
      </c>
      <c r="D19" s="182">
        <v>-48.258000000000003</v>
      </c>
      <c r="E19" s="182">
        <v>-46.463999999999999</v>
      </c>
      <c r="F19" s="182">
        <v>-50.828000000000003</v>
      </c>
      <c r="G19" s="182">
        <v>-52.606999999999999</v>
      </c>
      <c r="H19" s="182">
        <v>-109.101</v>
      </c>
      <c r="I19" s="182">
        <v>-104.086</v>
      </c>
      <c r="J19" s="182">
        <v>-63.612000000000002</v>
      </c>
      <c r="K19" s="182">
        <v>11.393000000000001</v>
      </c>
    </row>
    <row r="20" spans="1:11" ht="15" customHeight="1" outlineLevel="1" x14ac:dyDescent="0.2">
      <c r="A20" s="155" t="s">
        <v>451</v>
      </c>
      <c r="B20" s="179">
        <v>-0.10199999999999999</v>
      </c>
      <c r="C20" s="179">
        <v>3.278</v>
      </c>
      <c r="D20" s="179">
        <v>7.6840000000000002</v>
      </c>
      <c r="E20" s="179">
        <v>19.036000000000001</v>
      </c>
      <c r="F20" s="179">
        <v>7.0620000000000003</v>
      </c>
      <c r="G20" s="179">
        <v>-6.9459999999999997</v>
      </c>
      <c r="H20" s="179">
        <v>-1.893</v>
      </c>
      <c r="I20" s="179">
        <v>54.155000000000001</v>
      </c>
      <c r="J20" s="179">
        <v>82.356999999999999</v>
      </c>
      <c r="K20" s="179">
        <v>60.863</v>
      </c>
    </row>
    <row r="21" spans="1:11" ht="15" customHeight="1" outlineLevel="2" x14ac:dyDescent="0.2">
      <c r="A21" s="157" t="s">
        <v>452</v>
      </c>
      <c r="B21" s="180">
        <v>0.85399999999999998</v>
      </c>
      <c r="C21" s="180">
        <v>3.8370000000000002</v>
      </c>
      <c r="D21" s="180">
        <v>9.1760000000000002</v>
      </c>
      <c r="E21" s="180">
        <v>19.428999999999998</v>
      </c>
      <c r="F21" s="180">
        <v>7.7729999999999997</v>
      </c>
      <c r="G21" s="180">
        <v>1.173</v>
      </c>
      <c r="H21" s="180">
        <v>15</v>
      </c>
      <c r="I21" s="180">
        <v>58.828000000000003</v>
      </c>
      <c r="J21" s="180">
        <v>82.706000000000003</v>
      </c>
      <c r="K21" s="180">
        <v>66.218000000000004</v>
      </c>
    </row>
    <row r="22" spans="1:11" ht="15" customHeight="1" outlineLevel="2" x14ac:dyDescent="0.2">
      <c r="A22" s="158" t="s">
        <v>453</v>
      </c>
      <c r="B22" s="183">
        <v>-0.95599999999999996</v>
      </c>
      <c r="C22" s="183">
        <v>-0.55900000000000005</v>
      </c>
      <c r="D22" s="183">
        <v>-1.492</v>
      </c>
      <c r="E22" s="183">
        <v>-0.39300000000000002</v>
      </c>
      <c r="F22" s="183">
        <v>-0.71099999999999997</v>
      </c>
      <c r="G22" s="183">
        <v>-8.1189999999999998</v>
      </c>
      <c r="H22" s="183">
        <v>-16.893000000000001</v>
      </c>
      <c r="I22" s="183">
        <v>-4.673</v>
      </c>
      <c r="J22" s="183">
        <v>-0.34899999999999998</v>
      </c>
      <c r="K22" s="183">
        <v>-5.3550000000000004</v>
      </c>
    </row>
    <row r="23" spans="1:11" ht="15" customHeight="1" outlineLevel="1" x14ac:dyDescent="0.2">
      <c r="A23" s="159" t="s">
        <v>112</v>
      </c>
      <c r="B23" s="182">
        <v>0.26500000000000001</v>
      </c>
      <c r="C23" s="182">
        <v>13.180999999999999</v>
      </c>
      <c r="D23" s="182">
        <v>21.385999999999999</v>
      </c>
      <c r="E23" s="182">
        <v>22.818000000000001</v>
      </c>
      <c r="F23" s="182">
        <v>37.048999999999999</v>
      </c>
      <c r="G23" s="182">
        <v>25.39</v>
      </c>
      <c r="H23" s="182">
        <v>3.762</v>
      </c>
      <c r="I23" s="182">
        <v>3.8010000000000002</v>
      </c>
      <c r="J23" s="182">
        <v>3.7210000000000001</v>
      </c>
      <c r="K23" s="182">
        <v>0.876</v>
      </c>
    </row>
    <row r="24" spans="1:11" ht="15" customHeight="1" outlineLevel="2" x14ac:dyDescent="0.2">
      <c r="A24" s="158" t="s">
        <v>63</v>
      </c>
      <c r="B24" s="181">
        <v>0.26500000000000001</v>
      </c>
      <c r="C24" s="181">
        <v>13.180999999999999</v>
      </c>
      <c r="D24" s="181">
        <v>21.385999999999999</v>
      </c>
      <c r="E24" s="181">
        <v>22.818000000000001</v>
      </c>
      <c r="F24" s="181">
        <v>37.048999999999999</v>
      </c>
      <c r="G24" s="181">
        <v>25.39</v>
      </c>
      <c r="H24" s="181">
        <v>3.762</v>
      </c>
      <c r="I24" s="181">
        <v>3.8010000000000002</v>
      </c>
      <c r="J24" s="181">
        <v>3.7210000000000001</v>
      </c>
      <c r="K24" s="181">
        <v>0.876</v>
      </c>
    </row>
    <row r="25" spans="1:11" ht="15" customHeight="1" outlineLevel="1" x14ac:dyDescent="0.2">
      <c r="A25" s="159" t="s">
        <v>454</v>
      </c>
      <c r="B25" s="154"/>
      <c r="C25" s="154"/>
      <c r="D25" s="154"/>
      <c r="E25" s="182">
        <v>0.52700000000000002</v>
      </c>
      <c r="F25" s="154"/>
      <c r="G25" s="182">
        <v>-11.125</v>
      </c>
      <c r="H25" s="182">
        <v>-10.064</v>
      </c>
      <c r="I25" s="182">
        <v>96.843000000000004</v>
      </c>
      <c r="J25" s="182">
        <v>-13.653</v>
      </c>
      <c r="K25" s="182">
        <v>1.917</v>
      </c>
    </row>
    <row r="26" spans="1:11" ht="15" customHeight="1" outlineLevel="2" x14ac:dyDescent="0.2">
      <c r="A26" s="161" t="s">
        <v>455</v>
      </c>
      <c r="B26" s="169"/>
      <c r="C26" s="169"/>
      <c r="D26" s="169"/>
      <c r="E26" s="169"/>
      <c r="F26" s="169"/>
      <c r="G26" s="169"/>
      <c r="H26" s="179">
        <v>-5.8630000000000004</v>
      </c>
      <c r="I26" s="169"/>
      <c r="J26" s="179">
        <v>3.6019999999999999</v>
      </c>
      <c r="K26" s="179">
        <v>5.923</v>
      </c>
    </row>
    <row r="27" spans="1:11" ht="15" customHeight="1" outlineLevel="3" x14ac:dyDescent="0.2">
      <c r="A27" s="162" t="s">
        <v>456</v>
      </c>
      <c r="B27" s="166"/>
      <c r="C27" s="166"/>
      <c r="D27" s="166"/>
      <c r="E27" s="166"/>
      <c r="F27" s="166"/>
      <c r="G27" s="166"/>
      <c r="H27" s="184">
        <v>-5.8630000000000004</v>
      </c>
      <c r="I27" s="166"/>
      <c r="J27" s="180">
        <v>3.6019999999999999</v>
      </c>
      <c r="K27" s="180">
        <v>5.923</v>
      </c>
    </row>
    <row r="28" spans="1:11" ht="15" customHeight="1" outlineLevel="2" x14ac:dyDescent="0.2">
      <c r="A28" s="158" t="s">
        <v>457</v>
      </c>
      <c r="B28" s="181">
        <v>0</v>
      </c>
      <c r="C28" s="181">
        <v>0</v>
      </c>
      <c r="D28" s="181">
        <v>0</v>
      </c>
      <c r="E28" s="181">
        <v>0.52700000000000002</v>
      </c>
      <c r="F28" s="181">
        <v>0</v>
      </c>
      <c r="G28" s="183">
        <v>-4.2759999999999998</v>
      </c>
      <c r="H28" s="181">
        <v>0</v>
      </c>
      <c r="I28" s="181">
        <v>96.843000000000004</v>
      </c>
      <c r="J28" s="181">
        <v>3.99</v>
      </c>
      <c r="K28" s="181">
        <v>4.0359999999999996</v>
      </c>
    </row>
    <row r="29" spans="1:11" ht="15" customHeight="1" outlineLevel="2" x14ac:dyDescent="0.2">
      <c r="A29" s="168" t="s">
        <v>458</v>
      </c>
      <c r="B29" s="154"/>
      <c r="C29" s="154"/>
      <c r="D29" s="154"/>
      <c r="E29" s="154"/>
      <c r="F29" s="154"/>
      <c r="G29" s="182">
        <v>11.741</v>
      </c>
      <c r="H29" s="182">
        <v>4.2009999999999996</v>
      </c>
      <c r="I29" s="154"/>
      <c r="J29" s="182">
        <v>21.245000000000001</v>
      </c>
      <c r="K29" s="182">
        <v>8.0419999999999998</v>
      </c>
    </row>
    <row r="30" spans="1:11" ht="15" customHeight="1" outlineLevel="3" x14ac:dyDescent="0.2">
      <c r="A30" s="163" t="s">
        <v>459</v>
      </c>
      <c r="B30" s="165"/>
      <c r="C30" s="165"/>
      <c r="D30" s="165"/>
      <c r="E30" s="165"/>
      <c r="F30" s="165"/>
      <c r="G30" s="181">
        <v>11.741</v>
      </c>
      <c r="H30" s="181">
        <v>4.2009999999999996</v>
      </c>
      <c r="I30" s="165"/>
      <c r="J30" s="181">
        <v>21.245000000000001</v>
      </c>
      <c r="K30" s="181">
        <v>5.5</v>
      </c>
    </row>
    <row r="31" spans="1:11" ht="15" customHeight="1" outlineLevel="3" x14ac:dyDescent="0.2">
      <c r="A31" s="162" t="s">
        <v>460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80">
        <v>2.5419999999999998</v>
      </c>
    </row>
    <row r="32" spans="1:11" ht="15" customHeight="1" outlineLevel="2" x14ac:dyDescent="0.2">
      <c r="A32" s="161" t="s">
        <v>461</v>
      </c>
      <c r="B32" s="169"/>
      <c r="C32" s="169"/>
      <c r="D32" s="169"/>
      <c r="E32" s="169"/>
      <c r="F32" s="169"/>
      <c r="G32" s="179">
        <v>4.8920000000000003</v>
      </c>
      <c r="H32" s="179">
        <v>0</v>
      </c>
      <c r="I32" s="169"/>
      <c r="J32" s="169"/>
      <c r="K32" s="169"/>
    </row>
    <row r="33" spans="1:11" ht="15" customHeight="1" outlineLevel="3" x14ac:dyDescent="0.2">
      <c r="A33" s="162" t="s">
        <v>529</v>
      </c>
      <c r="B33" s="166"/>
      <c r="C33" s="166"/>
      <c r="D33" s="166"/>
      <c r="E33" s="166"/>
      <c r="F33" s="166"/>
      <c r="G33" s="180">
        <v>4.8920000000000003</v>
      </c>
      <c r="H33" s="180">
        <v>0</v>
      </c>
      <c r="I33" s="166"/>
      <c r="J33" s="166"/>
      <c r="K33" s="166"/>
    </row>
    <row r="34" spans="1:11" ht="15" customHeight="1" x14ac:dyDescent="0.2">
      <c r="A34" s="169" t="s">
        <v>78</v>
      </c>
      <c r="B34" s="179">
        <v>-45.029000000000003</v>
      </c>
      <c r="C34" s="179">
        <v>-50.039000000000001</v>
      </c>
      <c r="D34" s="179">
        <v>-61.96</v>
      </c>
      <c r="E34" s="179">
        <v>-50.773000000000003</v>
      </c>
      <c r="F34" s="179">
        <v>-80.814999999999998</v>
      </c>
      <c r="G34" s="179">
        <v>-73.817999999999998</v>
      </c>
      <c r="H34" s="179">
        <v>-104.69199999999999</v>
      </c>
      <c r="I34" s="179">
        <v>-150.57499999999999</v>
      </c>
      <c r="J34" s="179">
        <v>28.677</v>
      </c>
      <c r="K34" s="179">
        <v>69.462999999999994</v>
      </c>
    </row>
    <row r="35" spans="1:11" ht="15" customHeight="1" outlineLevel="1" x14ac:dyDescent="0.2">
      <c r="A35" s="159" t="s">
        <v>463</v>
      </c>
      <c r="B35" s="182">
        <v>0.53300000000000003</v>
      </c>
      <c r="C35" s="182">
        <v>-10.324999999999999</v>
      </c>
      <c r="D35" s="182">
        <v>1.8680000000000001</v>
      </c>
      <c r="E35" s="182">
        <v>2.9729999999999999</v>
      </c>
      <c r="F35" s="182">
        <v>4.2160000000000002</v>
      </c>
      <c r="G35" s="182">
        <v>4.0190000000000001</v>
      </c>
      <c r="H35" s="182">
        <v>8.0570000000000004</v>
      </c>
      <c r="I35" s="182">
        <v>13.935</v>
      </c>
      <c r="J35" s="182">
        <v>24.048999999999999</v>
      </c>
      <c r="K35" s="182">
        <v>23.552</v>
      </c>
    </row>
    <row r="36" spans="1:11" ht="15" customHeight="1" outlineLevel="2" x14ac:dyDescent="0.2">
      <c r="A36" s="158" t="s">
        <v>464</v>
      </c>
      <c r="B36" s="181">
        <v>9.5000000000000001E-2</v>
      </c>
      <c r="C36" s="181">
        <v>0.14399999999999999</v>
      </c>
      <c r="D36" s="181">
        <v>0.32400000000000001</v>
      </c>
      <c r="E36" s="181">
        <v>0.47899999999999998</v>
      </c>
      <c r="F36" s="181">
        <v>0.89300000000000002</v>
      </c>
      <c r="G36" s="181">
        <v>1.2789999999999999</v>
      </c>
      <c r="H36" s="181">
        <v>2.4009999999999998</v>
      </c>
      <c r="I36" s="181">
        <v>1.9650000000000001</v>
      </c>
      <c r="J36" s="181">
        <v>9.2710000000000008</v>
      </c>
      <c r="K36" s="181">
        <v>5.7539999999999996</v>
      </c>
    </row>
    <row r="37" spans="1:11" ht="15" customHeight="1" outlineLevel="2" x14ac:dyDescent="0.2">
      <c r="A37" s="157" t="s">
        <v>465</v>
      </c>
      <c r="B37" s="180">
        <v>0.57899999999999996</v>
      </c>
      <c r="C37" s="180">
        <v>1.077</v>
      </c>
      <c r="D37" s="180">
        <v>1.508</v>
      </c>
      <c r="E37" s="180">
        <v>3.2930000000000001</v>
      </c>
      <c r="F37" s="180">
        <v>5.508</v>
      </c>
      <c r="G37" s="180">
        <v>5.609</v>
      </c>
      <c r="H37" s="180">
        <v>7.7779999999999996</v>
      </c>
      <c r="I37" s="180">
        <v>11.42</v>
      </c>
      <c r="J37" s="180">
        <v>12.087999999999999</v>
      </c>
      <c r="K37" s="180">
        <v>17.8</v>
      </c>
    </row>
    <row r="38" spans="1:11" ht="15" customHeight="1" outlineLevel="2" x14ac:dyDescent="0.2">
      <c r="A38" s="158" t="s">
        <v>466</v>
      </c>
      <c r="B38" s="183">
        <v>-6.0999999999999999E-2</v>
      </c>
      <c r="C38" s="183">
        <v>-11.412000000000001</v>
      </c>
      <c r="D38" s="183">
        <v>-2.1000000000000001E-2</v>
      </c>
      <c r="E38" s="183">
        <v>-0.16</v>
      </c>
      <c r="F38" s="181">
        <v>0.11600000000000001</v>
      </c>
      <c r="G38" s="183">
        <v>-0.98899999999999999</v>
      </c>
      <c r="H38" s="181">
        <v>0</v>
      </c>
      <c r="I38" s="181">
        <v>0</v>
      </c>
      <c r="J38" s="181">
        <v>0.38400000000000001</v>
      </c>
      <c r="K38" s="181">
        <v>1.6060000000000001</v>
      </c>
    </row>
    <row r="39" spans="1:11" ht="15" customHeight="1" outlineLevel="2" x14ac:dyDescent="0.2">
      <c r="A39" s="157" t="s">
        <v>467</v>
      </c>
      <c r="B39" s="184">
        <v>-0.08</v>
      </c>
      <c r="C39" s="184">
        <v>-0.13400000000000001</v>
      </c>
      <c r="D39" s="180">
        <v>5.7000000000000002E-2</v>
      </c>
      <c r="E39" s="184">
        <v>-0.63900000000000001</v>
      </c>
      <c r="F39" s="184">
        <v>-2.3010000000000002</v>
      </c>
      <c r="G39" s="184">
        <v>-1.88</v>
      </c>
      <c r="H39" s="184">
        <v>-2.1219999999999999</v>
      </c>
      <c r="I39" s="180">
        <v>0.55000000000000004</v>
      </c>
      <c r="J39" s="180">
        <v>2.306</v>
      </c>
      <c r="K39" s="184">
        <v>-1.6080000000000001</v>
      </c>
    </row>
    <row r="40" spans="1:11" ht="15" customHeight="1" x14ac:dyDescent="0.2">
      <c r="A40" s="165" t="s">
        <v>468</v>
      </c>
      <c r="B40" s="183">
        <v>-45.561999999999998</v>
      </c>
      <c r="C40" s="183">
        <v>-39.713999999999999</v>
      </c>
      <c r="D40" s="183">
        <v>-63.828000000000003</v>
      </c>
      <c r="E40" s="183">
        <v>-53.746000000000002</v>
      </c>
      <c r="F40" s="183">
        <v>-85.031000000000006</v>
      </c>
      <c r="G40" s="183">
        <v>-77.837000000000003</v>
      </c>
      <c r="H40" s="183">
        <v>-112.749</v>
      </c>
      <c r="I40" s="183">
        <v>-164.51</v>
      </c>
      <c r="J40" s="181">
        <v>4.6280000000000001</v>
      </c>
      <c r="K40" s="181">
        <v>45.911000000000001</v>
      </c>
    </row>
    <row r="41" spans="1:11" ht="15" customHeight="1" x14ac:dyDescent="0.2">
      <c r="A41" s="154" t="s">
        <v>116</v>
      </c>
      <c r="B41" s="182">
        <v>-45.561999999999998</v>
      </c>
      <c r="C41" s="182">
        <v>-39.713999999999999</v>
      </c>
      <c r="D41" s="182">
        <v>-63.828000000000003</v>
      </c>
      <c r="E41" s="182">
        <v>-53.746000000000002</v>
      </c>
      <c r="F41" s="182">
        <v>-85.031000000000006</v>
      </c>
      <c r="G41" s="182">
        <v>-77.837000000000003</v>
      </c>
      <c r="H41" s="182">
        <v>-112.749</v>
      </c>
      <c r="I41" s="182">
        <v>-164.51</v>
      </c>
      <c r="J41" s="182">
        <v>4.6280000000000001</v>
      </c>
      <c r="K41" s="182">
        <v>45.911000000000001</v>
      </c>
    </row>
    <row r="42" spans="1:11" ht="15" customHeight="1" outlineLevel="1" x14ac:dyDescent="0.2">
      <c r="A42" s="171" t="s">
        <v>469</v>
      </c>
      <c r="B42" s="183">
        <v>-45.561999999999998</v>
      </c>
      <c r="C42" s="183">
        <v>-39.713999999999999</v>
      </c>
      <c r="D42" s="183">
        <v>-63.828000000000003</v>
      </c>
      <c r="E42" s="183">
        <v>-53.746000000000002</v>
      </c>
      <c r="F42" s="183">
        <v>-85.031000000000006</v>
      </c>
      <c r="G42" s="183">
        <v>-77.837000000000003</v>
      </c>
      <c r="H42" s="183">
        <v>-112.749</v>
      </c>
      <c r="I42" s="183">
        <v>-164.51</v>
      </c>
      <c r="J42" s="181">
        <v>4.6280000000000001</v>
      </c>
      <c r="K42" s="181">
        <v>45.911000000000001</v>
      </c>
    </row>
    <row r="43" spans="1:11" ht="15" customHeight="1" x14ac:dyDescent="0.2">
      <c r="A43" s="154" t="s">
        <v>437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</row>
    <row r="44" spans="1:11" ht="15" customHeight="1" outlineLevel="1" x14ac:dyDescent="0.2">
      <c r="A44" s="171" t="s">
        <v>470</v>
      </c>
      <c r="B44" s="164">
        <v>-1.2944850000000001</v>
      </c>
      <c r="C44" s="164">
        <v>-1.0783940000000001</v>
      </c>
      <c r="D44" s="164">
        <v>-1.656622</v>
      </c>
      <c r="E44" s="164">
        <v>-1.270127</v>
      </c>
      <c r="F44" s="164">
        <v>-1.899837</v>
      </c>
      <c r="G44" s="164">
        <v>-1.826033</v>
      </c>
      <c r="H44" s="164">
        <v>-2.4923289999999998</v>
      </c>
      <c r="I44" s="164">
        <v>-1.939168</v>
      </c>
      <c r="J44" s="164">
        <v>-9.5120999999999997E-2</v>
      </c>
      <c r="K44" s="129">
        <v>0.88831300000000002</v>
      </c>
    </row>
    <row r="45" spans="1:11" ht="15" customHeight="1" outlineLevel="1" x14ac:dyDescent="0.2">
      <c r="A45" s="159" t="s">
        <v>471</v>
      </c>
      <c r="B45" s="160">
        <v>-1.29</v>
      </c>
      <c r="C45" s="160">
        <v>-1.08</v>
      </c>
      <c r="D45" s="160">
        <v>-1.6566000000000001</v>
      </c>
      <c r="E45" s="160">
        <v>-1.2788999999999999</v>
      </c>
      <c r="F45" s="160">
        <v>-1.8997999999999999</v>
      </c>
      <c r="G45" s="160">
        <v>-1.66</v>
      </c>
      <c r="H45" s="160">
        <v>-2.3458000000000001</v>
      </c>
      <c r="I45" s="160">
        <v>-3.2982999999999998</v>
      </c>
      <c r="J45" s="160">
        <v>9.0399999999999994E-2</v>
      </c>
      <c r="K45" s="160">
        <v>0.87519999999999998</v>
      </c>
    </row>
    <row r="46" spans="1:11" ht="15" customHeight="1" outlineLevel="2" x14ac:dyDescent="0.2">
      <c r="A46" s="158" t="s">
        <v>472</v>
      </c>
      <c r="B46" s="129">
        <v>35.197000000000003</v>
      </c>
      <c r="C46" s="129">
        <v>36.826999999999998</v>
      </c>
      <c r="D46" s="129">
        <v>38.529000000000003</v>
      </c>
      <c r="E46" s="129">
        <v>42.024999999999999</v>
      </c>
      <c r="F46" s="129">
        <v>44.756999999999998</v>
      </c>
      <c r="G46" s="129">
        <v>46.890999999999998</v>
      </c>
      <c r="H46" s="129">
        <v>48.064999999999998</v>
      </c>
      <c r="I46" s="129">
        <v>49.877000000000002</v>
      </c>
      <c r="J46" s="129">
        <v>51.177999999999997</v>
      </c>
      <c r="K46" s="129">
        <v>52.454999999999998</v>
      </c>
    </row>
    <row r="47" spans="1:11" ht="15" customHeight="1" outlineLevel="2" x14ac:dyDescent="0.2">
      <c r="A47" s="157" t="s">
        <v>473</v>
      </c>
      <c r="B47" s="126">
        <v>35.783999999999999</v>
      </c>
      <c r="C47" s="126">
        <v>37.503</v>
      </c>
      <c r="D47" s="126">
        <v>39.299999999999997</v>
      </c>
      <c r="E47" s="126">
        <v>42.954999999999998</v>
      </c>
      <c r="F47" s="126">
        <v>46.115000000000002</v>
      </c>
      <c r="G47" s="126">
        <v>47.39</v>
      </c>
      <c r="H47" s="126">
        <v>49.216999999999999</v>
      </c>
      <c r="I47" s="126">
        <v>50.448</v>
      </c>
      <c r="J47" s="126">
        <v>51.767000000000003</v>
      </c>
      <c r="K47" s="126">
        <v>52.555</v>
      </c>
    </row>
    <row r="48" spans="1:11" ht="15" customHeight="1" outlineLevel="1" x14ac:dyDescent="0.2">
      <c r="A48" s="155" t="s">
        <v>474</v>
      </c>
      <c r="B48" s="156">
        <v>-1.29</v>
      </c>
      <c r="C48" s="156">
        <v>-1.08</v>
      </c>
      <c r="D48" s="156">
        <v>-1.6566000000000001</v>
      </c>
      <c r="E48" s="156">
        <v>-1.2788999999999999</v>
      </c>
      <c r="F48" s="156">
        <v>-1.8997999999999999</v>
      </c>
      <c r="G48" s="156">
        <v>-1.66</v>
      </c>
      <c r="H48" s="156">
        <v>-2.3458000000000001</v>
      </c>
      <c r="I48" s="156">
        <v>-3.2982999999999998</v>
      </c>
      <c r="J48" s="156">
        <v>8.9300000000000004E-2</v>
      </c>
      <c r="K48" s="156">
        <v>0.86309999999999998</v>
      </c>
    </row>
    <row r="49" spans="1:11" ht="15" customHeight="1" outlineLevel="2" x14ac:dyDescent="0.2">
      <c r="A49" s="157" t="s">
        <v>475</v>
      </c>
      <c r="B49" s="126">
        <v>35.197000000000003</v>
      </c>
      <c r="C49" s="126">
        <v>36.826999999999998</v>
      </c>
      <c r="D49" s="126">
        <v>38.529000000000003</v>
      </c>
      <c r="E49" s="126">
        <v>42.024999999999999</v>
      </c>
      <c r="F49" s="126">
        <v>44.756999999999998</v>
      </c>
      <c r="G49" s="126">
        <v>46.890999999999998</v>
      </c>
      <c r="H49" s="126">
        <v>48.064999999999998</v>
      </c>
      <c r="I49" s="126">
        <v>49.877000000000002</v>
      </c>
      <c r="J49" s="126">
        <v>51.819000000000003</v>
      </c>
      <c r="K49" s="126">
        <v>53.194000000000003</v>
      </c>
    </row>
    <row r="50" spans="1:11" ht="15" customHeight="1" outlineLevel="2" x14ac:dyDescent="0.2">
      <c r="A50" s="158" t="s">
        <v>473</v>
      </c>
      <c r="B50" s="129">
        <v>35.783999999999999</v>
      </c>
      <c r="C50" s="129">
        <v>37.503</v>
      </c>
      <c r="D50" s="129">
        <v>39.299999999999997</v>
      </c>
      <c r="E50" s="129">
        <v>42.954999999999998</v>
      </c>
      <c r="F50" s="129">
        <v>46.115000000000002</v>
      </c>
      <c r="G50" s="129">
        <v>47.39</v>
      </c>
      <c r="H50" s="129">
        <v>49.216999999999999</v>
      </c>
      <c r="I50" s="129">
        <v>50.448</v>
      </c>
      <c r="J50" s="129">
        <v>51.767000000000003</v>
      </c>
      <c r="K50" s="129">
        <v>52.555</v>
      </c>
    </row>
    <row r="51" spans="1:11" ht="15" customHeight="1" outlineLevel="1" x14ac:dyDescent="0.2">
      <c r="A51" s="167" t="s">
        <v>476</v>
      </c>
      <c r="B51" s="126">
        <v>23.515999999999998</v>
      </c>
      <c r="C51" s="126">
        <v>0</v>
      </c>
      <c r="D51" s="126">
        <v>10.263</v>
      </c>
      <c r="E51" s="126">
        <v>32.686</v>
      </c>
      <c r="F51" s="126">
        <v>85.382000000000005</v>
      </c>
      <c r="G51" s="126">
        <v>71.430000000000007</v>
      </c>
      <c r="H51" s="126">
        <v>85.075999999999993</v>
      </c>
      <c r="I51" s="126">
        <v>65.712999999999994</v>
      </c>
      <c r="J51" s="126">
        <v>79.245000000000005</v>
      </c>
      <c r="K51" s="126">
        <v>49.344000000000001</v>
      </c>
    </row>
    <row r="52" spans="1:11" ht="15" customHeight="1" x14ac:dyDescent="0.2">
      <c r="A52" s="169" t="s">
        <v>324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</row>
    <row r="53" spans="1:11" ht="15" customHeight="1" outlineLevel="1" x14ac:dyDescent="0.2">
      <c r="A53" s="159" t="s">
        <v>324</v>
      </c>
      <c r="B53" s="160">
        <v>-33.484999999999999</v>
      </c>
      <c r="C53" s="160">
        <v>-24.35</v>
      </c>
      <c r="D53" s="160">
        <v>-24.83</v>
      </c>
      <c r="E53" s="160">
        <v>-16.664000000000001</v>
      </c>
      <c r="F53" s="160">
        <v>-11.628</v>
      </c>
      <c r="G53" s="160">
        <v>-4.407</v>
      </c>
      <c r="H53" s="160">
        <v>-46.701000000000001</v>
      </c>
      <c r="I53" s="160">
        <v>-23.986000000000001</v>
      </c>
      <c r="J53" s="160">
        <v>49.988</v>
      </c>
      <c r="K53" s="160">
        <v>175.893</v>
      </c>
    </row>
    <row r="54" spans="1:11" ht="15" customHeight="1" outlineLevel="2" x14ac:dyDescent="0.2">
      <c r="A54" s="158" t="s">
        <v>5</v>
      </c>
      <c r="B54" s="164">
        <v>-44.661999999999999</v>
      </c>
      <c r="C54" s="164">
        <v>-40.136000000000003</v>
      </c>
      <c r="D54" s="164">
        <v>-48.258000000000003</v>
      </c>
      <c r="E54" s="164">
        <v>-46.463999999999999</v>
      </c>
      <c r="F54" s="164">
        <v>-50.828000000000003</v>
      </c>
      <c r="G54" s="164">
        <v>-52.606999999999999</v>
      </c>
      <c r="H54" s="164">
        <v>-109.101</v>
      </c>
      <c r="I54" s="164">
        <v>-104.086</v>
      </c>
      <c r="J54" s="164">
        <v>-63.612000000000002</v>
      </c>
      <c r="K54" s="129">
        <v>11.393000000000001</v>
      </c>
    </row>
    <row r="55" spans="1:11" ht="15" customHeight="1" outlineLevel="2" x14ac:dyDescent="0.2">
      <c r="A55" s="157" t="s">
        <v>443</v>
      </c>
      <c r="B55" s="126">
        <v>11.177</v>
      </c>
      <c r="C55" s="126">
        <v>15.786</v>
      </c>
      <c r="D55" s="126">
        <v>23.428000000000001</v>
      </c>
      <c r="E55" s="126">
        <v>29.8</v>
      </c>
      <c r="F55" s="126">
        <v>39.200000000000003</v>
      </c>
      <c r="G55" s="126">
        <v>48.2</v>
      </c>
      <c r="H55" s="126">
        <v>62.4</v>
      </c>
      <c r="I55" s="126">
        <v>80.099999999999994</v>
      </c>
      <c r="J55" s="126">
        <v>113.6</v>
      </c>
      <c r="K55" s="126">
        <v>164.5</v>
      </c>
    </row>
    <row r="56" spans="1:11" ht="15" customHeight="1" x14ac:dyDescent="0.2">
      <c r="A56" s="172" t="s">
        <v>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K55"/>
  <sheetViews>
    <sheetView zoomScaleNormal="100" workbookViewId="0">
      <selection activeCell="A2" sqref="A2"/>
    </sheetView>
  </sheetViews>
  <sheetFormatPr defaultColWidth="9.140625" defaultRowHeight="12.75" outlineLevelRow="3" x14ac:dyDescent="0.2"/>
  <cols>
    <col min="1" max="1" width="51.28515625" customWidth="1"/>
    <col min="2" max="11" width="8" customWidth="1"/>
  </cols>
  <sheetData>
    <row r="2" spans="1:11" ht="15" customHeight="1" x14ac:dyDescent="0.25">
      <c r="A2" s="248" t="s">
        <v>517</v>
      </c>
    </row>
    <row r="4" spans="1:11" ht="15" customHeight="1" x14ac:dyDescent="0.2">
      <c r="A4" s="247" t="s">
        <v>518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</row>
    <row r="5" spans="1:11" ht="15" customHeight="1" x14ac:dyDescent="0.2">
      <c r="A5" s="247" t="s">
        <v>519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</row>
    <row r="6" spans="1:11" ht="15" customHeight="1" x14ac:dyDescent="0.2">
      <c r="A6" s="247" t="s">
        <v>371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</row>
    <row r="7" spans="1:11" ht="15" customHeight="1" x14ac:dyDescent="0.2">
      <c r="A7" s="247"/>
      <c r="B7" s="247" t="s">
        <v>520</v>
      </c>
      <c r="C7" s="247" t="s">
        <v>521</v>
      </c>
      <c r="D7" s="247" t="s">
        <v>522</v>
      </c>
      <c r="E7" s="247" t="s">
        <v>523</v>
      </c>
      <c r="F7" s="247" t="s">
        <v>304</v>
      </c>
      <c r="G7" s="247" t="s">
        <v>305</v>
      </c>
      <c r="H7" s="247" t="s">
        <v>306</v>
      </c>
      <c r="I7" s="247" t="s">
        <v>307</v>
      </c>
      <c r="J7" s="247" t="s">
        <v>308</v>
      </c>
      <c r="K7" s="247" t="s">
        <v>309</v>
      </c>
    </row>
    <row r="8" spans="1:11" ht="15" customHeight="1" x14ac:dyDescent="0.2">
      <c r="A8" s="247"/>
      <c r="B8" s="247"/>
      <c r="C8" s="247"/>
      <c r="D8" s="247"/>
      <c r="E8" s="247"/>
      <c r="F8" s="247"/>
      <c r="G8" s="247"/>
      <c r="H8" s="247"/>
      <c r="I8" s="247" t="s">
        <v>376</v>
      </c>
      <c r="J8" s="247"/>
      <c r="K8" s="247"/>
    </row>
    <row r="9" spans="1:11" ht="15" customHeight="1" x14ac:dyDescent="0.2">
      <c r="A9" s="154" t="s">
        <v>480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ht="15" customHeight="1" outlineLevel="1" x14ac:dyDescent="0.2">
      <c r="A10" s="171" t="s">
        <v>481</v>
      </c>
      <c r="B10" s="164">
        <v>-45.561999999999998</v>
      </c>
      <c r="C10" s="164">
        <v>-39.713999999999999</v>
      </c>
      <c r="D10" s="164">
        <v>-63.828000000000003</v>
      </c>
      <c r="E10" s="164">
        <v>-53.746000000000002</v>
      </c>
      <c r="F10" s="164">
        <v>-85.031000000000006</v>
      </c>
      <c r="G10" s="164">
        <v>-77.837000000000003</v>
      </c>
      <c r="H10" s="164">
        <v>-112.749</v>
      </c>
      <c r="I10" s="164">
        <v>-164.51</v>
      </c>
      <c r="J10" s="129">
        <v>4.6280000000000001</v>
      </c>
      <c r="K10" s="129">
        <v>45.911000000000001</v>
      </c>
    </row>
    <row r="11" spans="1:11" ht="15" customHeight="1" outlineLevel="1" x14ac:dyDescent="0.2">
      <c r="A11" s="159" t="s">
        <v>482</v>
      </c>
      <c r="B11" s="160">
        <v>11.177</v>
      </c>
      <c r="C11" s="160">
        <v>15.786</v>
      </c>
      <c r="D11" s="160">
        <v>23.428000000000001</v>
      </c>
      <c r="E11" s="160">
        <v>28.792999999999999</v>
      </c>
      <c r="F11" s="160">
        <v>37.06</v>
      </c>
      <c r="G11" s="160">
        <v>45.158999999999999</v>
      </c>
      <c r="H11" s="160">
        <v>58.15</v>
      </c>
      <c r="I11" s="160">
        <v>72.673000000000002</v>
      </c>
      <c r="J11" s="160">
        <v>96.828000000000003</v>
      </c>
      <c r="K11" s="160">
        <v>136.29499999999999</v>
      </c>
    </row>
    <row r="12" spans="1:11" ht="15" customHeight="1" outlineLevel="2" x14ac:dyDescent="0.2">
      <c r="A12" s="158" t="s">
        <v>483</v>
      </c>
      <c r="B12" s="129">
        <v>5.9</v>
      </c>
      <c r="C12" s="129">
        <v>9.4</v>
      </c>
      <c r="D12" s="129">
        <v>12.827999999999999</v>
      </c>
      <c r="E12" s="129">
        <v>13.993</v>
      </c>
      <c r="F12" s="165"/>
      <c r="G12" s="129">
        <v>20.859000000000002</v>
      </c>
      <c r="H12" s="129">
        <v>23.55</v>
      </c>
      <c r="I12" s="129">
        <v>21.573</v>
      </c>
      <c r="J12" s="129">
        <v>12.928000000000001</v>
      </c>
      <c r="K12" s="129">
        <v>6.2949999999999999</v>
      </c>
    </row>
    <row r="13" spans="1:11" ht="15" customHeight="1" outlineLevel="2" x14ac:dyDescent="0.2">
      <c r="A13" s="157" t="s">
        <v>484</v>
      </c>
      <c r="B13" s="126">
        <v>5.2770000000000001</v>
      </c>
      <c r="C13" s="126">
        <v>6.3860000000000001</v>
      </c>
      <c r="D13" s="126">
        <v>10.6</v>
      </c>
      <c r="E13" s="126">
        <v>14.8</v>
      </c>
      <c r="F13" s="166"/>
      <c r="G13" s="126">
        <v>24.3</v>
      </c>
      <c r="H13" s="126">
        <v>34.6</v>
      </c>
      <c r="I13" s="126">
        <v>51.1</v>
      </c>
      <c r="J13" s="126">
        <v>83.9</v>
      </c>
      <c r="K13" s="126">
        <v>130</v>
      </c>
    </row>
    <row r="14" spans="1:11" ht="15" customHeight="1" outlineLevel="1" x14ac:dyDescent="0.2">
      <c r="A14" s="155" t="s">
        <v>530</v>
      </c>
      <c r="B14" s="156">
        <v>-0.13300000000000001</v>
      </c>
      <c r="C14" s="156">
        <v>-11.545999999999999</v>
      </c>
      <c r="D14" s="156">
        <v>3.5999999999999997E-2</v>
      </c>
      <c r="E14" s="156">
        <v>-0.79900000000000004</v>
      </c>
      <c r="F14" s="156">
        <v>-2.1850000000000001</v>
      </c>
      <c r="G14" s="156">
        <v>-2.8690000000000002</v>
      </c>
      <c r="H14" s="156">
        <v>-2.1219999999999999</v>
      </c>
      <c r="I14" s="156">
        <v>0.55000000000000004</v>
      </c>
      <c r="J14" s="156">
        <v>2.69</v>
      </c>
      <c r="K14" s="156">
        <v>-2E-3</v>
      </c>
    </row>
    <row r="15" spans="1:11" ht="15" customHeight="1" outlineLevel="2" x14ac:dyDescent="0.2">
      <c r="A15" s="157" t="s">
        <v>531</v>
      </c>
      <c r="B15" s="170">
        <v>-0.13300000000000001</v>
      </c>
      <c r="C15" s="170">
        <v>-11.545999999999999</v>
      </c>
      <c r="D15" s="126">
        <v>3.5999999999999997E-2</v>
      </c>
      <c r="E15" s="170">
        <v>-0.79900000000000004</v>
      </c>
      <c r="F15" s="170">
        <v>-2.1850000000000001</v>
      </c>
      <c r="G15" s="170">
        <v>-2.8690000000000002</v>
      </c>
      <c r="H15" s="170">
        <v>-2.1219999999999999</v>
      </c>
      <c r="I15" s="126">
        <v>0.55000000000000004</v>
      </c>
      <c r="J15" s="126">
        <v>2.69</v>
      </c>
      <c r="K15" s="170">
        <v>-2E-3</v>
      </c>
    </row>
    <row r="16" spans="1:11" ht="15" customHeight="1" outlineLevel="1" x14ac:dyDescent="0.2">
      <c r="A16" s="171" t="s">
        <v>485</v>
      </c>
      <c r="B16" s="129">
        <v>37.371000000000002</v>
      </c>
      <c r="C16" s="129">
        <v>63.006999999999998</v>
      </c>
      <c r="D16" s="129">
        <v>92.628</v>
      </c>
      <c r="E16" s="129">
        <v>105.22799999999999</v>
      </c>
      <c r="F16" s="129">
        <v>103.22799999999999</v>
      </c>
      <c r="G16" s="129">
        <v>164.762</v>
      </c>
      <c r="H16" s="129">
        <v>271.416</v>
      </c>
      <c r="I16" s="129">
        <v>459.976</v>
      </c>
      <c r="J16" s="129">
        <v>437.61700000000002</v>
      </c>
      <c r="K16" s="129">
        <v>482.99299999999999</v>
      </c>
    </row>
    <row r="17" spans="1:11" ht="15" customHeight="1" outlineLevel="1" x14ac:dyDescent="0.2">
      <c r="A17" s="167" t="s">
        <v>486</v>
      </c>
      <c r="B17" s="126">
        <v>2.8530000000000002</v>
      </c>
      <c r="C17" s="126">
        <v>27.533000000000001</v>
      </c>
      <c r="D17" s="126">
        <v>52.264000000000003</v>
      </c>
      <c r="E17" s="126">
        <v>79.475999999999999</v>
      </c>
      <c r="F17" s="126">
        <v>53.072000000000003</v>
      </c>
      <c r="G17" s="126">
        <v>129.215</v>
      </c>
      <c r="H17" s="126">
        <v>214.69499999999999</v>
      </c>
      <c r="I17" s="126">
        <v>368.68900000000002</v>
      </c>
      <c r="J17" s="126">
        <v>541.76300000000003</v>
      </c>
      <c r="K17" s="126">
        <v>665.197</v>
      </c>
    </row>
    <row r="18" spans="1:11" ht="15" customHeight="1" outlineLevel="1" x14ac:dyDescent="0.2">
      <c r="A18" s="155" t="s">
        <v>487</v>
      </c>
      <c r="B18" s="156">
        <v>16.513000000000002</v>
      </c>
      <c r="C18" s="156">
        <v>22.081</v>
      </c>
      <c r="D18" s="156">
        <v>32.587000000000003</v>
      </c>
      <c r="E18" s="156">
        <v>39.497</v>
      </c>
      <c r="F18" s="156">
        <v>35.841000000000001</v>
      </c>
      <c r="G18" s="156">
        <v>109.51300000000001</v>
      </c>
      <c r="H18" s="156">
        <v>58.478999999999999</v>
      </c>
      <c r="I18" s="156">
        <v>-17.718</v>
      </c>
      <c r="J18" s="156">
        <v>56.835999999999999</v>
      </c>
      <c r="K18" s="156">
        <v>95.52</v>
      </c>
    </row>
    <row r="19" spans="1:11" ht="15" customHeight="1" outlineLevel="2" x14ac:dyDescent="0.2">
      <c r="A19" s="157" t="s">
        <v>488</v>
      </c>
      <c r="B19" s="170">
        <v>-14.099</v>
      </c>
      <c r="C19" s="170">
        <v>-20.18</v>
      </c>
      <c r="D19" s="170">
        <v>-17.725999999999999</v>
      </c>
      <c r="E19" s="170">
        <v>-15.428000000000001</v>
      </c>
      <c r="F19" s="170">
        <v>-29.971</v>
      </c>
      <c r="G19" s="170">
        <v>-34.106999999999999</v>
      </c>
      <c r="H19" s="170">
        <v>-73.984999999999999</v>
      </c>
      <c r="I19" s="170">
        <v>-57.618000000000002</v>
      </c>
      <c r="J19" s="170">
        <v>-48.427999999999997</v>
      </c>
      <c r="K19" s="170">
        <v>-64.003</v>
      </c>
    </row>
    <row r="20" spans="1:11" ht="15" customHeight="1" outlineLevel="2" x14ac:dyDescent="0.2">
      <c r="A20" s="158" t="s">
        <v>412</v>
      </c>
      <c r="B20" s="129">
        <v>0.98299999999999998</v>
      </c>
      <c r="C20" s="129">
        <v>1.1000000000000001</v>
      </c>
      <c r="D20" s="129">
        <v>3.298</v>
      </c>
      <c r="E20" s="129">
        <v>3.927</v>
      </c>
      <c r="F20" s="129">
        <v>3.6970000000000001</v>
      </c>
      <c r="G20" s="164">
        <v>-10.608000000000001</v>
      </c>
      <c r="H20" s="129">
        <v>18.277000000000001</v>
      </c>
      <c r="I20" s="164">
        <v>-14.031000000000001</v>
      </c>
      <c r="J20" s="164">
        <v>-4.577</v>
      </c>
      <c r="K20" s="129">
        <v>18.998999999999999</v>
      </c>
    </row>
    <row r="21" spans="1:11" ht="15" customHeight="1" outlineLevel="2" x14ac:dyDescent="0.2">
      <c r="A21" s="157" t="s">
        <v>489</v>
      </c>
      <c r="B21" s="126">
        <v>3.8969999999999998</v>
      </c>
      <c r="C21" s="126">
        <v>11.754</v>
      </c>
      <c r="D21" s="126">
        <v>17.719000000000001</v>
      </c>
      <c r="E21" s="126">
        <v>7.819</v>
      </c>
      <c r="F21" s="126">
        <v>26.02</v>
      </c>
      <c r="G21" s="126">
        <v>58.209000000000003</v>
      </c>
      <c r="H21" s="126">
        <v>32.375</v>
      </c>
      <c r="I21" s="126">
        <v>79.947000000000003</v>
      </c>
      <c r="J21" s="126">
        <v>89.129000000000005</v>
      </c>
      <c r="K21" s="126">
        <v>117.971</v>
      </c>
    </row>
    <row r="22" spans="1:11" ht="15" customHeight="1" outlineLevel="2" x14ac:dyDescent="0.2">
      <c r="A22" s="158" t="s">
        <v>490</v>
      </c>
      <c r="B22" s="129">
        <v>25.731999999999999</v>
      </c>
      <c r="C22" s="129">
        <v>29.407</v>
      </c>
      <c r="D22" s="129">
        <v>29.295999999999999</v>
      </c>
      <c r="E22" s="129">
        <v>43.179000000000002</v>
      </c>
      <c r="F22" s="129">
        <v>36.094999999999999</v>
      </c>
      <c r="G22" s="129">
        <v>96.019000000000005</v>
      </c>
      <c r="H22" s="129">
        <v>81.811999999999998</v>
      </c>
      <c r="I22" s="164">
        <v>-26.015999999999998</v>
      </c>
      <c r="J22" s="129">
        <v>20.712</v>
      </c>
      <c r="K22" s="129">
        <v>22.553000000000001</v>
      </c>
    </row>
    <row r="23" spans="1:11" ht="15" customHeight="1" outlineLevel="1" x14ac:dyDescent="0.2">
      <c r="A23" s="167" t="s">
        <v>491</v>
      </c>
      <c r="B23" s="126">
        <v>19.366</v>
      </c>
      <c r="C23" s="126">
        <v>49.613999999999997</v>
      </c>
      <c r="D23" s="126">
        <v>84.850999999999999</v>
      </c>
      <c r="E23" s="126">
        <v>118.973</v>
      </c>
      <c r="F23" s="126">
        <v>88.912999999999997</v>
      </c>
      <c r="G23" s="126">
        <v>238.72800000000001</v>
      </c>
      <c r="H23" s="126">
        <v>273.17399999999998</v>
      </c>
      <c r="I23" s="126">
        <v>350.971</v>
      </c>
      <c r="J23" s="126">
        <v>598.59900000000005</v>
      </c>
      <c r="K23" s="126">
        <v>760.71699999999998</v>
      </c>
    </row>
    <row r="24" spans="1:11" ht="15" customHeight="1" x14ac:dyDescent="0.2">
      <c r="A24" s="169" t="s">
        <v>492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</row>
    <row r="25" spans="1:11" ht="15" customHeight="1" outlineLevel="1" x14ac:dyDescent="0.2">
      <c r="A25" s="159" t="s">
        <v>120</v>
      </c>
      <c r="B25" s="182">
        <v>-21.538</v>
      </c>
      <c r="C25" s="182">
        <v>-36.762</v>
      </c>
      <c r="D25" s="182">
        <v>-33.472999999999999</v>
      </c>
      <c r="E25" s="182">
        <v>-53.845999999999997</v>
      </c>
      <c r="F25" s="182">
        <v>-58.872999999999998</v>
      </c>
      <c r="G25" s="182">
        <v>-61.865000000000002</v>
      </c>
      <c r="H25" s="182">
        <v>-91.771000000000001</v>
      </c>
      <c r="I25" s="182">
        <v>-100.254</v>
      </c>
      <c r="J25" s="182">
        <v>-128.80600000000001</v>
      </c>
      <c r="K25" s="182">
        <v>-184.06299999999999</v>
      </c>
    </row>
    <row r="26" spans="1:11" ht="15" customHeight="1" outlineLevel="2" x14ac:dyDescent="0.2">
      <c r="A26" s="158" t="s">
        <v>493</v>
      </c>
      <c r="B26" s="183">
        <v>-15.789</v>
      </c>
      <c r="C26" s="183">
        <v>-20.276</v>
      </c>
      <c r="D26" s="183">
        <v>-22.305</v>
      </c>
      <c r="E26" s="183">
        <v>-40.372</v>
      </c>
      <c r="F26" s="183">
        <v>-37.274000000000001</v>
      </c>
      <c r="G26" s="183">
        <v>-28.725999999999999</v>
      </c>
      <c r="H26" s="183">
        <v>-37.426000000000002</v>
      </c>
      <c r="I26" s="183">
        <v>-33.718000000000004</v>
      </c>
      <c r="J26" s="183">
        <v>-37.939</v>
      </c>
      <c r="K26" s="183">
        <v>-53.164999999999999</v>
      </c>
    </row>
    <row r="27" spans="1:11" ht="15" customHeight="1" outlineLevel="2" x14ac:dyDescent="0.2">
      <c r="A27" s="157" t="s">
        <v>532</v>
      </c>
      <c r="B27" s="184">
        <v>-5.7489999999999997</v>
      </c>
      <c r="C27" s="184">
        <v>-16.486000000000001</v>
      </c>
      <c r="D27" s="184">
        <v>-11.167999999999999</v>
      </c>
      <c r="E27" s="184">
        <v>-13.474</v>
      </c>
      <c r="F27" s="184">
        <v>-21.599</v>
      </c>
      <c r="G27" s="184">
        <v>-33.139000000000003</v>
      </c>
      <c r="H27" s="184">
        <v>-54.344999999999999</v>
      </c>
      <c r="I27" s="184">
        <v>-66.536000000000001</v>
      </c>
      <c r="J27" s="184">
        <v>-90.867000000000004</v>
      </c>
      <c r="K27" s="184">
        <v>-130.898</v>
      </c>
    </row>
    <row r="28" spans="1:11" ht="15" customHeight="1" outlineLevel="1" x14ac:dyDescent="0.2">
      <c r="A28" s="171" t="s">
        <v>494</v>
      </c>
      <c r="B28" s="181">
        <v>0</v>
      </c>
      <c r="C28" s="183">
        <v>-3.5</v>
      </c>
      <c r="D28" s="183">
        <v>-0.5</v>
      </c>
      <c r="E28" s="183">
        <v>-23.314</v>
      </c>
      <c r="F28" s="181">
        <v>0</v>
      </c>
      <c r="G28" s="183">
        <v>-16.809999999999999</v>
      </c>
      <c r="H28" s="181">
        <v>0</v>
      </c>
      <c r="I28" s="183">
        <v>-142.12899999999999</v>
      </c>
      <c r="J28" s="183">
        <v>-40.438000000000002</v>
      </c>
      <c r="K28" s="183">
        <v>-87.608000000000004</v>
      </c>
    </row>
    <row r="29" spans="1:11" ht="15" customHeight="1" outlineLevel="1" x14ac:dyDescent="0.2">
      <c r="A29" s="159" t="s">
        <v>495</v>
      </c>
      <c r="B29" s="182">
        <v>-1.419</v>
      </c>
      <c r="C29" s="182">
        <v>-360.935</v>
      </c>
      <c r="D29" s="182">
        <v>-37.256999999999998</v>
      </c>
      <c r="E29" s="182">
        <v>-239.03399999999999</v>
      </c>
      <c r="F29" s="182">
        <v>-156.69399999999999</v>
      </c>
      <c r="G29" s="182">
        <v>-100.833</v>
      </c>
      <c r="H29" s="182">
        <v>-227.887</v>
      </c>
      <c r="I29" s="182">
        <v>-92.382999999999996</v>
      </c>
      <c r="J29" s="182">
        <v>-348.55</v>
      </c>
      <c r="K29" s="182">
        <v>763.44399999999996</v>
      </c>
    </row>
    <row r="30" spans="1:11" ht="15" customHeight="1" outlineLevel="2" x14ac:dyDescent="0.2">
      <c r="A30" s="158" t="s">
        <v>496</v>
      </c>
      <c r="B30" s="181">
        <v>52.259</v>
      </c>
      <c r="C30" s="181">
        <v>894.59500000000003</v>
      </c>
      <c r="D30" s="181">
        <v>681.63199999999995</v>
      </c>
      <c r="E30" s="181">
        <v>1305.4000000000001</v>
      </c>
      <c r="F30" s="181">
        <v>1519.857</v>
      </c>
      <c r="G30" s="181">
        <v>1500.951</v>
      </c>
      <c r="H30" s="181">
        <v>1537.3910000000001</v>
      </c>
      <c r="I30" s="181">
        <v>1594.9169999999999</v>
      </c>
      <c r="J30" s="181">
        <v>2009.1479999999999</v>
      </c>
      <c r="K30" s="181">
        <v>1476.681</v>
      </c>
    </row>
    <row r="31" spans="1:11" ht="15" customHeight="1" outlineLevel="2" x14ac:dyDescent="0.2">
      <c r="A31" s="157" t="s">
        <v>497</v>
      </c>
      <c r="B31" s="180">
        <v>50.84</v>
      </c>
      <c r="C31" s="180">
        <v>533.66</v>
      </c>
      <c r="D31" s="180">
        <v>644.375</v>
      </c>
      <c r="E31" s="180">
        <v>1066.366</v>
      </c>
      <c r="F31" s="180">
        <v>1363.163</v>
      </c>
      <c r="G31" s="180">
        <v>1400.1179999999999</v>
      </c>
      <c r="H31" s="180">
        <v>1309.5039999999999</v>
      </c>
      <c r="I31" s="180">
        <v>1502.5340000000001</v>
      </c>
      <c r="J31" s="180">
        <v>1660.598</v>
      </c>
      <c r="K31" s="180">
        <v>2240.125</v>
      </c>
    </row>
    <row r="32" spans="1:11" ht="15" customHeight="1" outlineLevel="1" x14ac:dyDescent="0.2">
      <c r="A32" s="155" t="s">
        <v>485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1.9330000000000001</v>
      </c>
      <c r="K32" s="179">
        <v>0</v>
      </c>
    </row>
    <row r="33" spans="1:11" ht="15" customHeight="1" outlineLevel="2" x14ac:dyDescent="0.2">
      <c r="A33" s="157" t="s">
        <v>533</v>
      </c>
      <c r="B33" s="166"/>
      <c r="C33" s="166"/>
      <c r="D33" s="166"/>
      <c r="E33" s="180">
        <v>0</v>
      </c>
      <c r="F33" s="180">
        <v>0</v>
      </c>
      <c r="G33" s="180">
        <v>0</v>
      </c>
      <c r="H33" s="180">
        <v>0</v>
      </c>
      <c r="I33" s="180">
        <v>0</v>
      </c>
      <c r="J33" s="180">
        <v>1.9330000000000001</v>
      </c>
      <c r="K33" s="180">
        <v>0</v>
      </c>
    </row>
    <row r="34" spans="1:11" ht="15" customHeight="1" outlineLevel="1" x14ac:dyDescent="0.2">
      <c r="A34" s="171" t="s">
        <v>498</v>
      </c>
      <c r="B34" s="183">
        <v>-22.957000000000001</v>
      </c>
      <c r="C34" s="183">
        <v>-401.197</v>
      </c>
      <c r="D34" s="183">
        <v>-71.23</v>
      </c>
      <c r="E34" s="183">
        <v>-316.19400000000002</v>
      </c>
      <c r="F34" s="183">
        <v>-215.56700000000001</v>
      </c>
      <c r="G34" s="183">
        <v>-179.50800000000001</v>
      </c>
      <c r="H34" s="183">
        <v>-319.65800000000002</v>
      </c>
      <c r="I34" s="183">
        <v>-334.76600000000002</v>
      </c>
      <c r="J34" s="183">
        <v>-515.86099999999999</v>
      </c>
      <c r="K34" s="181">
        <v>491.77300000000002</v>
      </c>
    </row>
    <row r="35" spans="1:11" ht="15" customHeight="1" x14ac:dyDescent="0.2">
      <c r="A35" s="154" t="s">
        <v>499</v>
      </c>
      <c r="B35" s="154"/>
      <c r="C35" s="154"/>
      <c r="D35" s="154"/>
      <c r="E35" s="154"/>
      <c r="F35" s="154"/>
      <c r="G35" s="154"/>
      <c r="H35" s="154"/>
      <c r="I35" s="154"/>
      <c r="J35" s="154"/>
      <c r="K35" s="154"/>
    </row>
    <row r="36" spans="1:11" ht="15" customHeight="1" outlineLevel="1" x14ac:dyDescent="0.2">
      <c r="A36" s="155" t="s">
        <v>502</v>
      </c>
      <c r="B36" s="179">
        <v>11.584</v>
      </c>
      <c r="C36" s="179">
        <v>13.086</v>
      </c>
      <c r="D36" s="179">
        <v>21.555</v>
      </c>
      <c r="E36" s="179">
        <v>366.20600000000002</v>
      </c>
      <c r="F36" s="179">
        <v>30.370999999999999</v>
      </c>
      <c r="G36" s="179">
        <v>46.51</v>
      </c>
      <c r="H36" s="179">
        <v>39.930999999999997</v>
      </c>
      <c r="I36" s="179">
        <v>47.738</v>
      </c>
      <c r="J36" s="179">
        <v>75.501000000000005</v>
      </c>
      <c r="K36" s="179">
        <v>-428.625</v>
      </c>
    </row>
    <row r="37" spans="1:11" ht="15" customHeight="1" outlineLevel="2" x14ac:dyDescent="0.2">
      <c r="A37" s="157" t="s">
        <v>503</v>
      </c>
      <c r="B37" s="180">
        <v>0</v>
      </c>
      <c r="C37" s="180">
        <v>0</v>
      </c>
      <c r="D37" s="180">
        <v>0</v>
      </c>
      <c r="E37" s="180">
        <v>0</v>
      </c>
      <c r="F37" s="180">
        <v>0</v>
      </c>
      <c r="G37" s="180">
        <v>0</v>
      </c>
      <c r="H37" s="180">
        <v>0</v>
      </c>
      <c r="I37" s="180">
        <v>0</v>
      </c>
      <c r="J37" s="180">
        <v>0</v>
      </c>
      <c r="K37" s="184">
        <v>-500.01900000000001</v>
      </c>
    </row>
    <row r="38" spans="1:11" ht="15" customHeight="1" outlineLevel="2" x14ac:dyDescent="0.2">
      <c r="A38" s="161" t="s">
        <v>504</v>
      </c>
      <c r="B38" s="179">
        <v>11.584</v>
      </c>
      <c r="C38" s="179">
        <v>13.086</v>
      </c>
      <c r="D38" s="179">
        <v>21.555</v>
      </c>
      <c r="E38" s="179">
        <v>366.20600000000002</v>
      </c>
      <c r="F38" s="179">
        <v>30.370999999999999</v>
      </c>
      <c r="G38" s="179">
        <v>46.51</v>
      </c>
      <c r="H38" s="179">
        <v>39.930999999999997</v>
      </c>
      <c r="I38" s="179">
        <v>47.738</v>
      </c>
      <c r="J38" s="179">
        <v>75.501000000000005</v>
      </c>
      <c r="K38" s="179">
        <v>71.394000000000005</v>
      </c>
    </row>
    <row r="39" spans="1:11" ht="15" customHeight="1" outlineLevel="3" x14ac:dyDescent="0.2">
      <c r="A39" s="162" t="s">
        <v>534</v>
      </c>
      <c r="B39" s="180">
        <v>0</v>
      </c>
      <c r="C39" s="180">
        <v>0</v>
      </c>
      <c r="D39" s="180">
        <v>0</v>
      </c>
      <c r="E39" s="180">
        <v>342.62799999999999</v>
      </c>
      <c r="F39" s="180">
        <v>0</v>
      </c>
      <c r="G39" s="180">
        <v>0</v>
      </c>
      <c r="H39" s="180">
        <v>0</v>
      </c>
      <c r="I39" s="180">
        <v>0</v>
      </c>
      <c r="J39" s="180">
        <v>0</v>
      </c>
      <c r="K39" s="180">
        <v>0</v>
      </c>
    </row>
    <row r="40" spans="1:11" ht="15" customHeight="1" outlineLevel="3" x14ac:dyDescent="0.2">
      <c r="A40" s="163" t="s">
        <v>505</v>
      </c>
      <c r="B40" s="181">
        <v>11.584</v>
      </c>
      <c r="C40" s="181">
        <v>13.086</v>
      </c>
      <c r="D40" s="181">
        <v>21.555</v>
      </c>
      <c r="E40" s="181">
        <v>23.577999999999999</v>
      </c>
      <c r="F40" s="181">
        <v>30.370999999999999</v>
      </c>
      <c r="G40" s="181">
        <v>46.51</v>
      </c>
      <c r="H40" s="181">
        <v>39.930999999999997</v>
      </c>
      <c r="I40" s="181">
        <v>47.738</v>
      </c>
      <c r="J40" s="181">
        <v>75.501000000000005</v>
      </c>
      <c r="K40" s="181">
        <v>71.394000000000005</v>
      </c>
    </row>
    <row r="41" spans="1:11" ht="15" customHeight="1" outlineLevel="1" x14ac:dyDescent="0.2">
      <c r="A41" s="159" t="s">
        <v>506</v>
      </c>
      <c r="B41" s="182">
        <v>-0.74299999999999999</v>
      </c>
      <c r="C41" s="182">
        <v>368.13900000000001</v>
      </c>
      <c r="D41" s="182">
        <v>-0.74399999999999999</v>
      </c>
      <c r="E41" s="182">
        <v>-0.61699999999999999</v>
      </c>
      <c r="F41" s="182">
        <v>199.51300000000001</v>
      </c>
      <c r="G41" s="182">
        <v>-80.540000000000006</v>
      </c>
      <c r="H41" s="182">
        <v>-20.977</v>
      </c>
      <c r="I41" s="182">
        <v>-1.2999999999999999E-2</v>
      </c>
      <c r="J41" s="182">
        <v>-5.7000000000000002E-2</v>
      </c>
      <c r="K41" s="182">
        <v>-459.81099999999998</v>
      </c>
    </row>
    <row r="42" spans="1:11" ht="15" customHeight="1" outlineLevel="2" x14ac:dyDescent="0.2">
      <c r="A42" s="158" t="s">
        <v>535</v>
      </c>
      <c r="B42" s="181">
        <v>0</v>
      </c>
      <c r="C42" s="181">
        <v>0</v>
      </c>
      <c r="D42" s="181">
        <v>0</v>
      </c>
      <c r="E42" s="183">
        <v>-0.28399999999999997</v>
      </c>
      <c r="F42" s="183">
        <v>-2.8000000000000001E-2</v>
      </c>
      <c r="G42" s="181">
        <v>0</v>
      </c>
      <c r="H42" s="181">
        <v>0</v>
      </c>
      <c r="I42" s="181">
        <v>0</v>
      </c>
      <c r="J42" s="181">
        <v>0</v>
      </c>
      <c r="K42" s="183">
        <v>-459.81099999999998</v>
      </c>
    </row>
    <row r="43" spans="1:11" ht="15" customHeight="1" outlineLevel="2" x14ac:dyDescent="0.2">
      <c r="A43" s="168" t="s">
        <v>507</v>
      </c>
      <c r="B43" s="182">
        <v>-0.74299999999999999</v>
      </c>
      <c r="C43" s="182">
        <v>368.13900000000001</v>
      </c>
      <c r="D43" s="182">
        <v>-0.74399999999999999</v>
      </c>
      <c r="E43" s="182">
        <v>-0.33300000000000002</v>
      </c>
      <c r="F43" s="182">
        <v>199.541</v>
      </c>
      <c r="G43" s="182">
        <v>-80.540000000000006</v>
      </c>
      <c r="H43" s="182">
        <v>-20.977</v>
      </c>
      <c r="I43" s="182">
        <v>-1.2999999999999999E-2</v>
      </c>
      <c r="J43" s="182">
        <v>-5.7000000000000002E-2</v>
      </c>
      <c r="K43" s="182">
        <v>0</v>
      </c>
    </row>
    <row r="44" spans="1:11" ht="15" customHeight="1" outlineLevel="3" x14ac:dyDescent="0.2">
      <c r="A44" s="163" t="s">
        <v>508</v>
      </c>
      <c r="B44" s="181">
        <v>0</v>
      </c>
      <c r="C44" s="181">
        <v>448.113</v>
      </c>
      <c r="D44" s="181">
        <v>0</v>
      </c>
      <c r="E44" s="181">
        <v>0</v>
      </c>
      <c r="F44" s="181">
        <v>813.67700000000002</v>
      </c>
      <c r="G44" s="181">
        <v>8.9849999999999994</v>
      </c>
      <c r="H44" s="181">
        <v>60.482999999999997</v>
      </c>
      <c r="I44" s="181">
        <v>0</v>
      </c>
      <c r="J44" s="181">
        <v>0</v>
      </c>
      <c r="K44" s="181">
        <v>0</v>
      </c>
    </row>
    <row r="45" spans="1:11" ht="15" customHeight="1" outlineLevel="3" x14ac:dyDescent="0.2">
      <c r="A45" s="162" t="s">
        <v>509</v>
      </c>
      <c r="B45" s="184">
        <v>-0.74299999999999999</v>
      </c>
      <c r="C45" s="184">
        <v>-79.974000000000004</v>
      </c>
      <c r="D45" s="184">
        <v>-0.74399999999999999</v>
      </c>
      <c r="E45" s="184">
        <v>-0.33300000000000002</v>
      </c>
      <c r="F45" s="184">
        <v>-614.13599999999997</v>
      </c>
      <c r="G45" s="184">
        <v>-89.525000000000006</v>
      </c>
      <c r="H45" s="184">
        <v>-81.459999999999994</v>
      </c>
      <c r="I45" s="184">
        <v>-1.2999999999999999E-2</v>
      </c>
      <c r="J45" s="184">
        <v>-5.7000000000000002E-2</v>
      </c>
      <c r="K45" s="180">
        <v>0</v>
      </c>
    </row>
    <row r="46" spans="1:11" ht="15" customHeight="1" outlineLevel="1" x14ac:dyDescent="0.2">
      <c r="A46" s="155" t="s">
        <v>485</v>
      </c>
      <c r="B46" s="179">
        <v>-2.3679999999999999</v>
      </c>
      <c r="C46" s="179">
        <v>-4.4189999999999996</v>
      </c>
      <c r="D46" s="179">
        <v>-8.0329999999999995</v>
      </c>
      <c r="E46" s="179">
        <v>-6.2469999999999999</v>
      </c>
      <c r="F46" s="179">
        <v>-7.4240000000000004</v>
      </c>
      <c r="G46" s="179">
        <v>-17.439</v>
      </c>
      <c r="H46" s="179">
        <v>-11.526</v>
      </c>
      <c r="I46" s="179">
        <v>-10.714</v>
      </c>
      <c r="J46" s="179">
        <v>-21.949000000000002</v>
      </c>
      <c r="K46" s="179">
        <v>-21.573</v>
      </c>
    </row>
    <row r="47" spans="1:11" ht="15" customHeight="1" outlineLevel="2" x14ac:dyDescent="0.2">
      <c r="A47" s="157" t="s">
        <v>510</v>
      </c>
      <c r="B47" s="184">
        <v>-2.3679999999999999</v>
      </c>
      <c r="C47" s="184">
        <v>-4.4189999999999996</v>
      </c>
      <c r="D47" s="184">
        <v>-8.0329999999999995</v>
      </c>
      <c r="E47" s="184">
        <v>-6.2469999999999999</v>
      </c>
      <c r="F47" s="184">
        <v>-7.4240000000000004</v>
      </c>
      <c r="G47" s="184">
        <v>-17.439</v>
      </c>
      <c r="H47" s="184">
        <v>-11.526</v>
      </c>
      <c r="I47" s="184">
        <v>-10.714</v>
      </c>
      <c r="J47" s="184">
        <v>-21.949000000000002</v>
      </c>
      <c r="K47" s="184">
        <v>-21.573</v>
      </c>
    </row>
    <row r="48" spans="1:11" ht="15" customHeight="1" outlineLevel="1" x14ac:dyDescent="0.2">
      <c r="A48" s="171" t="s">
        <v>511</v>
      </c>
      <c r="B48" s="181">
        <v>8.4730000000000008</v>
      </c>
      <c r="C48" s="181">
        <v>376.80599999999998</v>
      </c>
      <c r="D48" s="181">
        <v>12.778</v>
      </c>
      <c r="E48" s="181">
        <v>359.34199999999998</v>
      </c>
      <c r="F48" s="181">
        <v>222.46</v>
      </c>
      <c r="G48" s="183">
        <v>-51.469000000000001</v>
      </c>
      <c r="H48" s="181">
        <v>7.4279999999999999</v>
      </c>
      <c r="I48" s="181">
        <v>37.011000000000003</v>
      </c>
      <c r="J48" s="181">
        <v>53.494999999999997</v>
      </c>
      <c r="K48" s="183">
        <v>-910.00900000000001</v>
      </c>
    </row>
    <row r="49" spans="1:11" ht="15" customHeight="1" x14ac:dyDescent="0.2">
      <c r="A49" s="154" t="s">
        <v>512</v>
      </c>
      <c r="B49" s="154"/>
      <c r="C49" s="154"/>
      <c r="D49" s="154"/>
      <c r="E49" s="154"/>
      <c r="F49" s="154"/>
      <c r="G49" s="154"/>
      <c r="H49" s="154"/>
      <c r="I49" s="154"/>
      <c r="J49" s="154"/>
      <c r="K49" s="154"/>
    </row>
    <row r="50" spans="1:11" ht="15" customHeight="1" outlineLevel="1" x14ac:dyDescent="0.2">
      <c r="A50" s="171" t="s">
        <v>513</v>
      </c>
      <c r="B50" s="164">
        <v>-0.76</v>
      </c>
      <c r="C50" s="129">
        <v>2.7549999999999999</v>
      </c>
      <c r="D50" s="164">
        <v>-2.069</v>
      </c>
      <c r="E50" s="164">
        <v>-0.72</v>
      </c>
      <c r="F50" s="129">
        <v>6.8310000000000004</v>
      </c>
      <c r="G50" s="164">
        <v>-8.8610000000000007</v>
      </c>
      <c r="H50" s="164">
        <v>-6.8109999999999999</v>
      </c>
      <c r="I50" s="129">
        <v>4.649</v>
      </c>
      <c r="J50" s="164">
        <v>-11.553000000000001</v>
      </c>
      <c r="K50" s="129">
        <v>25.744</v>
      </c>
    </row>
    <row r="51" spans="1:11" ht="15" customHeight="1" outlineLevel="1" x14ac:dyDescent="0.2">
      <c r="A51" s="167" t="s">
        <v>514</v>
      </c>
      <c r="B51" s="126">
        <v>4.1219999999999999</v>
      </c>
      <c r="C51" s="126">
        <v>27.978000000000002</v>
      </c>
      <c r="D51" s="126">
        <v>24.33</v>
      </c>
      <c r="E51" s="126">
        <v>161.40100000000001</v>
      </c>
      <c r="F51" s="126">
        <v>102.637</v>
      </c>
      <c r="G51" s="170">
        <v>-1.1100000000000001</v>
      </c>
      <c r="H51" s="170">
        <v>-45.866999999999997</v>
      </c>
      <c r="I51" s="126">
        <v>57.865000000000002</v>
      </c>
      <c r="J51" s="126">
        <v>124.68</v>
      </c>
      <c r="K51" s="126">
        <v>368.22500000000002</v>
      </c>
    </row>
    <row r="52" spans="1:11" ht="15" customHeight="1" outlineLevel="1" x14ac:dyDescent="0.2">
      <c r="A52" s="155" t="s">
        <v>10</v>
      </c>
      <c r="B52" s="156">
        <v>3.577</v>
      </c>
      <c r="C52" s="156">
        <v>29.338000000000001</v>
      </c>
      <c r="D52" s="156">
        <v>62.545999999999999</v>
      </c>
      <c r="E52" s="156">
        <v>78.600999999999999</v>
      </c>
      <c r="F52" s="156">
        <v>51.639000000000003</v>
      </c>
      <c r="G52" s="156">
        <v>210.00200000000001</v>
      </c>
      <c r="H52" s="156">
        <v>235.74799999999999</v>
      </c>
      <c r="I52" s="156">
        <v>317.25299999999999</v>
      </c>
      <c r="J52" s="156">
        <v>560.66</v>
      </c>
      <c r="K52" s="156">
        <v>707.55200000000002</v>
      </c>
    </row>
    <row r="53" spans="1:11" ht="15" customHeight="1" outlineLevel="2" x14ac:dyDescent="0.2">
      <c r="A53" s="157" t="s">
        <v>515</v>
      </c>
      <c r="B53" s="126">
        <v>0.101628</v>
      </c>
      <c r="C53" s="126">
        <v>0.79664400000000002</v>
      </c>
      <c r="D53" s="126">
        <v>1.6233489999999999</v>
      </c>
      <c r="E53" s="126">
        <v>1.870339</v>
      </c>
      <c r="F53" s="126">
        <v>1.153764</v>
      </c>
      <c r="G53" s="126">
        <v>4.4785139999999997</v>
      </c>
      <c r="H53" s="126">
        <v>4.9047749999999999</v>
      </c>
      <c r="I53" s="126">
        <v>6.3607069999999997</v>
      </c>
      <c r="J53" s="126">
        <v>10.819584000000001</v>
      </c>
      <c r="K53" s="126">
        <v>13.301349999999999</v>
      </c>
    </row>
    <row r="54" spans="1:11" ht="15" customHeight="1" outlineLevel="2" x14ac:dyDescent="0.2">
      <c r="A54" s="158" t="s">
        <v>516</v>
      </c>
      <c r="B54" s="129">
        <v>0.21623000000000001</v>
      </c>
      <c r="C54" s="129">
        <v>0.90118100000000001</v>
      </c>
      <c r="D54" s="129">
        <v>1.291139</v>
      </c>
      <c r="E54" s="129">
        <v>1.1800250000000001</v>
      </c>
      <c r="F54" s="129">
        <v>0.29103099999999998</v>
      </c>
      <c r="G54" s="129">
        <v>0.67943799999999999</v>
      </c>
      <c r="H54" s="129">
        <v>1.696391</v>
      </c>
      <c r="I54" s="129">
        <v>1.0956539999999999</v>
      </c>
      <c r="J54" s="129">
        <v>1.5528200000000001</v>
      </c>
      <c r="K54" s="129">
        <v>3.314565</v>
      </c>
    </row>
    <row r="55" spans="1:11" ht="15" customHeight="1" x14ac:dyDescent="0.2">
      <c r="A55" s="172" t="s">
        <v>479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C1A696CE129A48B3BE545F2698E7ED" ma:contentTypeVersion="5" ma:contentTypeDescription="Create a new document." ma:contentTypeScope="" ma:versionID="36dec795f63f20907bed0132f581339a">
  <xsd:schema xmlns:xsd="http://www.w3.org/2001/XMLSchema" xmlns:xs="http://www.w3.org/2001/XMLSchema" xmlns:p="http://schemas.microsoft.com/office/2006/metadata/properties" xmlns:ns3="b0de73ab-7c53-42b5-95f5-ddf624abde93" targetNamespace="http://schemas.microsoft.com/office/2006/metadata/properties" ma:root="true" ma:fieldsID="b6c5c924ae9481e4b5612b4a17f691bb" ns3:_="">
    <xsd:import namespace="b0de73ab-7c53-42b5-95f5-ddf624abde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e73ab-7c53-42b5-95f5-ddf624abde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de73ab-7c53-42b5-95f5-ddf624abde9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6705A6-F5EA-4706-A2B6-5D2A3B8EA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de73ab-7c53-42b5-95f5-ddf624abde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5CE172-B94D-4CAA-950F-025EACAC4EEE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b0de73ab-7c53-42b5-95f5-ddf624abde93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83CC5E9-B63B-47B9-A79B-7D47030C41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Assumptions</vt:lpstr>
      <vt:lpstr>DCF Summary</vt:lpstr>
      <vt:lpstr>Combined Financials</vt:lpstr>
      <vt:lpstr>Trading Comps</vt:lpstr>
      <vt:lpstr>Transaction Comps</vt:lpstr>
      <vt:lpstr>CRM Projection</vt:lpstr>
      <vt:lpstr>HUBS Projection</vt:lpstr>
      <vt:lpstr>Beta</vt:lpstr>
      <vt:lpstr>Raw Comps</vt:lpstr>
      <vt:lpstr>CRM-US-BS</vt:lpstr>
      <vt:lpstr>CRM-US-IS</vt:lpstr>
      <vt:lpstr>CRM-US-CF</vt:lpstr>
      <vt:lpstr>HUBS-US-BS</vt:lpstr>
      <vt:lpstr>HUBS-US-IS</vt:lpstr>
      <vt:lpstr>HUBS-US-CF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dc:description/>
  <cp:lastModifiedBy>Levan Kvinikadze</cp:lastModifiedBy>
  <cp:revision>0</cp:revision>
  <dcterms:created xsi:type="dcterms:W3CDTF">2026-03-23T01:10:07Z</dcterms:created>
  <dcterms:modified xsi:type="dcterms:W3CDTF">2026-05-23T04:56:35Z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0x010100B9C1A696CE129A48B3BE545F2698E7ED</vt:lpwstr>
  </property>
</Properties>
</file>