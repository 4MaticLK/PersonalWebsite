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levan\OneDrive\Desktop\Important School Files\"/>
    </mc:Choice>
  </mc:AlternateContent>
  <xr:revisionPtr revIDLastSave="0" documentId="13_ncr:2001_{5287AD2D-DC6E-4530-8AA9-CC1706E80592}" xr6:coauthVersionLast="47" xr6:coauthVersionMax="47" xr10:uidLastSave="{00000000-0000-0000-0000-000000000000}"/>
  <bookViews>
    <workbookView xWindow="-120" yWindow="-120" windowWidth="38640" windowHeight="21120" tabRatio="877" activeTab="1" xr2:uid="{00000000-000D-0000-FFFF-FFFF00000000}"/>
  </bookViews>
  <sheets>
    <sheet name="NOC&amp;MCD" sheetId="4" r:id="rId1"/>
    <sheet name="SPY&amp;BETA" sheetId="8" r:id="rId2"/>
    <sheet name="10-year_Bond" sheetId="11" r:id="rId3"/>
    <sheet name="ReadyToUse" sheetId="13" r:id="rId4"/>
  </sheets>
  <definedNames>
    <definedName name="_xlnm._FilterDatabase" localSheetId="2" hidden="1">'10-year_Bond'!$A$13:$B$13</definedName>
    <definedName name="solver_adj" localSheetId="0" hidden="1">'NOC&amp;MCD'!$K$65:$K$67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'NOC&amp;MCD'!$K$65:$K$67</definedName>
    <definedName name="solver_lhs2" localSheetId="0" hidden="1">'NOC&amp;MCD'!$K$68</definedName>
    <definedName name="solver_lhs3" localSheetId="0" hidden="1">'NOC&amp;MCD'!$M$70</definedName>
    <definedName name="solver_lhs4" localSheetId="0" hidden="1">'NOC&amp;MCD'!$W$10</definedName>
    <definedName name="solver_lhs5" localSheetId="0" hidden="1">'NOC&amp;MCD'!$W$10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'NOC&amp;MCD'!$P$65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el3" localSheetId="0" hidden="1">2</definedName>
    <definedName name="solver_rel4" localSheetId="0" hidden="1">2</definedName>
    <definedName name="solver_rel5" localSheetId="0" hidden="1">2</definedName>
    <definedName name="solver_rhs1" localSheetId="0" hidden="1">0</definedName>
    <definedName name="solver_rhs2" localSheetId="0" hidden="1">100%</definedName>
    <definedName name="solver_rhs3" localSheetId="0" hidden="1">'NOC&amp;MCD'!#REF!</definedName>
    <definedName name="solver_rhs4" localSheetId="0" hidden="1">0.7%</definedName>
    <definedName name="solver_rhs5" localSheetId="0" hidden="1">0.7%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8" l="1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4" i="8"/>
  <c r="B3" i="4"/>
  <c r="U16" i="4"/>
  <c r="W9" i="4"/>
  <c r="W10" i="4" s="1"/>
  <c r="O46" i="4"/>
  <c r="N46" i="4"/>
  <c r="M46" i="4"/>
  <c r="G4" i="13" l="1"/>
  <c r="U25" i="4"/>
  <c r="W11" i="4"/>
  <c r="W12" i="4" s="1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4" i="8"/>
  <c r="P46" i="4" l="1"/>
  <c r="N45" i="8"/>
  <c r="N52" i="8"/>
  <c r="M45" i="4"/>
  <c r="U9" i="4" s="1"/>
  <c r="P45" i="4"/>
  <c r="O45" i="4"/>
  <c r="N45" i="4"/>
  <c r="V9" i="4" l="1"/>
  <c r="U10" i="4"/>
  <c r="V26" i="4"/>
  <c r="V29" i="4"/>
  <c r="V30" i="4"/>
  <c r="V31" i="4"/>
  <c r="V28" i="4"/>
  <c r="V35" i="4"/>
  <c r="V36" i="4"/>
  <c r="V25" i="4"/>
  <c r="V32" i="4"/>
  <c r="V33" i="4"/>
  <c r="V34" i="4"/>
  <c r="V27" i="4"/>
  <c r="U30" i="4"/>
  <c r="U26" i="4"/>
  <c r="U34" i="4"/>
  <c r="U35" i="4"/>
  <c r="U31" i="4"/>
  <c r="U33" i="4"/>
  <c r="U36" i="4"/>
  <c r="U29" i="4"/>
  <c r="U32" i="4"/>
  <c r="U27" i="4"/>
  <c r="U28" i="4"/>
  <c r="V10" i="4" l="1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E84" i="4"/>
  <c r="F84" i="4"/>
  <c r="E85" i="4"/>
  <c r="F85" i="4"/>
  <c r="E86" i="4"/>
  <c r="F86" i="4"/>
  <c r="E87" i="4"/>
  <c r="F87" i="4"/>
  <c r="E88" i="4"/>
  <c r="F88" i="4"/>
  <c r="E89" i="4"/>
  <c r="F89" i="4"/>
  <c r="E90" i="4"/>
  <c r="F90" i="4"/>
  <c r="E91" i="4"/>
  <c r="F91" i="4"/>
  <c r="E92" i="4"/>
  <c r="F92" i="4"/>
  <c r="E93" i="4"/>
  <c r="F93" i="4"/>
  <c r="E94" i="4"/>
  <c r="F94" i="4"/>
  <c r="E95" i="4"/>
  <c r="F95" i="4"/>
  <c r="E96" i="4"/>
  <c r="F96" i="4"/>
  <c r="E97" i="4"/>
  <c r="F97" i="4"/>
  <c r="E98" i="4"/>
  <c r="F98" i="4"/>
  <c r="E99" i="4"/>
  <c r="F99" i="4"/>
  <c r="E100" i="4"/>
  <c r="F100" i="4"/>
  <c r="E101" i="4"/>
  <c r="F101" i="4"/>
  <c r="E102" i="4"/>
  <c r="F102" i="4"/>
  <c r="E103" i="4"/>
  <c r="F103" i="4"/>
  <c r="E104" i="4"/>
  <c r="F104" i="4"/>
  <c r="E105" i="4"/>
  <c r="F105" i="4"/>
  <c r="E106" i="4"/>
  <c r="F106" i="4"/>
  <c r="E107" i="4"/>
  <c r="F107" i="4"/>
  <c r="E108" i="4"/>
  <c r="F108" i="4"/>
  <c r="E109" i="4"/>
  <c r="F109" i="4"/>
  <c r="E110" i="4"/>
  <c r="F110" i="4"/>
  <c r="E111" i="4"/>
  <c r="F111" i="4"/>
  <c r="E112" i="4"/>
  <c r="F112" i="4"/>
  <c r="E113" i="4"/>
  <c r="F113" i="4"/>
  <c r="E114" i="4"/>
  <c r="F114" i="4"/>
  <c r="E115" i="4"/>
  <c r="F115" i="4"/>
  <c r="E116" i="4"/>
  <c r="F116" i="4"/>
  <c r="E117" i="4"/>
  <c r="F117" i="4"/>
  <c r="E118" i="4"/>
  <c r="F118" i="4"/>
  <c r="E119" i="4"/>
  <c r="F119" i="4"/>
  <c r="E120" i="4"/>
  <c r="F120" i="4"/>
  <c r="E121" i="4"/>
  <c r="F121" i="4"/>
  <c r="E122" i="4"/>
  <c r="F122" i="4"/>
  <c r="E123" i="4"/>
  <c r="F123" i="4"/>
  <c r="E124" i="4"/>
  <c r="F124" i="4"/>
  <c r="E125" i="4"/>
  <c r="F125" i="4"/>
  <c r="E126" i="4"/>
  <c r="F126" i="4"/>
  <c r="E127" i="4"/>
  <c r="F127" i="4"/>
  <c r="E83" i="4"/>
  <c r="F83" i="4"/>
  <c r="F78" i="8"/>
  <c r="F77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4" i="8"/>
  <c r="F4" i="13" l="1"/>
  <c r="L52" i="8"/>
  <c r="L45" i="8"/>
  <c r="L50" i="8"/>
  <c r="L43" i="8"/>
  <c r="F82" i="4"/>
  <c r="E82" i="4"/>
  <c r="F81" i="4"/>
  <c r="E81" i="4"/>
  <c r="F80" i="4"/>
  <c r="E80" i="4"/>
  <c r="F79" i="4"/>
  <c r="E79" i="4"/>
  <c r="F78" i="4"/>
  <c r="E78" i="4"/>
  <c r="F77" i="4"/>
  <c r="E77" i="4"/>
  <c r="F76" i="4"/>
  <c r="E76" i="4"/>
  <c r="F75" i="4"/>
  <c r="E75" i="4"/>
  <c r="F74" i="4"/>
  <c r="E74" i="4"/>
  <c r="F73" i="4"/>
  <c r="E73" i="4"/>
  <c r="F72" i="4"/>
  <c r="E72" i="4"/>
  <c r="F71" i="4"/>
  <c r="E71" i="4"/>
  <c r="F70" i="4"/>
  <c r="E70" i="4"/>
  <c r="F69" i="4"/>
  <c r="E69" i="4"/>
  <c r="F68" i="4"/>
  <c r="E68" i="4"/>
  <c r="F67" i="4"/>
  <c r="E67" i="4"/>
  <c r="F66" i="4"/>
  <c r="E66" i="4"/>
  <c r="F65" i="4"/>
  <c r="E65" i="4"/>
  <c r="F64" i="4"/>
  <c r="E64" i="4"/>
  <c r="F63" i="4"/>
  <c r="E63" i="4"/>
  <c r="F62" i="4"/>
  <c r="E62" i="4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B5" i="4"/>
  <c r="G127" i="4" s="1"/>
  <c r="L51" i="8" l="1"/>
  <c r="M52" i="8"/>
  <c r="M44" i="8"/>
  <c r="L44" i="8"/>
  <c r="N44" i="8"/>
  <c r="M45" i="8"/>
  <c r="M51" i="8"/>
  <c r="N51" i="8"/>
  <c r="M43" i="8"/>
  <c r="M50" i="8"/>
  <c r="K11" i="4"/>
  <c r="G18" i="4"/>
  <c r="G30" i="4"/>
  <c r="G42" i="4"/>
  <c r="G54" i="4"/>
  <c r="G66" i="4"/>
  <c r="G78" i="4"/>
  <c r="G90" i="4"/>
  <c r="G102" i="4"/>
  <c r="G114" i="4"/>
  <c r="G126" i="4"/>
  <c r="G86" i="4"/>
  <c r="G87" i="4"/>
  <c r="G28" i="4"/>
  <c r="G76" i="4"/>
  <c r="G112" i="4"/>
  <c r="G29" i="4"/>
  <c r="G77" i="4"/>
  <c r="G125" i="4"/>
  <c r="G19" i="4"/>
  <c r="G31" i="4"/>
  <c r="G43" i="4"/>
  <c r="G55" i="4"/>
  <c r="G67" i="4"/>
  <c r="G79" i="4"/>
  <c r="G91" i="4"/>
  <c r="G103" i="4"/>
  <c r="G115" i="4"/>
  <c r="G9" i="4"/>
  <c r="G97" i="4"/>
  <c r="G26" i="4"/>
  <c r="G62" i="4"/>
  <c r="G98" i="4"/>
  <c r="G39" i="4"/>
  <c r="G123" i="4"/>
  <c r="G100" i="4"/>
  <c r="G124" i="4"/>
  <c r="G41" i="4"/>
  <c r="G65" i="4"/>
  <c r="G20" i="4"/>
  <c r="G32" i="4"/>
  <c r="G44" i="4"/>
  <c r="G56" i="4"/>
  <c r="G68" i="4"/>
  <c r="G80" i="4"/>
  <c r="G92" i="4"/>
  <c r="G104" i="4"/>
  <c r="G116" i="4"/>
  <c r="G120" i="4"/>
  <c r="G25" i="4"/>
  <c r="G61" i="4"/>
  <c r="G14" i="4"/>
  <c r="G50" i="4"/>
  <c r="G88" i="4"/>
  <c r="G53" i="4"/>
  <c r="G21" i="4"/>
  <c r="G33" i="4"/>
  <c r="G45" i="4"/>
  <c r="G57" i="4"/>
  <c r="G69" i="4"/>
  <c r="G81" i="4"/>
  <c r="G93" i="4"/>
  <c r="G105" i="4"/>
  <c r="G117" i="4"/>
  <c r="G24" i="4"/>
  <c r="G96" i="4"/>
  <c r="G13" i="4"/>
  <c r="G37" i="4"/>
  <c r="G85" i="4"/>
  <c r="G27" i="4"/>
  <c r="G10" i="4"/>
  <c r="G22" i="4"/>
  <c r="G34" i="4"/>
  <c r="G46" i="4"/>
  <c r="G58" i="4"/>
  <c r="G70" i="4"/>
  <c r="G82" i="4"/>
  <c r="G94" i="4"/>
  <c r="G106" i="4"/>
  <c r="G118" i="4"/>
  <c r="G36" i="4"/>
  <c r="G48" i="4"/>
  <c r="G72" i="4"/>
  <c r="G108" i="4"/>
  <c r="G49" i="4"/>
  <c r="G109" i="4"/>
  <c r="G74" i="4"/>
  <c r="G15" i="4"/>
  <c r="G63" i="4"/>
  <c r="G99" i="4"/>
  <c r="G52" i="4"/>
  <c r="G11" i="4"/>
  <c r="G23" i="4"/>
  <c r="G35" i="4"/>
  <c r="G47" i="4"/>
  <c r="G59" i="4"/>
  <c r="G71" i="4"/>
  <c r="G83" i="4"/>
  <c r="G95" i="4"/>
  <c r="G107" i="4"/>
  <c r="G119" i="4"/>
  <c r="G12" i="4"/>
  <c r="G60" i="4"/>
  <c r="G84" i="4"/>
  <c r="G73" i="4"/>
  <c r="G121" i="4"/>
  <c r="G38" i="4"/>
  <c r="G110" i="4"/>
  <c r="G122" i="4"/>
  <c r="G51" i="4"/>
  <c r="G75" i="4"/>
  <c r="G111" i="4"/>
  <c r="G16" i="4"/>
  <c r="G64" i="4"/>
  <c r="G17" i="4"/>
  <c r="G89" i="4"/>
  <c r="G113" i="4"/>
  <c r="G40" i="4"/>
  <c r="G101" i="4"/>
  <c r="L6" i="8"/>
  <c r="L5" i="8"/>
  <c r="L4" i="8"/>
  <c r="D4" i="13"/>
  <c r="K10" i="4"/>
  <c r="Q10" i="4" s="1"/>
  <c r="K9" i="4"/>
  <c r="Q9" i="4" s="1"/>
  <c r="J10" i="4"/>
  <c r="P10" i="4" s="1"/>
  <c r="J8" i="4"/>
  <c r="P8" i="4" s="1"/>
  <c r="U11" i="4" s="1"/>
  <c r="U12" i="4" s="1"/>
  <c r="K8" i="4"/>
  <c r="Q8" i="4" s="1"/>
  <c r="V11" i="4" s="1"/>
  <c r="V12" i="4" s="1"/>
  <c r="J9" i="4"/>
  <c r="P9" i="4" s="1"/>
  <c r="B4" i="13" l="1"/>
  <c r="U13" i="4"/>
  <c r="J15" i="4"/>
  <c r="J16" i="4" s="1"/>
  <c r="L8" i="4"/>
  <c r="R8" i="4" s="1"/>
  <c r="L9" i="4"/>
  <c r="R9" i="4" s="1"/>
  <c r="L10" i="4"/>
  <c r="R10" i="4" s="1"/>
  <c r="J18" i="4"/>
  <c r="J20" i="4" s="1"/>
  <c r="J14" i="4"/>
  <c r="O23" i="4" l="1"/>
  <c r="J17" i="4"/>
  <c r="J21" i="4"/>
  <c r="N23" i="4" s="1"/>
  <c r="P23" i="4" l="1"/>
  <c r="N43" i="8" l="1"/>
  <c r="N50" i="8"/>
  <c r="M4" i="8"/>
  <c r="M5" i="8"/>
  <c r="M6" i="8"/>
  <c r="C4" i="13" l="1"/>
  <c r="U14" i="4"/>
  <c r="U15" i="4" s="1"/>
  <c r="E4" i="13"/>
</calcChain>
</file>

<file path=xl/sharedStrings.xml><?xml version="1.0" encoding="utf-8"?>
<sst xmlns="http://schemas.openxmlformats.org/spreadsheetml/2006/main" count="135" uniqueCount="78">
  <si>
    <t>Date</t>
  </si>
  <si>
    <t>KO Return</t>
  </si>
  <si>
    <t>KO</t>
  </si>
  <si>
    <t>MCD Price</t>
  </si>
  <si>
    <t>MCD Return</t>
  </si>
  <si>
    <t>MCD</t>
  </si>
  <si>
    <t>Mean Return</t>
  </si>
  <si>
    <t>Variance</t>
  </si>
  <si>
    <t>Standard deviation</t>
  </si>
  <si>
    <t>Covariance</t>
  </si>
  <si>
    <t>Proportion of of MCD</t>
  </si>
  <si>
    <t>Portfolio Return</t>
  </si>
  <si>
    <t>Portfolio mean return</t>
  </si>
  <si>
    <t>Monthly</t>
  </si>
  <si>
    <t>Annual</t>
  </si>
  <si>
    <t>Portfolio return variance</t>
  </si>
  <si>
    <t>Std dev P</t>
  </si>
  <si>
    <t>Exp Ret P</t>
  </si>
  <si>
    <t>Portfolio return STD</t>
  </si>
  <si>
    <t xml:space="preserve">NOC and MCD </t>
  </si>
  <si>
    <t>NOC Price</t>
  </si>
  <si>
    <t>NOC Return</t>
  </si>
  <si>
    <t>NOC</t>
  </si>
  <si>
    <t>% of NOC</t>
  </si>
  <si>
    <t>LMT</t>
  </si>
  <si>
    <t>LMT Return</t>
  </si>
  <si>
    <t>Proportion of NOC</t>
  </si>
  <si>
    <t>Price History: SPY-US</t>
  </si>
  <si>
    <t>Beta</t>
  </si>
  <si>
    <t>Intercept</t>
  </si>
  <si>
    <t>R-squared</t>
  </si>
  <si>
    <t>Data Updated: 2025-04-07</t>
  </si>
  <si>
    <t>Market Yield on U.S. Treasury Securities at 10-Year Constant Maturity, Quoted on an Investment Basis, Percent, Monthly, Not Seasonally Adjusted</t>
  </si>
  <si>
    <t>DGS10</t>
  </si>
  <si>
    <t>File Created: 2025-04-07 5:57 pm CDT</t>
  </si>
  <si>
    <t>This data may be copyrighted. Please refer to the Terms of Use: https://fred.stlouisfed.org/legal#fred-terms-faq</t>
  </si>
  <si>
    <t>Help: https://fredhelp.stlouisfed.org</t>
  </si>
  <si>
    <t>Link: https://fred.stlouisfed.org</t>
  </si>
  <si>
    <t>Federal Reserve Economic Data, Federal Reserve Bank of St. Louis</t>
  </si>
  <si>
    <t>FRED Graph Observations</t>
  </si>
  <si>
    <t>observation_date</t>
  </si>
  <si>
    <t>Montley Returns</t>
  </si>
  <si>
    <t>Link</t>
  </si>
  <si>
    <t>https://fred.stlouisfed.org/series/DGS10#</t>
  </si>
  <si>
    <t>Risk Free Rate</t>
  </si>
  <si>
    <t>Market Excess Return</t>
  </si>
  <si>
    <t>2 Stock Portfolio Return</t>
  </si>
  <si>
    <t>Sharp Ratio</t>
  </si>
  <si>
    <t>Portfolio</t>
  </si>
  <si>
    <t>SPY Return</t>
  </si>
  <si>
    <t>SPY Price</t>
  </si>
  <si>
    <t>Correl.Matrix</t>
  </si>
  <si>
    <t>Covar.Matrix</t>
  </si>
  <si>
    <t>KR</t>
  </si>
  <si>
    <t>Capital Allocation Line</t>
  </si>
  <si>
    <t>Weight</t>
  </si>
  <si>
    <t>Return</t>
  </si>
  <si>
    <t>St Dev</t>
  </si>
  <si>
    <t>Optimal Portfolio -----&gt;</t>
  </si>
  <si>
    <t>MarketWatch</t>
  </si>
  <si>
    <t>Yearly Porfolio Statistics</t>
  </si>
  <si>
    <t>RTX</t>
  </si>
  <si>
    <t>Yahoo (5Y Montley)</t>
  </si>
  <si>
    <t>Factset (5Y Raw)</t>
  </si>
  <si>
    <t>Min Variance Port--&gt;</t>
  </si>
  <si>
    <t>Bonds</t>
  </si>
  <si>
    <t>Asset Montley Returns</t>
  </si>
  <si>
    <t>Asset Yearly Returns</t>
  </si>
  <si>
    <t>Analysis (10Y)</t>
  </si>
  <si>
    <t>Final Look of the Portfolio</t>
  </si>
  <si>
    <t>Money to Invest</t>
  </si>
  <si>
    <t>Capital Allocation</t>
  </si>
  <si>
    <t>Annual Return %</t>
  </si>
  <si>
    <t>Annual Return $</t>
  </si>
  <si>
    <t>Stock</t>
  </si>
  <si>
    <t>Portfolio Beta</t>
  </si>
  <si>
    <t>Treynor ratio</t>
  </si>
  <si>
    <t>VaR (90%)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</si>
</sst>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"/>
    <numFmt numFmtId="165" formatCode="0.0000"/>
    <numFmt numFmtId="166" formatCode="yyyy\-mm\-dd"/>
    <numFmt numFmtId="167" formatCode="0.0000000"/>
    <numFmt numFmtId="168" formatCode="0.00000"/>
    <numFmt numFmtId="169" formatCode="_(* #,##0.000_);_(* \(#,##0.000\);_(* &quot;-&quot;??_);_(@_)"/>
    <numFmt numFmtId="170" formatCode="&quot;$&quot;#,##0.00"/>
  </numFmts>
  <fonts count="9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Arial"/>
      <family val="2"/>
    </font>
    <font>
      <sz val="10"/>
      <name val="Verdana"/>
      <family val="2"/>
    </font>
    <font>
      <sz val="1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7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left"/>
    </xf>
    <xf numFmtId="4" fontId="0" fillId="3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10" fontId="0" fillId="0" borderId="0" xfId="1" applyNumberFormat="1" applyFont="1"/>
    <xf numFmtId="10" fontId="0" fillId="0" borderId="0" xfId="0" applyNumberFormat="1"/>
    <xf numFmtId="0" fontId="2" fillId="2" borderId="0" xfId="0" applyFont="1" applyFill="1" applyAlignment="1">
      <alignment horizontal="center"/>
    </xf>
    <xf numFmtId="10" fontId="5" fillId="0" borderId="0" xfId="1" applyNumberFormat="1" applyFont="1"/>
    <xf numFmtId="0" fontId="6" fillId="0" borderId="0" xfId="0" applyFont="1"/>
    <xf numFmtId="165" fontId="0" fillId="0" borderId="0" xfId="0" applyNumberFormat="1"/>
    <xf numFmtId="164" fontId="0" fillId="0" borderId="0" xfId="0" applyNumberFormat="1" applyAlignment="1">
      <alignment horizontal="left"/>
    </xf>
    <xf numFmtId="164" fontId="0" fillId="3" borderId="0" xfId="0" applyNumberFormat="1" applyFill="1" applyAlignment="1">
      <alignment horizontal="left"/>
    </xf>
    <xf numFmtId="9" fontId="0" fillId="0" borderId="0" xfId="0" applyNumberFormat="1"/>
    <xf numFmtId="0" fontId="0" fillId="0" borderId="0" xfId="2" applyNumberFormat="1" applyFont="1"/>
    <xf numFmtId="2" fontId="0" fillId="0" borderId="0" xfId="2" applyNumberFormat="1" applyFont="1"/>
    <xf numFmtId="0" fontId="1" fillId="0" borderId="0" xfId="3"/>
    <xf numFmtId="2" fontId="1" fillId="0" borderId="0" xfId="3" applyNumberFormat="1"/>
    <xf numFmtId="166" fontId="1" fillId="0" borderId="0" xfId="3" applyNumberFormat="1"/>
    <xf numFmtId="0" fontId="4" fillId="0" borderId="1" xfId="3" applyFont="1" applyBorder="1" applyAlignment="1">
      <alignment horizontal="center" vertical="top"/>
    </xf>
    <xf numFmtId="10" fontId="1" fillId="0" borderId="0" xfId="1" applyNumberFormat="1" applyFont="1"/>
    <xf numFmtId="43" fontId="0" fillId="0" borderId="0" xfId="2" applyFont="1"/>
    <xf numFmtId="43" fontId="0" fillId="4" borderId="0" xfId="2" applyFont="1" applyFill="1"/>
    <xf numFmtId="167" fontId="0" fillId="0" borderId="0" xfId="0" applyNumberFormat="1"/>
    <xf numFmtId="168" fontId="0" fillId="0" borderId="0" xfId="0" applyNumberFormat="1"/>
    <xf numFmtId="168" fontId="0" fillId="5" borderId="0" xfId="0" applyNumberFormat="1" applyFill="1"/>
    <xf numFmtId="168" fontId="0" fillId="4" borderId="0" xfId="0" applyNumberFormat="1" applyFill="1"/>
    <xf numFmtId="2" fontId="0" fillId="0" borderId="0" xfId="0" applyNumberFormat="1"/>
    <xf numFmtId="10" fontId="0" fillId="0" borderId="3" xfId="1" applyNumberFormat="1" applyFont="1" applyBorder="1"/>
    <xf numFmtId="10" fontId="0" fillId="0" borderId="4" xfId="1" applyNumberFormat="1" applyFont="1" applyBorder="1"/>
    <xf numFmtId="0" fontId="0" fillId="4" borderId="0" xfId="0" applyFill="1"/>
    <xf numFmtId="167" fontId="0" fillId="4" borderId="0" xfId="0" applyNumberFormat="1" applyFill="1"/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0" fontId="0" fillId="0" borderId="1" xfId="0" applyNumberFormat="1" applyBorder="1"/>
    <xf numFmtId="10" fontId="0" fillId="0" borderId="1" xfId="0" applyNumberFormat="1" applyBorder="1"/>
    <xf numFmtId="0" fontId="2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0" borderId="1" xfId="0" applyBorder="1"/>
    <xf numFmtId="169" fontId="0" fillId="0" borderId="1" xfId="2" applyNumberFormat="1" applyFont="1" applyBorder="1"/>
    <xf numFmtId="9" fontId="0" fillId="0" borderId="1" xfId="0" applyNumberFormat="1" applyBorder="1"/>
    <xf numFmtId="10" fontId="0" fillId="0" borderId="1" xfId="1" applyNumberFormat="1" applyFont="1" applyBorder="1"/>
    <xf numFmtId="9" fontId="0" fillId="5" borderId="1" xfId="0" applyNumberFormat="1" applyFill="1" applyBorder="1"/>
    <xf numFmtId="10" fontId="0" fillId="5" borderId="1" xfId="1" applyNumberFormat="1" applyFont="1" applyFill="1" applyBorder="1"/>
    <xf numFmtId="169" fontId="0" fillId="5" borderId="1" xfId="2" applyNumberFormat="1" applyFont="1" applyFill="1" applyBorder="1"/>
    <xf numFmtId="10" fontId="0" fillId="6" borderId="1" xfId="1" applyNumberFormat="1" applyFont="1" applyFill="1" applyBorder="1"/>
    <xf numFmtId="169" fontId="0" fillId="6" borderId="1" xfId="2" applyNumberFormat="1" applyFont="1" applyFill="1" applyBorder="1"/>
    <xf numFmtId="0" fontId="0" fillId="6" borderId="0" xfId="0" applyFill="1" applyAlignment="1">
      <alignment horizontal="center"/>
    </xf>
    <xf numFmtId="10" fontId="5" fillId="7" borderId="0" xfId="1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10" fontId="0" fillId="9" borderId="1" xfId="1" applyNumberFormat="1" applyFont="1" applyFill="1" applyBorder="1" applyAlignment="1">
      <alignment horizontal="center"/>
    </xf>
    <xf numFmtId="2" fontId="0" fillId="9" borderId="1" xfId="2" applyNumberFormat="1" applyFont="1" applyFill="1" applyBorder="1" applyAlignment="1">
      <alignment horizontal="center" vertical="center"/>
    </xf>
    <xf numFmtId="2" fontId="0" fillId="9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3" applyBorder="1" applyAlignment="1">
      <alignment horizontal="center"/>
    </xf>
  </cellXfs>
  <cellStyles count="7">
    <cellStyle name="Comma" xfId="2" builtinId="3"/>
    <cellStyle name="Currency 2" xfId="5" xr:uid="{9FD6AA00-34F3-4782-ABCE-161B5C3A0DA2}"/>
    <cellStyle name="Normal" xfId="0" builtinId="0"/>
    <cellStyle name="Normal 2" xfId="3" xr:uid="{D935B40B-2A05-4FF5-8DFA-DA46F662D5C9}"/>
    <cellStyle name="Normal 3" xfId="4" xr:uid="{A7C207A0-6905-4DFE-94A5-A3D7CFACBAC3}"/>
    <cellStyle name="Percent" xfId="1" builtinId="5"/>
    <cellStyle name="Percent 2" xfId="6" xr:uid="{C108D48B-B1A1-450D-8297-0566961A7C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 Stock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'NOC&amp;MCD'!$N$24:$N$44</c:f>
              <c:numCache>
                <c:formatCode>0.00%</c:formatCode>
                <c:ptCount val="21"/>
                <c:pt idx="0">
                  <c:v>0.17107731876815929</c:v>
                </c:pt>
                <c:pt idx="1">
                  <c:v>0.16694741420059811</c:v>
                </c:pt>
                <c:pt idx="2">
                  <c:v>0.16341386741582395</c:v>
                </c:pt>
                <c:pt idx="3">
                  <c:v>0.1605160673063406</c:v>
                </c:pt>
                <c:pt idx="4">
                  <c:v>0.1582889336225296</c:v>
                </c:pt>
                <c:pt idx="5">
                  <c:v>0.15676105382201352</c:v>
                </c:pt>
                <c:pt idx="6">
                  <c:v>0.15595298114363068</c:v>
                </c:pt>
                <c:pt idx="7">
                  <c:v>0.15587591059541486</c:v>
                </c:pt>
                <c:pt idx="8">
                  <c:v>0.15653092194349533</c:v>
                </c:pt>
                <c:pt idx="9">
                  <c:v>0.15790890535108607</c:v>
                </c:pt>
                <c:pt idx="10">
                  <c:v>0.15999118131335427</c:v>
                </c:pt>
                <c:pt idx="11">
                  <c:v>0.1627507193565475</c:v>
                </c:pt>
                <c:pt idx="12">
                  <c:v>0.16615377831476341</c:v>
                </c:pt>
                <c:pt idx="13">
                  <c:v>0.17016175331030214</c:v>
                </c:pt>
                <c:pt idx="14">
                  <c:v>0.17473302313863701</c:v>
                </c:pt>
                <c:pt idx="15">
                  <c:v>0.17982463486648737</c:v>
                </c:pt>
                <c:pt idx="16">
                  <c:v>0.18539372178887367</c:v>
                </c:pt>
                <c:pt idx="17">
                  <c:v>0.19139860944312487</c:v>
                </c:pt>
                <c:pt idx="18">
                  <c:v>0.19779961111933494</c:v>
                </c:pt>
                <c:pt idx="19">
                  <c:v>0.20455954503597518</c:v>
                </c:pt>
                <c:pt idx="20">
                  <c:v>0.2116440209782855</c:v>
                </c:pt>
              </c:numCache>
            </c:numRef>
          </c:xVal>
          <c:yVal>
            <c:numRef>
              <c:f>'NOC&amp;MCD'!$O$24:$O$44</c:f>
              <c:numCache>
                <c:formatCode>0.00%</c:formatCode>
                <c:ptCount val="21"/>
                <c:pt idx="0">
                  <c:v>0.14187353972425654</c:v>
                </c:pt>
                <c:pt idx="1">
                  <c:v>0.14247663952728229</c:v>
                </c:pt>
                <c:pt idx="2">
                  <c:v>0.14308003131002933</c:v>
                </c:pt>
                <c:pt idx="3">
                  <c:v>0.14368371520099887</c:v>
                </c:pt>
                <c:pt idx="4">
                  <c:v>0.14428769132874053</c:v>
                </c:pt>
                <c:pt idx="5">
                  <c:v>0.14489195982185743</c:v>
                </c:pt>
                <c:pt idx="6">
                  <c:v>0.14549652080900133</c:v>
                </c:pt>
                <c:pt idx="7">
                  <c:v>0.14610137441887705</c:v>
                </c:pt>
                <c:pt idx="8">
                  <c:v>0.1467065207802416</c:v>
                </c:pt>
                <c:pt idx="9">
                  <c:v>0.14731196002189906</c:v>
                </c:pt>
                <c:pt idx="10">
                  <c:v>0.14791769227270235</c:v>
                </c:pt>
                <c:pt idx="11">
                  <c:v>0.14852371766156747</c:v>
                </c:pt>
                <c:pt idx="12">
                  <c:v>0.14913003631744948</c:v>
                </c:pt>
                <c:pt idx="13">
                  <c:v>0.14973664836935963</c:v>
                </c:pt>
                <c:pt idx="14">
                  <c:v>0.15034355394635868</c:v>
                </c:pt>
                <c:pt idx="15">
                  <c:v>0.15095075317755824</c:v>
                </c:pt>
                <c:pt idx="16">
                  <c:v>0.15155824619212255</c:v>
                </c:pt>
                <c:pt idx="17">
                  <c:v>0.15216603311926535</c:v>
                </c:pt>
                <c:pt idx="18">
                  <c:v>0.15277411408825303</c:v>
                </c:pt>
                <c:pt idx="19">
                  <c:v>0.15338248922839903</c:v>
                </c:pt>
                <c:pt idx="20">
                  <c:v>0.1539911586690772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FC-4DA1-AA51-8D9715BD7A5D}"/>
            </c:ext>
          </c:extLst>
        </c:ser>
        <c:ser>
          <c:idx val="1"/>
          <c:order val="1"/>
          <c:tx>
            <c:v>SML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'NOC&amp;MCD'!$V$25:$V$36</c:f>
              <c:numCache>
                <c:formatCode>0.00%</c:formatCode>
                <c:ptCount val="12"/>
                <c:pt idx="0">
                  <c:v>0</c:v>
                </c:pt>
                <c:pt idx="1">
                  <c:v>1.5653092194349533E-2</c:v>
                </c:pt>
                <c:pt idx="2">
                  <c:v>3.1306184388699067E-2</c:v>
                </c:pt>
                <c:pt idx="3">
                  <c:v>4.6959276583048597E-2</c:v>
                </c:pt>
                <c:pt idx="4">
                  <c:v>6.2612368777398134E-2</c:v>
                </c:pt>
                <c:pt idx="5">
                  <c:v>7.8265460971747663E-2</c:v>
                </c:pt>
                <c:pt idx="6">
                  <c:v>9.3918553166097193E-2</c:v>
                </c:pt>
                <c:pt idx="7">
                  <c:v>0.10957164536044672</c:v>
                </c:pt>
                <c:pt idx="8">
                  <c:v>0.12522473755479627</c:v>
                </c:pt>
                <c:pt idx="9">
                  <c:v>0.14087782974914581</c:v>
                </c:pt>
                <c:pt idx="10">
                  <c:v>0.15653092194349533</c:v>
                </c:pt>
                <c:pt idx="11">
                  <c:v>0.31306184388699065</c:v>
                </c:pt>
              </c:numCache>
            </c:numRef>
          </c:xVal>
          <c:yVal>
            <c:numRef>
              <c:f>'NOC&amp;MCD'!$U$25:$U$36</c:f>
              <c:numCache>
                <c:formatCode>0.00%</c:formatCode>
                <c:ptCount val="12"/>
                <c:pt idx="0">
                  <c:v>4.2300000000000004E-2</c:v>
                </c:pt>
                <c:pt idx="1">
                  <c:v>5.2740652078024169E-2</c:v>
                </c:pt>
                <c:pt idx="2">
                  <c:v>6.3181304156048321E-2</c:v>
                </c:pt>
                <c:pt idx="3">
                  <c:v>7.3621956234072486E-2</c:v>
                </c:pt>
                <c:pt idx="4">
                  <c:v>8.4062608312096651E-2</c:v>
                </c:pt>
                <c:pt idx="5">
                  <c:v>9.4503260390120802E-2</c:v>
                </c:pt>
                <c:pt idx="6">
                  <c:v>0.10494391246814497</c:v>
                </c:pt>
                <c:pt idx="7">
                  <c:v>0.11538456454616912</c:v>
                </c:pt>
                <c:pt idx="8">
                  <c:v>0.1258252166241933</c:v>
                </c:pt>
                <c:pt idx="9">
                  <c:v>0.13626586870221746</c:v>
                </c:pt>
                <c:pt idx="10">
                  <c:v>0.1467065207802416</c:v>
                </c:pt>
                <c:pt idx="11">
                  <c:v>0.2511130415604832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0FC-4DA1-AA51-8D9715BD7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100464"/>
        <c:axId val="666100944"/>
      </c:scatterChart>
      <c:valAx>
        <c:axId val="666100464"/>
        <c:scaling>
          <c:orientation val="minMax"/>
          <c:max val="0.21500000000000002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100944"/>
        <c:crosses val="autoZero"/>
        <c:crossBetween val="midCat"/>
      </c:valAx>
      <c:valAx>
        <c:axId val="666100944"/>
        <c:scaling>
          <c:orientation val="minMax"/>
          <c:max val="0.15500000000000003"/>
          <c:min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10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SPY vs MCD</a:t>
            </a:r>
            <a:r>
              <a:rPr lang="en-US" sz="1400" b="1" baseline="0"/>
              <a:t> - Last 10 Years - Monthly Returns</a:t>
            </a:r>
          </a:p>
          <a:p>
            <a:pPr>
              <a:defRPr/>
            </a:pPr>
            <a:r>
              <a:rPr lang="en-US" sz="1400" b="1" baseline="0"/>
              <a:t>source:  Factset 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'SPY&amp;BETA'!$F$3</c:f>
              <c:strCache>
                <c:ptCount val="1"/>
                <c:pt idx="0">
                  <c:v>SPY 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'SPY&amp;BETA'!$F$4:$F$122</c:f>
              <c:numCache>
                <c:formatCode>0.00%</c:formatCode>
                <c:ptCount val="119"/>
                <c:pt idx="0">
                  <c:v>-5.8551280756673041E-2</c:v>
                </c:pt>
                <c:pt idx="1">
                  <c:v>-1.2694825695390821E-2</c:v>
                </c:pt>
                <c:pt idx="2">
                  <c:v>2.6856401856401924E-2</c:v>
                </c:pt>
                <c:pt idx="3">
                  <c:v>-2.7333831217326243E-2</c:v>
                </c:pt>
                <c:pt idx="4">
                  <c:v>5.9633511536297146E-2</c:v>
                </c:pt>
                <c:pt idx="5">
                  <c:v>-8.9235917456776948E-3</c:v>
                </c:pt>
                <c:pt idx="6">
                  <c:v>1.7882486517172946E-2</c:v>
                </c:pt>
                <c:pt idx="7">
                  <c:v>2.3365588860042585E-2</c:v>
                </c:pt>
                <c:pt idx="8">
                  <c:v>1.2109073536437309E-2</c:v>
                </c:pt>
                <c:pt idx="9">
                  <c:v>3.1951002142708296E-2</c:v>
                </c:pt>
                <c:pt idx="10">
                  <c:v>5.0579704370691925E-2</c:v>
                </c:pt>
                <c:pt idx="11">
                  <c:v>-4.0319651289502434E-2</c:v>
                </c:pt>
                <c:pt idx="12">
                  <c:v>2.9503227838135748E-2</c:v>
                </c:pt>
                <c:pt idx="13">
                  <c:v>5.2186878727634278E-2</c:v>
                </c:pt>
                <c:pt idx="14">
                  <c:v>1.592644800235643E-2</c:v>
                </c:pt>
                <c:pt idx="15">
                  <c:v>4.1432953549517926E-2</c:v>
                </c:pt>
                <c:pt idx="16">
                  <c:v>9.1343854615016706E-2</c:v>
                </c:pt>
                <c:pt idx="17">
                  <c:v>-2.1708617947038489E-2</c:v>
                </c:pt>
                <c:pt idx="18">
                  <c:v>-5.0782724547574154E-2</c:v>
                </c:pt>
                <c:pt idx="19">
                  <c:v>-1.6251993272024312E-2</c:v>
                </c:pt>
                <c:pt idx="20">
                  <c:v>3.2733261144197945E-2</c:v>
                </c:pt>
                <c:pt idx="21">
                  <c:v>6.0859159985640732E-2</c:v>
                </c:pt>
                <c:pt idx="22">
                  <c:v>4.6161613733080031E-3</c:v>
                </c:pt>
                <c:pt idx="23">
                  <c:v>1.5974987176042399E-2</c:v>
                </c:pt>
                <c:pt idx="24">
                  <c:v>3.3134810477968957E-2</c:v>
                </c:pt>
                <c:pt idx="25">
                  <c:v>-2.514268844715617E-2</c:v>
                </c:pt>
                <c:pt idx="26">
                  <c:v>6.2887325785111026E-2</c:v>
                </c:pt>
                <c:pt idx="27">
                  <c:v>-6.1935832025117765E-2</c:v>
                </c:pt>
                <c:pt idx="28">
                  <c:v>5.5591517568162496E-2</c:v>
                </c:pt>
                <c:pt idx="29">
                  <c:v>8.1275547343076182E-2</c:v>
                </c:pt>
                <c:pt idx="30">
                  <c:v>-9.6158712485449716E-2</c:v>
                </c:pt>
                <c:pt idx="31">
                  <c:v>-4.0801961212650784E-2</c:v>
                </c:pt>
                <c:pt idx="32">
                  <c:v>9.2087475149105424E-2</c:v>
                </c:pt>
                <c:pt idx="33">
                  <c:v>-8.6406897052769271E-2</c:v>
                </c:pt>
                <c:pt idx="34">
                  <c:v>2.257281553398105E-3</c:v>
                </c:pt>
                <c:pt idx="35">
                  <c:v>-8.776901957311134E-2</c:v>
                </c:pt>
                <c:pt idx="36">
                  <c:v>3.4376932414172057E-2</c:v>
                </c:pt>
                <c:pt idx="37">
                  <c:v>-2.9517014514014006E-2</c:v>
                </c:pt>
                <c:pt idx="38">
                  <c:v>-5.2741283476503198E-2</c:v>
                </c:pt>
                <c:pt idx="39">
                  <c:v>4.2584950390727849E-2</c:v>
                </c:pt>
                <c:pt idx="40">
                  <c:v>-8.0348394120849376E-3</c:v>
                </c:pt>
                <c:pt idx="41">
                  <c:v>7.016358297991343E-2</c:v>
                </c:pt>
                <c:pt idx="42">
                  <c:v>-4.9650101869076146E-2</c:v>
                </c:pt>
                <c:pt idx="43">
                  <c:v>2.9759868646097143E-2</c:v>
                </c:pt>
                <c:pt idx="44">
                  <c:v>2.4412465542213768E-2</c:v>
                </c:pt>
                <c:pt idx="45">
                  <c:v>1.9093419674316658E-2</c:v>
                </c:pt>
                <c:pt idx="46">
                  <c:v>6.5660196501318158E-3</c:v>
                </c:pt>
                <c:pt idx="47">
                  <c:v>5.2910453410037084E-2</c:v>
                </c:pt>
                <c:pt idx="48">
                  <c:v>4.1986539068251005E-2</c:v>
                </c:pt>
                <c:pt idx="49">
                  <c:v>2.7805550301294391E-2</c:v>
                </c:pt>
                <c:pt idx="50">
                  <c:v>-1.0190435433829026E-2</c:v>
                </c:pt>
                <c:pt idx="51">
                  <c:v>3.2646522675799483E-2</c:v>
                </c:pt>
                <c:pt idx="52">
                  <c:v>0.10877687266491076</c:v>
                </c:pt>
                <c:pt idx="53">
                  <c:v>-2.4933560273522559E-2</c:v>
                </c:pt>
                <c:pt idx="54">
                  <c:v>-4.1281383298502838E-2</c:v>
                </c:pt>
                <c:pt idx="55">
                  <c:v>6.9796643390910296E-2</c:v>
                </c:pt>
                <c:pt idx="56">
                  <c:v>5.8892203917498831E-2</c:v>
                </c:pt>
                <c:pt idx="57">
                  <c:v>1.3275499474237673E-2</c:v>
                </c:pt>
                <c:pt idx="58">
                  <c:v>4.7645276783255142E-2</c:v>
                </c:pt>
                <c:pt idx="59">
                  <c:v>0.12698351115421924</c:v>
                </c:pt>
                <c:pt idx="60">
                  <c:v>-0.129987173428745</c:v>
                </c:pt>
                <c:pt idx="61">
                  <c:v>-7.9165760109408567E-2</c:v>
                </c:pt>
                <c:pt idx="62">
                  <c:v>-4.0390231777787111E-4</c:v>
                </c:pt>
                <c:pt idx="63">
                  <c:v>2.4020871114504905E-2</c:v>
                </c:pt>
                <c:pt idx="64">
                  <c:v>3.619819998021967E-2</c:v>
                </c:pt>
                <c:pt idx="65">
                  <c:v>2.2104660174546042E-2</c:v>
                </c:pt>
                <c:pt idx="66">
                  <c:v>1.4771755855701896E-2</c:v>
                </c:pt>
                <c:pt idx="67">
                  <c:v>-1.6743435430185305E-2</c:v>
                </c:pt>
                <c:pt idx="68">
                  <c:v>1.511945392491465E-2</c:v>
                </c:pt>
                <c:pt idx="69">
                  <c:v>6.4409488865477593E-2</c:v>
                </c:pt>
                <c:pt idx="70">
                  <c:v>-6.3771172029113643E-2</c:v>
                </c:pt>
                <c:pt idx="71">
                  <c:v>4.0852449730954365E-2</c:v>
                </c:pt>
                <c:pt idx="72">
                  <c:v>1.3635711209990076E-2</c:v>
                </c:pt>
                <c:pt idx="73">
                  <c:v>3.241581150668682E-2</c:v>
                </c:pt>
                <c:pt idx="74">
                  <c:v>8.0065620998719611E-2</c:v>
                </c:pt>
                <c:pt idx="75">
                  <c:v>-9.3343007436967107E-2</c:v>
                </c:pt>
                <c:pt idx="76">
                  <c:v>1.8549310867235658E-2</c:v>
                </c:pt>
                <c:pt idx="77">
                  <c:v>-6.9104292790313826E-2</c:v>
                </c:pt>
                <c:pt idx="78">
                  <c:v>1.4122834211705015E-3</c:v>
                </c:pt>
                <c:pt idx="79">
                  <c:v>3.1919809476415706E-2</c:v>
                </c:pt>
                <c:pt idx="80">
                  <c:v>3.7046593925095905E-2</c:v>
                </c:pt>
                <c:pt idx="81">
                  <c:v>1.2548903816342882E-3</c:v>
                </c:pt>
                <c:pt idx="82">
                  <c:v>2.4309099844996407E-2</c:v>
                </c:pt>
                <c:pt idx="83">
                  <c:v>5.1681550446514013E-3</c:v>
                </c:pt>
                <c:pt idx="84">
                  <c:v>-3.1290263206331659E-2</c:v>
                </c:pt>
                <c:pt idx="85">
                  <c:v>-3.6360411493437383E-2</c:v>
                </c:pt>
                <c:pt idx="86">
                  <c:v>5.6359139623772592E-2</c:v>
                </c:pt>
                <c:pt idx="87">
                  <c:v>6.9808686464662983E-3</c:v>
                </c:pt>
                <c:pt idx="88">
                  <c:v>3.0565817616177382E-2</c:v>
                </c:pt>
                <c:pt idx="89">
                  <c:v>2.356406480117812E-2</c:v>
                </c:pt>
                <c:pt idx="90">
                  <c:v>1.5111721685724611E-2</c:v>
                </c:pt>
                <c:pt idx="91">
                  <c:v>2.9176966405966009E-3</c:v>
                </c:pt>
                <c:pt idx="92">
                  <c:v>2.0554177005789986E-2</c:v>
                </c:pt>
                <c:pt idx="93">
                  <c:v>1.4910536779324524E-3</c:v>
                </c:pt>
                <c:pt idx="94">
                  <c:v>1.4112903225806495E-2</c:v>
                </c:pt>
                <c:pt idx="95">
                  <c:v>9.9261898701958895E-3</c:v>
                </c:pt>
                <c:pt idx="96">
                  <c:v>-3.0870723559013324E-3</c:v>
                </c:pt>
                <c:pt idx="97">
                  <c:v>3.9291521997099288E-2</c:v>
                </c:pt>
                <c:pt idx="98">
                  <c:v>1.7894689750816539E-2</c:v>
                </c:pt>
                <c:pt idx="99">
                  <c:v>1.4293493057446316E-2</c:v>
                </c:pt>
                <c:pt idx="100">
                  <c:v>3.683839096683128E-2</c:v>
                </c:pt>
                <c:pt idx="101">
                  <c:v>-1.7337031900138689E-2</c:v>
                </c:pt>
                <c:pt idx="102">
                  <c:v>-4.9682583494341515E-3</c:v>
                </c:pt>
                <c:pt idx="103">
                  <c:v>1.1974944731023562E-3</c:v>
                </c:pt>
                <c:pt idx="104">
                  <c:v>3.6496001909535725E-2</c:v>
                </c:pt>
                <c:pt idx="105">
                  <c:v>-1.7394205108655081E-3</c:v>
                </c:pt>
                <c:pt idx="106">
                  <c:v>1.7007640158425152E-2</c:v>
                </c:pt>
                <c:pt idx="107">
                  <c:v>3.9451148306735018E-3</c:v>
                </c:pt>
                <c:pt idx="108">
                  <c:v>6.1789625955775973E-2</c:v>
                </c:pt>
                <c:pt idx="109">
                  <c:v>-8.3006058203349831E-4</c:v>
                </c:pt>
                <c:pt idx="110">
                  <c:v>-4.9782704664737332E-2</c:v>
                </c:pt>
                <c:pt idx="111">
                  <c:v>-2.3096458862427505E-2</c:v>
                </c:pt>
                <c:pt idx="112">
                  <c:v>3.655076227576437E-3</c:v>
                </c:pt>
                <c:pt idx="113">
                  <c:v>8.5059750560976921E-2</c:v>
                </c:pt>
                <c:pt idx="114">
                  <c:v>-3.0555977133606471E-2</c:v>
                </c:pt>
                <c:pt idx="115">
                  <c:v>-6.0950118764845684E-2</c:v>
                </c:pt>
                <c:pt idx="116">
                  <c:v>2.2589264027204292E-2</c:v>
                </c:pt>
                <c:pt idx="117">
                  <c:v>-2.5054466230936767E-2</c:v>
                </c:pt>
                <c:pt idx="118">
                  <c:v>1.2856183440468127E-2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B4-415E-BA06-81D88197A0AF}"/>
            </c:ext>
          </c:extLst>
        </c:ser>
        <c:ser>
          <c:idx val="1"/>
          <c:order val="1"/>
          <c:tx>
            <c:strRef>
              <c:f>'SPY&amp;BETA'!$H$3</c:f>
              <c:strCache>
                <c:ptCount val="1"/>
                <c:pt idx="0">
                  <c:v>MCD Return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'SPY&amp;BETA'!$H$4:$H$122</c:f>
              <c:numCache>
                <c:formatCode>0.00%</c:formatCode>
                <c:ptCount val="119"/>
                <c:pt idx="0">
                  <c:v>1.310284435507425E-2</c:v>
                </c:pt>
                <c:pt idx="1">
                  <c:v>6.7994457914790418E-2</c:v>
                </c:pt>
                <c:pt idx="2">
                  <c:v>-4.1050053468556502E-3</c:v>
                </c:pt>
                <c:pt idx="3">
                  <c:v>-2.0674977196716293E-2</c:v>
                </c:pt>
                <c:pt idx="4">
                  <c:v>1.3351134846461887E-2</c:v>
                </c:pt>
                <c:pt idx="5">
                  <c:v>-4.0721158582640915E-2</c:v>
                </c:pt>
                <c:pt idx="6">
                  <c:v>5.4908889350793189E-2</c:v>
                </c:pt>
                <c:pt idx="7">
                  <c:v>8.7641296156744763E-2</c:v>
                </c:pt>
                <c:pt idx="8">
                  <c:v>4.143776487207651E-2</c:v>
                </c:pt>
                <c:pt idx="9">
                  <c:v>-1.5643709683649365E-2</c:v>
                </c:pt>
                <c:pt idx="10">
                  <c:v>-5.1823908584822886E-2</c:v>
                </c:pt>
                <c:pt idx="11">
                  <c:v>-3.160134775669432E-2</c:v>
                </c:pt>
                <c:pt idx="12">
                  <c:v>-3.5342821951553249E-2</c:v>
                </c:pt>
                <c:pt idx="13">
                  <c:v>-1.5031429352283521E-3</c:v>
                </c:pt>
                <c:pt idx="14">
                  <c:v>-1.2782030960169832E-2</c:v>
                </c:pt>
                <c:pt idx="15">
                  <c:v>5.2050808969628326E-2</c:v>
                </c:pt>
                <c:pt idx="16">
                  <c:v>7.5027653812411721E-2</c:v>
                </c:pt>
                <c:pt idx="17">
                  <c:v>-4.8208320680229733E-3</c:v>
                </c:pt>
                <c:pt idx="18">
                  <c:v>-6.2991285790503171E-2</c:v>
                </c:pt>
                <c:pt idx="19">
                  <c:v>-4.1098226466575793E-2</c:v>
                </c:pt>
                <c:pt idx="20">
                  <c:v>-1.7459200428940225E-2</c:v>
                </c:pt>
                <c:pt idx="21">
                  <c:v>4.6648661919960865E-2</c:v>
                </c:pt>
                <c:pt idx="22">
                  <c:v>-3.5976331360946689E-2</c:v>
                </c:pt>
                <c:pt idx="23">
                  <c:v>5.7723257394227678E-2</c:v>
                </c:pt>
                <c:pt idx="24">
                  <c:v>5.9489977643893743E-2</c:v>
                </c:pt>
                <c:pt idx="25">
                  <c:v>-1.3051608077785937E-2</c:v>
                </c:pt>
                <c:pt idx="26">
                  <c:v>1.4685235077600334E-2</c:v>
                </c:pt>
                <c:pt idx="27">
                  <c:v>-3.3945525862385195E-2</c:v>
                </c:pt>
                <c:pt idx="28">
                  <c:v>4.7678427345410057E-4</c:v>
                </c:pt>
                <c:pt idx="29">
                  <c:v>0.18167634567045154</c:v>
                </c:pt>
                <c:pt idx="30">
                  <c:v>-8.538132234025686E-2</c:v>
                </c:pt>
                <c:pt idx="31">
                  <c:v>-4.2108060902912303E-2</c:v>
                </c:pt>
                <c:pt idx="32">
                  <c:v>6.679358392741408E-2</c:v>
                </c:pt>
                <c:pt idx="33">
                  <c:v>-2.1133182665239336E-2</c:v>
                </c:pt>
                <c:pt idx="34">
                  <c:v>1.2241130197463423E-2</c:v>
                </c:pt>
                <c:pt idx="35">
                  <c:v>7.6027175671302683E-3</c:v>
                </c:pt>
                <c:pt idx="36">
                  <c:v>1.0254524655799235E-2</c:v>
                </c:pt>
                <c:pt idx="37">
                  <c:v>-5.6581229523993026E-2</c:v>
                </c:pt>
                <c:pt idx="38">
                  <c:v>-3.2155780206662432E-2</c:v>
                </c:pt>
                <c:pt idx="39">
                  <c:v>9.5952575633687642E-2</c:v>
                </c:pt>
                <c:pt idx="40">
                  <c:v>-3.8688658114437446E-3</c:v>
                </c:pt>
                <c:pt idx="41">
                  <c:v>1.8414831404752974E-2</c:v>
                </c:pt>
                <c:pt idx="42">
                  <c:v>1.5371009854291184E-2</c:v>
                </c:pt>
                <c:pt idx="43">
                  <c:v>-2.1630752750195659E-2</c:v>
                </c:pt>
                <c:pt idx="44">
                  <c:v>5.0738127191653382E-2</c:v>
                </c:pt>
                <c:pt idx="45">
                  <c:v>-1.2398990978665037E-2</c:v>
                </c:pt>
                <c:pt idx="46">
                  <c:v>-9.2765164351068519E-3</c:v>
                </c:pt>
                <c:pt idx="47">
                  <c:v>5.3270277505130803E-2</c:v>
                </c:pt>
                <c:pt idx="48">
                  <c:v>8.7319297564761866E-2</c:v>
                </c:pt>
                <c:pt idx="49">
                  <c:v>-8.1793687451886532E-3</c:v>
                </c:pt>
                <c:pt idx="50">
                  <c:v>-3.1410196663249179E-2</c:v>
                </c:pt>
                <c:pt idx="51">
                  <c:v>-1.3153053715967533E-2</c:v>
                </c:pt>
                <c:pt idx="52">
                  <c:v>2.0845070422535139E-2</c:v>
                </c:pt>
                <c:pt idx="53">
                  <c:v>-2.9568545264021195E-2</c:v>
                </c:pt>
                <c:pt idx="54">
                  <c:v>2.7959910078681149E-2</c:v>
                </c:pt>
                <c:pt idx="55">
                  <c:v>9.9032324480131884E-2</c:v>
                </c:pt>
                <c:pt idx="56">
                  <c:v>5.3179378760774165E-2</c:v>
                </c:pt>
                <c:pt idx="57">
                  <c:v>-9.9291541434091135E-3</c:v>
                </c:pt>
                <c:pt idx="58">
                  <c:v>-6.6112177436553621E-3</c:v>
                </c:pt>
                <c:pt idx="59">
                  <c:v>0.13432113698215908</c:v>
                </c:pt>
                <c:pt idx="60">
                  <c:v>-0.14842663645259302</c:v>
                </c:pt>
                <c:pt idx="61">
                  <c:v>-9.2536336869654678E-2</c:v>
                </c:pt>
                <c:pt idx="62">
                  <c:v>8.2789332523657722E-2</c:v>
                </c:pt>
                <c:pt idx="63">
                  <c:v>1.6094199917729535E-2</c:v>
                </c:pt>
                <c:pt idx="64">
                  <c:v>-1.1286222674123048E-2</c:v>
                </c:pt>
                <c:pt idx="65">
                  <c:v>-8.3880583112104778E-2</c:v>
                </c:pt>
                <c:pt idx="66">
                  <c:v>-1.4956186631187696E-2</c:v>
                </c:pt>
                <c:pt idx="67">
                  <c:v>3.4405846621108571E-2</c:v>
                </c:pt>
                <c:pt idx="68">
                  <c:v>1.4735625541751007E-2</c:v>
                </c:pt>
                <c:pt idx="69">
                  <c:v>4.73596610682403E-2</c:v>
                </c:pt>
                <c:pt idx="70">
                  <c:v>3.543048033608498E-3</c:v>
                </c:pt>
                <c:pt idx="71">
                  <c:v>4.0389678778304239E-2</c:v>
                </c:pt>
                <c:pt idx="72">
                  <c:v>3.2963446475195779E-2</c:v>
                </c:pt>
                <c:pt idx="73">
                  <c:v>2.8302942163553002E-2</c:v>
                </c:pt>
                <c:pt idx="74">
                  <c:v>6.814214112744299E-3</c:v>
                </c:pt>
                <c:pt idx="75">
                  <c:v>-5.8034056548724178E-2</c:v>
                </c:pt>
                <c:pt idx="76">
                  <c:v>6.5630299604296116E-2</c:v>
                </c:pt>
                <c:pt idx="77">
                  <c:v>5.7445155119851821E-2</c:v>
                </c:pt>
                <c:pt idx="78">
                  <c:v>3.1190285397275419E-2</c:v>
                </c:pt>
                <c:pt idx="79">
                  <c:v>2.9770217087723649E-2</c:v>
                </c:pt>
                <c:pt idx="80">
                  <c:v>5.4247239772799993E-3</c:v>
                </c:pt>
                <c:pt idx="81">
                  <c:v>-2.0748703206049601E-2</c:v>
                </c:pt>
                <c:pt idx="82">
                  <c:v>-4.4374104156712946E-2</c:v>
                </c:pt>
                <c:pt idx="83">
                  <c:v>7.0725156669650957E-2</c:v>
                </c:pt>
                <c:pt idx="84">
                  <c:v>-8.6217826803601794E-3</c:v>
                </c:pt>
                <c:pt idx="85">
                  <c:v>-7.8298469089634115E-2</c:v>
                </c:pt>
                <c:pt idx="86">
                  <c:v>-5.6937020683245354E-3</c:v>
                </c:pt>
                <c:pt idx="87">
                  <c:v>8.7224515903949751E-4</c:v>
                </c:pt>
                <c:pt idx="88">
                  <c:v>3.0315739021029353E-2</c:v>
                </c:pt>
                <c:pt idx="89">
                  <c:v>6.5292315547612834E-2</c:v>
                </c:pt>
                <c:pt idx="90">
                  <c:v>-2.0566356191785928E-2</c:v>
                </c:pt>
                <c:pt idx="91">
                  <c:v>3.1133170039963964E-2</c:v>
                </c:pt>
                <c:pt idx="92">
                  <c:v>1.2927657351788913E-2</c:v>
                </c:pt>
                <c:pt idx="93">
                  <c:v>1.5044071840413675E-2</c:v>
                </c:pt>
                <c:pt idx="94">
                  <c:v>7.8324876724076065E-2</c:v>
                </c:pt>
                <c:pt idx="95">
                  <c:v>7.962348584214185E-2</c:v>
                </c:pt>
                <c:pt idx="96">
                  <c:v>1.5354484919702482E-2</c:v>
                </c:pt>
                <c:pt idx="97">
                  <c:v>4.1445704495390423E-2</c:v>
                </c:pt>
                <c:pt idx="98">
                  <c:v>6.9832402234637492E-3</c:v>
                </c:pt>
                <c:pt idx="99">
                  <c:v>2.0541628238450516E-2</c:v>
                </c:pt>
                <c:pt idx="100">
                  <c:v>5.9518521808652469E-2</c:v>
                </c:pt>
                <c:pt idx="101">
                  <c:v>-2.4185159500693554E-2</c:v>
                </c:pt>
                <c:pt idx="102">
                  <c:v>-2.5938094414663659E-3</c:v>
                </c:pt>
                <c:pt idx="103">
                  <c:v>-1.6914577135571651E-2</c:v>
                </c:pt>
                <c:pt idx="104">
                  <c:v>-2.2353332225361511E-2</c:v>
                </c:pt>
                <c:pt idx="105">
                  <c:v>-1.4091430444043929E-2</c:v>
                </c:pt>
                <c:pt idx="106">
                  <c:v>-3.502253142540912E-2</c:v>
                </c:pt>
                <c:pt idx="107">
                  <c:v>6.4449395289623013E-3</c:v>
                </c:pt>
                <c:pt idx="108">
                  <c:v>7.2446454475638022E-2</c:v>
                </c:pt>
                <c:pt idx="109">
                  <c:v>-5.3239618678300182E-2</c:v>
                </c:pt>
                <c:pt idx="110">
                  <c:v>4.7739969527679005E-2</c:v>
                </c:pt>
                <c:pt idx="111">
                  <c:v>3.48633496846531E-2</c:v>
                </c:pt>
                <c:pt idx="112">
                  <c:v>1.7015590200445407E-2</c:v>
                </c:pt>
                <c:pt idx="113">
                  <c:v>0.1392469298690755</c:v>
                </c:pt>
                <c:pt idx="114">
                  <c:v>3.6939591664912674E-2</c:v>
                </c:pt>
                <c:pt idx="115">
                  <c:v>-4.8467854996995796E-2</c:v>
                </c:pt>
                <c:pt idx="116">
                  <c:v>5.0383927632271064E-2</c:v>
                </c:pt>
                <c:pt idx="117">
                  <c:v>-8.9648702178672934E-3</c:v>
                </c:pt>
                <c:pt idx="118">
                  <c:v>-6.4215432418435192E-3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B4-415E-BA06-81D88197A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070223"/>
        <c:axId val="491072143"/>
      </c:lineChart>
      <c:catAx>
        <c:axId val="491070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72143"/>
        <c:crosses val="autoZero"/>
        <c:auto val="1"/>
        <c:lblAlgn val="ctr"/>
        <c:lblOffset val="100"/>
        <c:noMultiLvlLbl val="0"/>
      </c:catAx>
      <c:valAx>
        <c:axId val="49107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7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SPY vs NOC - Last 10 Years - Monthly Returns</a:t>
            </a:r>
          </a:p>
          <a:p>
            <a:pPr>
              <a:defRPr/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source:  Factset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'SPY&amp;BETA'!$F$3</c:f>
              <c:strCache>
                <c:ptCount val="1"/>
                <c:pt idx="0">
                  <c:v>SPY 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'SPY&amp;BETA'!$F$4:$F$122</c:f>
              <c:numCache>
                <c:formatCode>0.00%</c:formatCode>
                <c:ptCount val="119"/>
                <c:pt idx="0">
                  <c:v>-5.8551280756673041E-2</c:v>
                </c:pt>
                <c:pt idx="1">
                  <c:v>-1.2694825695390821E-2</c:v>
                </c:pt>
                <c:pt idx="2">
                  <c:v>2.6856401856401924E-2</c:v>
                </c:pt>
                <c:pt idx="3">
                  <c:v>-2.7333831217326243E-2</c:v>
                </c:pt>
                <c:pt idx="4">
                  <c:v>5.9633511536297146E-2</c:v>
                </c:pt>
                <c:pt idx="5">
                  <c:v>-8.9235917456776948E-3</c:v>
                </c:pt>
                <c:pt idx="6">
                  <c:v>1.7882486517172946E-2</c:v>
                </c:pt>
                <c:pt idx="7">
                  <c:v>2.3365588860042585E-2</c:v>
                </c:pt>
                <c:pt idx="8">
                  <c:v>1.2109073536437309E-2</c:v>
                </c:pt>
                <c:pt idx="9">
                  <c:v>3.1951002142708296E-2</c:v>
                </c:pt>
                <c:pt idx="10">
                  <c:v>5.0579704370691925E-2</c:v>
                </c:pt>
                <c:pt idx="11">
                  <c:v>-4.0319651289502434E-2</c:v>
                </c:pt>
                <c:pt idx="12">
                  <c:v>2.9503227838135748E-2</c:v>
                </c:pt>
                <c:pt idx="13">
                  <c:v>5.2186878727634278E-2</c:v>
                </c:pt>
                <c:pt idx="14">
                  <c:v>1.592644800235643E-2</c:v>
                </c:pt>
                <c:pt idx="15">
                  <c:v>4.1432953549517926E-2</c:v>
                </c:pt>
                <c:pt idx="16">
                  <c:v>9.1343854615016706E-2</c:v>
                </c:pt>
                <c:pt idx="17">
                  <c:v>-2.1708617947038489E-2</c:v>
                </c:pt>
                <c:pt idx="18">
                  <c:v>-5.0782724547574154E-2</c:v>
                </c:pt>
                <c:pt idx="19">
                  <c:v>-1.6251993272024312E-2</c:v>
                </c:pt>
                <c:pt idx="20">
                  <c:v>3.2733261144197945E-2</c:v>
                </c:pt>
                <c:pt idx="21">
                  <c:v>6.0859159985640732E-2</c:v>
                </c:pt>
                <c:pt idx="22">
                  <c:v>4.6161613733080031E-3</c:v>
                </c:pt>
                <c:pt idx="23">
                  <c:v>1.5974987176042399E-2</c:v>
                </c:pt>
                <c:pt idx="24">
                  <c:v>3.3134810477968957E-2</c:v>
                </c:pt>
                <c:pt idx="25">
                  <c:v>-2.514268844715617E-2</c:v>
                </c:pt>
                <c:pt idx="26">
                  <c:v>6.2887325785111026E-2</c:v>
                </c:pt>
                <c:pt idx="27">
                  <c:v>-6.1935832025117765E-2</c:v>
                </c:pt>
                <c:pt idx="28">
                  <c:v>5.5591517568162496E-2</c:v>
                </c:pt>
                <c:pt idx="29">
                  <c:v>8.1275547343076182E-2</c:v>
                </c:pt>
                <c:pt idx="30">
                  <c:v>-9.6158712485449716E-2</c:v>
                </c:pt>
                <c:pt idx="31">
                  <c:v>-4.0801961212650784E-2</c:v>
                </c:pt>
                <c:pt idx="32">
                  <c:v>9.2087475149105424E-2</c:v>
                </c:pt>
                <c:pt idx="33">
                  <c:v>-8.6406897052769271E-2</c:v>
                </c:pt>
                <c:pt idx="34">
                  <c:v>2.257281553398105E-3</c:v>
                </c:pt>
                <c:pt idx="35">
                  <c:v>-8.776901957311134E-2</c:v>
                </c:pt>
                <c:pt idx="36">
                  <c:v>3.4376932414172057E-2</c:v>
                </c:pt>
                <c:pt idx="37">
                  <c:v>-2.9517014514014006E-2</c:v>
                </c:pt>
                <c:pt idx="38">
                  <c:v>-5.2741283476503198E-2</c:v>
                </c:pt>
                <c:pt idx="39">
                  <c:v>4.2584950390727849E-2</c:v>
                </c:pt>
                <c:pt idx="40">
                  <c:v>-8.0348394120849376E-3</c:v>
                </c:pt>
                <c:pt idx="41">
                  <c:v>7.016358297991343E-2</c:v>
                </c:pt>
                <c:pt idx="42">
                  <c:v>-4.9650101869076146E-2</c:v>
                </c:pt>
                <c:pt idx="43">
                  <c:v>2.9759868646097143E-2</c:v>
                </c:pt>
                <c:pt idx="44">
                  <c:v>2.4412465542213768E-2</c:v>
                </c:pt>
                <c:pt idx="45">
                  <c:v>1.9093419674316658E-2</c:v>
                </c:pt>
                <c:pt idx="46">
                  <c:v>6.5660196501318158E-3</c:v>
                </c:pt>
                <c:pt idx="47">
                  <c:v>5.2910453410037084E-2</c:v>
                </c:pt>
                <c:pt idx="48">
                  <c:v>4.1986539068251005E-2</c:v>
                </c:pt>
                <c:pt idx="49">
                  <c:v>2.7805550301294391E-2</c:v>
                </c:pt>
                <c:pt idx="50">
                  <c:v>-1.0190435433829026E-2</c:v>
                </c:pt>
                <c:pt idx="51">
                  <c:v>3.2646522675799483E-2</c:v>
                </c:pt>
                <c:pt idx="52">
                  <c:v>0.10877687266491076</c:v>
                </c:pt>
                <c:pt idx="53">
                  <c:v>-2.4933560273522559E-2</c:v>
                </c:pt>
                <c:pt idx="54">
                  <c:v>-4.1281383298502838E-2</c:v>
                </c:pt>
                <c:pt idx="55">
                  <c:v>6.9796643390910296E-2</c:v>
                </c:pt>
                <c:pt idx="56">
                  <c:v>5.8892203917498831E-2</c:v>
                </c:pt>
                <c:pt idx="57">
                  <c:v>1.3275499474237673E-2</c:v>
                </c:pt>
                <c:pt idx="58">
                  <c:v>4.7645276783255142E-2</c:v>
                </c:pt>
                <c:pt idx="59">
                  <c:v>0.12698351115421924</c:v>
                </c:pt>
                <c:pt idx="60">
                  <c:v>-0.129987173428745</c:v>
                </c:pt>
                <c:pt idx="61">
                  <c:v>-7.9165760109408567E-2</c:v>
                </c:pt>
                <c:pt idx="62">
                  <c:v>-4.0390231777787111E-4</c:v>
                </c:pt>
                <c:pt idx="63">
                  <c:v>2.4020871114504905E-2</c:v>
                </c:pt>
                <c:pt idx="64">
                  <c:v>3.619819998021967E-2</c:v>
                </c:pt>
                <c:pt idx="65">
                  <c:v>2.2104660174546042E-2</c:v>
                </c:pt>
                <c:pt idx="66">
                  <c:v>1.4771755855701896E-2</c:v>
                </c:pt>
                <c:pt idx="67">
                  <c:v>-1.6743435430185305E-2</c:v>
                </c:pt>
                <c:pt idx="68">
                  <c:v>1.511945392491465E-2</c:v>
                </c:pt>
                <c:pt idx="69">
                  <c:v>6.4409488865477593E-2</c:v>
                </c:pt>
                <c:pt idx="70">
                  <c:v>-6.3771172029113643E-2</c:v>
                </c:pt>
                <c:pt idx="71">
                  <c:v>4.0852449730954365E-2</c:v>
                </c:pt>
                <c:pt idx="72">
                  <c:v>1.3635711209990076E-2</c:v>
                </c:pt>
                <c:pt idx="73">
                  <c:v>3.241581150668682E-2</c:v>
                </c:pt>
                <c:pt idx="74">
                  <c:v>8.0065620998719611E-2</c:v>
                </c:pt>
                <c:pt idx="75">
                  <c:v>-9.3343007436967107E-2</c:v>
                </c:pt>
                <c:pt idx="76">
                  <c:v>1.8549310867235658E-2</c:v>
                </c:pt>
                <c:pt idx="77">
                  <c:v>-6.9104292790313826E-2</c:v>
                </c:pt>
                <c:pt idx="78">
                  <c:v>1.4122834211705015E-3</c:v>
                </c:pt>
                <c:pt idx="79">
                  <c:v>3.1919809476415706E-2</c:v>
                </c:pt>
                <c:pt idx="80">
                  <c:v>3.7046593925095905E-2</c:v>
                </c:pt>
                <c:pt idx="81">
                  <c:v>1.2548903816342882E-3</c:v>
                </c:pt>
                <c:pt idx="82">
                  <c:v>2.4309099844996407E-2</c:v>
                </c:pt>
                <c:pt idx="83">
                  <c:v>5.1681550446514013E-3</c:v>
                </c:pt>
                <c:pt idx="84">
                  <c:v>-3.1290263206331659E-2</c:v>
                </c:pt>
                <c:pt idx="85">
                  <c:v>-3.6360411493437383E-2</c:v>
                </c:pt>
                <c:pt idx="86">
                  <c:v>5.6359139623772592E-2</c:v>
                </c:pt>
                <c:pt idx="87">
                  <c:v>6.9808686464662983E-3</c:v>
                </c:pt>
                <c:pt idx="88">
                  <c:v>3.0565817616177382E-2</c:v>
                </c:pt>
                <c:pt idx="89">
                  <c:v>2.356406480117812E-2</c:v>
                </c:pt>
                <c:pt idx="90">
                  <c:v>1.5111721685724611E-2</c:v>
                </c:pt>
                <c:pt idx="91">
                  <c:v>2.9176966405966009E-3</c:v>
                </c:pt>
                <c:pt idx="92">
                  <c:v>2.0554177005789986E-2</c:v>
                </c:pt>
                <c:pt idx="93">
                  <c:v>1.4910536779324524E-3</c:v>
                </c:pt>
                <c:pt idx="94">
                  <c:v>1.4112903225806495E-2</c:v>
                </c:pt>
                <c:pt idx="95">
                  <c:v>9.9261898701958895E-3</c:v>
                </c:pt>
                <c:pt idx="96">
                  <c:v>-3.0870723559013324E-3</c:v>
                </c:pt>
                <c:pt idx="97">
                  <c:v>3.9291521997099288E-2</c:v>
                </c:pt>
                <c:pt idx="98">
                  <c:v>1.7894689750816539E-2</c:v>
                </c:pt>
                <c:pt idx="99">
                  <c:v>1.4293493057446316E-2</c:v>
                </c:pt>
                <c:pt idx="100">
                  <c:v>3.683839096683128E-2</c:v>
                </c:pt>
                <c:pt idx="101">
                  <c:v>-1.7337031900138689E-2</c:v>
                </c:pt>
                <c:pt idx="102">
                  <c:v>-4.9682583494341515E-3</c:v>
                </c:pt>
                <c:pt idx="103">
                  <c:v>1.1974944731023562E-3</c:v>
                </c:pt>
                <c:pt idx="104">
                  <c:v>3.6496001909535725E-2</c:v>
                </c:pt>
                <c:pt idx="105">
                  <c:v>-1.7394205108655081E-3</c:v>
                </c:pt>
                <c:pt idx="106">
                  <c:v>1.7007640158425152E-2</c:v>
                </c:pt>
                <c:pt idx="107">
                  <c:v>3.9451148306735018E-3</c:v>
                </c:pt>
                <c:pt idx="108">
                  <c:v>6.1789625955775973E-2</c:v>
                </c:pt>
                <c:pt idx="109">
                  <c:v>-8.3006058203349831E-4</c:v>
                </c:pt>
                <c:pt idx="110">
                  <c:v>-4.9782704664737332E-2</c:v>
                </c:pt>
                <c:pt idx="111">
                  <c:v>-2.3096458862427505E-2</c:v>
                </c:pt>
                <c:pt idx="112">
                  <c:v>3.655076227576437E-3</c:v>
                </c:pt>
                <c:pt idx="113">
                  <c:v>8.5059750560976921E-2</c:v>
                </c:pt>
                <c:pt idx="114">
                  <c:v>-3.0555977133606471E-2</c:v>
                </c:pt>
                <c:pt idx="115">
                  <c:v>-6.0950118764845684E-2</c:v>
                </c:pt>
                <c:pt idx="116">
                  <c:v>2.2589264027204292E-2</c:v>
                </c:pt>
                <c:pt idx="117">
                  <c:v>-2.5054466230936767E-2</c:v>
                </c:pt>
                <c:pt idx="118">
                  <c:v>1.2856183440468127E-2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2-4D8D-9B33-3C6F76401FD7}"/>
            </c:ext>
          </c:extLst>
        </c:ser>
        <c:ser>
          <c:idx val="1"/>
          <c:order val="1"/>
          <c:tx>
            <c:strRef>
              <c:f>'SPY&amp;BETA'!$G$3</c:f>
              <c:strCache>
                <c:ptCount val="1"/>
                <c:pt idx="0">
                  <c:v>NOC Return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'SPY&amp;BETA'!$G$4:$G$122</c:f>
              <c:numCache>
                <c:formatCode>0.00%</c:formatCode>
                <c:ptCount val="119"/>
                <c:pt idx="0">
                  <c:v>0.10887079308701852</c:v>
                </c:pt>
                <c:pt idx="1">
                  <c:v>-5.2393949966137776E-2</c:v>
                </c:pt>
                <c:pt idx="2">
                  <c:v>3.8313196530929572E-2</c:v>
                </c:pt>
                <c:pt idx="3">
                  <c:v>-4.1580720923108272E-2</c:v>
                </c:pt>
                <c:pt idx="4">
                  <c:v>-3.8053514596675941E-2</c:v>
                </c:pt>
                <c:pt idx="5">
                  <c:v>-3.6074762815535899E-2</c:v>
                </c:pt>
                <c:pt idx="6">
                  <c:v>9.2888132872077644E-3</c:v>
                </c:pt>
                <c:pt idx="7">
                  <c:v>8.0298149983482059E-2</c:v>
                </c:pt>
                <c:pt idx="8">
                  <c:v>0.1109530909507972</c:v>
                </c:pt>
                <c:pt idx="9">
                  <c:v>-3.287707700157505E-2</c:v>
                </c:pt>
                <c:pt idx="10">
                  <c:v>-7.0634806094468372E-2</c:v>
                </c:pt>
                <c:pt idx="11">
                  <c:v>1.3307984790874361E-2</c:v>
                </c:pt>
                <c:pt idx="12">
                  <c:v>3.8262982083206998E-2</c:v>
                </c:pt>
                <c:pt idx="13">
                  <c:v>3.1918703554481231E-2</c:v>
                </c:pt>
                <c:pt idx="14">
                  <c:v>-4.567009868842653E-2</c:v>
                </c:pt>
                <c:pt idx="15">
                  <c:v>-1.4773970872969167E-2</c:v>
                </c:pt>
                <c:pt idx="16">
                  <c:v>7.9120972360691155E-3</c:v>
                </c:pt>
                <c:pt idx="17">
                  <c:v>7.0969354142529362E-2</c:v>
                </c:pt>
                <c:pt idx="18">
                  <c:v>1.6393821145720411E-2</c:v>
                </c:pt>
                <c:pt idx="19">
                  <c:v>-2.6764044943820231E-2</c:v>
                </c:pt>
                <c:pt idx="20">
                  <c:v>-2.3694602896007E-2</c:v>
                </c:pt>
                <c:pt idx="21">
                  <c:v>4.6637121403476645E-2</c:v>
                </c:pt>
                <c:pt idx="22">
                  <c:v>-5.5889175537104041E-2</c:v>
                </c:pt>
                <c:pt idx="23">
                  <c:v>-9.7461665078413251E-4</c:v>
                </c:pt>
                <c:pt idx="24">
                  <c:v>-5.1496412488418741E-3</c:v>
                </c:pt>
                <c:pt idx="25">
                  <c:v>3.5867333273814861E-2</c:v>
                </c:pt>
                <c:pt idx="26">
                  <c:v>-0.17882736753358619</c:v>
                </c:pt>
                <c:pt idx="27">
                  <c:v>2.3101877027508655E-2</c:v>
                </c:pt>
                <c:pt idx="28">
                  <c:v>-2.863335822662616E-2</c:v>
                </c:pt>
                <c:pt idx="29">
                  <c:v>0.16731161762204461</c:v>
                </c:pt>
                <c:pt idx="30">
                  <c:v>-1.6046360802527304E-2</c:v>
                </c:pt>
                <c:pt idx="31">
                  <c:v>-1.9001879306743685E-3</c:v>
                </c:pt>
                <c:pt idx="32">
                  <c:v>6.8955429717698635E-4</c:v>
                </c:pt>
                <c:pt idx="33">
                  <c:v>2.2651024638331352E-2</c:v>
                </c:pt>
                <c:pt idx="34">
                  <c:v>6.5020482476103814E-2</c:v>
                </c:pt>
                <c:pt idx="35">
                  <c:v>-1.7485801171682969E-2</c:v>
                </c:pt>
                <c:pt idx="36">
                  <c:v>1.1489573438277612E-2</c:v>
                </c:pt>
                <c:pt idx="37">
                  <c:v>0.19529602595296036</c:v>
                </c:pt>
                <c:pt idx="38">
                  <c:v>-4.4358901490686442E-2</c:v>
                </c:pt>
                <c:pt idx="39">
                  <c:v>0.10971903669724759</c:v>
                </c:pt>
                <c:pt idx="40">
                  <c:v>-2.3570908683724356E-2</c:v>
                </c:pt>
                <c:pt idx="41">
                  <c:v>-8.1354990975980312E-3</c:v>
                </c:pt>
                <c:pt idx="42">
                  <c:v>-2.0533043241773186E-2</c:v>
                </c:pt>
                <c:pt idx="43">
                  <c:v>1.2891851688612288E-2</c:v>
                </c:pt>
                <c:pt idx="44">
                  <c:v>-1.1281402195746359E-3</c:v>
                </c:pt>
                <c:pt idx="45">
                  <c:v>-6.6690354497499493E-3</c:v>
                </c:pt>
                <c:pt idx="46">
                  <c:v>3.2248053267125654E-2</c:v>
                </c:pt>
                <c:pt idx="47">
                  <c:v>9.5167470028426626E-2</c:v>
                </c:pt>
                <c:pt idx="48">
                  <c:v>0.10964822053075474</c:v>
                </c:pt>
                <c:pt idx="49">
                  <c:v>1.7619762045985921E-2</c:v>
                </c:pt>
                <c:pt idx="50">
                  <c:v>-5.9431609346285108E-2</c:v>
                </c:pt>
                <c:pt idx="51">
                  <c:v>8.1386885462848557E-3</c:v>
                </c:pt>
                <c:pt idx="52">
                  <c:v>4.2923193706438489E-2</c:v>
                </c:pt>
                <c:pt idx="53">
                  <c:v>-8.1365494944372285E-2</c:v>
                </c:pt>
                <c:pt idx="54">
                  <c:v>-7.9157059046729539E-2</c:v>
                </c:pt>
                <c:pt idx="55">
                  <c:v>5.4152179932925204E-2</c:v>
                </c:pt>
                <c:pt idx="56">
                  <c:v>5.7149362477231236E-2</c:v>
                </c:pt>
                <c:pt idx="57">
                  <c:v>-8.2816229116945084E-2</c:v>
                </c:pt>
                <c:pt idx="58">
                  <c:v>1.3699458674811593E-2</c:v>
                </c:pt>
                <c:pt idx="59">
                  <c:v>9.2943315154520034E-2</c:v>
                </c:pt>
                <c:pt idx="60">
                  <c:v>-7.9947694927624324E-2</c:v>
                </c:pt>
                <c:pt idx="61">
                  <c:v>-0.12208665936941032</c:v>
                </c:pt>
                <c:pt idx="62">
                  <c:v>8.8961246620344658E-2</c:v>
                </c:pt>
                <c:pt idx="63">
                  <c:v>-2.2173579327401272E-2</c:v>
                </c:pt>
                <c:pt idx="64">
                  <c:v>-2.0142986836133581E-3</c:v>
                </c:pt>
                <c:pt idx="65">
                  <c:v>-5.9526668267563143E-2</c:v>
                </c:pt>
                <c:pt idx="66">
                  <c:v>1.8810993013836486E-2</c:v>
                </c:pt>
                <c:pt idx="67">
                  <c:v>6.4531064617877831E-2</c:v>
                </c:pt>
                <c:pt idx="68">
                  <c:v>6.9511930921357878E-2</c:v>
                </c:pt>
                <c:pt idx="69">
                  <c:v>6.5490519373454292E-2</c:v>
                </c:pt>
                <c:pt idx="70">
                  <c:v>4.6014280293884324E-2</c:v>
                </c:pt>
                <c:pt idx="71">
                  <c:v>7.5333827893174998E-2</c:v>
                </c:pt>
                <c:pt idx="72">
                  <c:v>-7.021658159746158E-2</c:v>
                </c:pt>
                <c:pt idx="73">
                  <c:v>5.2295409181636554E-2</c:v>
                </c:pt>
                <c:pt idx="74">
                  <c:v>0.12515312372396892</c:v>
                </c:pt>
                <c:pt idx="75">
                  <c:v>-5.7641988610127703E-2</c:v>
                </c:pt>
                <c:pt idx="76">
                  <c:v>-7.9022714258446536E-3</c:v>
                </c:pt>
                <c:pt idx="77">
                  <c:v>-0.17462268015250348</c:v>
                </c:pt>
                <c:pt idx="78">
                  <c:v>6.3251700224463026E-2</c:v>
                </c:pt>
                <c:pt idx="79">
                  <c:v>-6.6557955339612285E-3</c:v>
                </c:pt>
                <c:pt idx="80">
                  <c:v>-2.3431914202144855E-2</c:v>
                </c:pt>
                <c:pt idx="81">
                  <c:v>-5.974025974025976E-2</c:v>
                </c:pt>
                <c:pt idx="82">
                  <c:v>1.6178114519935338E-2</c:v>
                </c:pt>
                <c:pt idx="83">
                  <c:v>-7.7566452795600371E-2</c:v>
                </c:pt>
                <c:pt idx="84">
                  <c:v>-2.6282710547366195E-3</c:v>
                </c:pt>
                <c:pt idx="85">
                  <c:v>2.7927054885032332E-2</c:v>
                </c:pt>
                <c:pt idx="86">
                  <c:v>0.1095435143853245</c:v>
                </c:pt>
                <c:pt idx="87">
                  <c:v>-1.5940143135977358E-3</c:v>
                </c:pt>
                <c:pt idx="88">
                  <c:v>4.0165127059858641E-2</c:v>
                </c:pt>
                <c:pt idx="89">
                  <c:v>2.7144445989155885E-2</c:v>
                </c:pt>
                <c:pt idx="90">
                  <c:v>5.6978068403071402E-2</c:v>
                </c:pt>
                <c:pt idx="91">
                  <c:v>3.4507657811728043E-2</c:v>
                </c:pt>
                <c:pt idx="92">
                  <c:v>2.500876475400271E-2</c:v>
                </c:pt>
                <c:pt idx="93">
                  <c:v>-9.6828948383613778E-3</c:v>
                </c:pt>
                <c:pt idx="94">
                  <c:v>5.3911205073995827E-2</c:v>
                </c:pt>
                <c:pt idx="95">
                  <c:v>3.4140598721829729E-2</c:v>
                </c:pt>
                <c:pt idx="96">
                  <c:v>-3.7435752155085211E-2</c:v>
                </c:pt>
                <c:pt idx="97">
                  <c:v>7.8618823118561165E-2</c:v>
                </c:pt>
                <c:pt idx="98">
                  <c:v>-1.5048585432969275E-2</c:v>
                </c:pt>
                <c:pt idx="99">
                  <c:v>-6.8375726016422944E-2</c:v>
                </c:pt>
                <c:pt idx="100">
                  <c:v>9.0174672489083063E-2</c:v>
                </c:pt>
                <c:pt idx="101">
                  <c:v>7.0343538209862277E-2</c:v>
                </c:pt>
                <c:pt idx="102">
                  <c:v>8.8649974065166948E-3</c:v>
                </c:pt>
                <c:pt idx="103">
                  <c:v>-2.1049716105802529E-2</c:v>
                </c:pt>
                <c:pt idx="104">
                  <c:v>-2.5418391218283265E-2</c:v>
                </c:pt>
                <c:pt idx="105">
                  <c:v>4.5187379508158321E-2</c:v>
                </c:pt>
                <c:pt idx="106">
                  <c:v>3.1077281101522303E-2</c:v>
                </c:pt>
                <c:pt idx="107">
                  <c:v>4.224355735219798E-2</c:v>
                </c:pt>
                <c:pt idx="108">
                  <c:v>2.9549474560399469E-2</c:v>
                </c:pt>
                <c:pt idx="109">
                  <c:v>3.8690154544472E-2</c:v>
                </c:pt>
                <c:pt idx="110">
                  <c:v>-1.9861236163338791E-2</c:v>
                </c:pt>
                <c:pt idx="111">
                  <c:v>1.3146597982399699E-2</c:v>
                </c:pt>
                <c:pt idx="112">
                  <c:v>-7.4034620505991633E-3</c:v>
                </c:pt>
                <c:pt idx="113">
                  <c:v>0.13136486893642663</c:v>
                </c:pt>
                <c:pt idx="114">
                  <c:v>1.3497007450836485E-2</c:v>
                </c:pt>
                <c:pt idx="115">
                  <c:v>-5.3580717877579231E-2</c:v>
                </c:pt>
                <c:pt idx="116">
                  <c:v>9.0651200907772678E-2</c:v>
                </c:pt>
                <c:pt idx="117">
                  <c:v>-3.4552079406960923E-3</c:v>
                </c:pt>
                <c:pt idx="118">
                  <c:v>3.3367956374967589E-2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C2-4D8D-9B33-3C6F76401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078383"/>
        <c:axId val="491078863"/>
      </c:lineChart>
      <c:catAx>
        <c:axId val="491078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78863"/>
        <c:crosses val="autoZero"/>
        <c:auto val="1"/>
        <c:lblAlgn val="ctr"/>
        <c:lblOffset val="100"/>
        <c:noMultiLvlLbl val="0"/>
      </c:catAx>
      <c:valAx>
        <c:axId val="4910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7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SPY vs NOC</a:t>
            </a:r>
            <a:r>
              <a:rPr lang="en-US" sz="1400" b="1" baseline="0"/>
              <a:t> - Last 10 Years - Price Movements</a:t>
            </a:r>
          </a:p>
          <a:p>
            <a:pPr>
              <a:defRPr/>
            </a:pPr>
            <a:r>
              <a:rPr lang="en-US" sz="1400" b="1" baseline="0"/>
              <a:t>source:  Factset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'SPY&amp;BETA'!$B$3</c:f>
              <c:strCache>
                <c:ptCount val="1"/>
                <c:pt idx="0">
                  <c:v>SPY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'SPY&amp;BETA'!$B$4:$B$123</c:f>
              <c:numCache>
                <c:formatCode>#,##0.00</c:formatCode>
                <c:ptCount val="120"/>
                <c:pt idx="0">
                  <c:v>559.39</c:v>
                </c:pt>
                <c:pt idx="1">
                  <c:v>594.17999999999995</c:v>
                </c:pt>
                <c:pt idx="2">
                  <c:v>601.82000000000005</c:v>
                </c:pt>
                <c:pt idx="3">
                  <c:v>586.08000000000004</c:v>
                </c:pt>
                <c:pt idx="4">
                  <c:v>602.54999999999995</c:v>
                </c:pt>
                <c:pt idx="5">
                  <c:v>568.64</c:v>
                </c:pt>
                <c:pt idx="6">
                  <c:v>573.76</c:v>
                </c:pt>
                <c:pt idx="7">
                  <c:v>563.67999999999995</c:v>
                </c:pt>
                <c:pt idx="8">
                  <c:v>550.80999999999995</c:v>
                </c:pt>
                <c:pt idx="9">
                  <c:v>544.22</c:v>
                </c:pt>
                <c:pt idx="10">
                  <c:v>527.37</c:v>
                </c:pt>
                <c:pt idx="11">
                  <c:v>501.98</c:v>
                </c:pt>
                <c:pt idx="12">
                  <c:v>523.07000000000005</c:v>
                </c:pt>
                <c:pt idx="13">
                  <c:v>508.08</c:v>
                </c:pt>
                <c:pt idx="14">
                  <c:v>482.88</c:v>
                </c:pt>
                <c:pt idx="15">
                  <c:v>475.31</c:v>
                </c:pt>
                <c:pt idx="16">
                  <c:v>456.4</c:v>
                </c:pt>
                <c:pt idx="17">
                  <c:v>418.2</c:v>
                </c:pt>
                <c:pt idx="18">
                  <c:v>427.48</c:v>
                </c:pt>
                <c:pt idx="19">
                  <c:v>450.35</c:v>
                </c:pt>
                <c:pt idx="20">
                  <c:v>457.79</c:v>
                </c:pt>
                <c:pt idx="21">
                  <c:v>443.28</c:v>
                </c:pt>
                <c:pt idx="22">
                  <c:v>417.85</c:v>
                </c:pt>
                <c:pt idx="23">
                  <c:v>415.93</c:v>
                </c:pt>
                <c:pt idx="24">
                  <c:v>409.39</c:v>
                </c:pt>
                <c:pt idx="25">
                  <c:v>396.26</c:v>
                </c:pt>
                <c:pt idx="26">
                  <c:v>406.48</c:v>
                </c:pt>
                <c:pt idx="27">
                  <c:v>382.43</c:v>
                </c:pt>
                <c:pt idx="28">
                  <c:v>407.68</c:v>
                </c:pt>
                <c:pt idx="29">
                  <c:v>386.21</c:v>
                </c:pt>
                <c:pt idx="30">
                  <c:v>357.18</c:v>
                </c:pt>
                <c:pt idx="31">
                  <c:v>395.18</c:v>
                </c:pt>
                <c:pt idx="32">
                  <c:v>411.99</c:v>
                </c:pt>
                <c:pt idx="33">
                  <c:v>377.25</c:v>
                </c:pt>
                <c:pt idx="34">
                  <c:v>412.93</c:v>
                </c:pt>
                <c:pt idx="35">
                  <c:v>412</c:v>
                </c:pt>
                <c:pt idx="36">
                  <c:v>451.64</c:v>
                </c:pt>
                <c:pt idx="37">
                  <c:v>436.63</c:v>
                </c:pt>
                <c:pt idx="38">
                  <c:v>449.91</c:v>
                </c:pt>
                <c:pt idx="39">
                  <c:v>474.96</c:v>
                </c:pt>
                <c:pt idx="40">
                  <c:v>455.56</c:v>
                </c:pt>
                <c:pt idx="41">
                  <c:v>459.25</c:v>
                </c:pt>
                <c:pt idx="42">
                  <c:v>429.14</c:v>
                </c:pt>
                <c:pt idx="43">
                  <c:v>451.56</c:v>
                </c:pt>
                <c:pt idx="44">
                  <c:v>438.51</c:v>
                </c:pt>
                <c:pt idx="45">
                  <c:v>428.06</c:v>
                </c:pt>
                <c:pt idx="46">
                  <c:v>420.04</c:v>
                </c:pt>
                <c:pt idx="47">
                  <c:v>417.3</c:v>
                </c:pt>
                <c:pt idx="48">
                  <c:v>396.33</c:v>
                </c:pt>
                <c:pt idx="49">
                  <c:v>380.36</c:v>
                </c:pt>
                <c:pt idx="50">
                  <c:v>370.07</c:v>
                </c:pt>
                <c:pt idx="51">
                  <c:v>373.88</c:v>
                </c:pt>
                <c:pt idx="52">
                  <c:v>362.06</c:v>
                </c:pt>
                <c:pt idx="53">
                  <c:v>326.54000000000002</c:v>
                </c:pt>
                <c:pt idx="54">
                  <c:v>334.89</c:v>
                </c:pt>
                <c:pt idx="55">
                  <c:v>349.31</c:v>
                </c:pt>
                <c:pt idx="56">
                  <c:v>326.52</c:v>
                </c:pt>
                <c:pt idx="57">
                  <c:v>308.36</c:v>
                </c:pt>
                <c:pt idx="58">
                  <c:v>304.32</c:v>
                </c:pt>
                <c:pt idx="59">
                  <c:v>290.48</c:v>
                </c:pt>
                <c:pt idx="60">
                  <c:v>257.75</c:v>
                </c:pt>
                <c:pt idx="61">
                  <c:v>296.26</c:v>
                </c:pt>
                <c:pt idx="62">
                  <c:v>321.73</c:v>
                </c:pt>
                <c:pt idx="63">
                  <c:v>321.86</c:v>
                </c:pt>
                <c:pt idx="64">
                  <c:v>314.31</c:v>
                </c:pt>
                <c:pt idx="65">
                  <c:v>303.33</c:v>
                </c:pt>
                <c:pt idx="66">
                  <c:v>296.77</c:v>
                </c:pt>
                <c:pt idx="67">
                  <c:v>292.45</c:v>
                </c:pt>
                <c:pt idx="68">
                  <c:v>297.43</c:v>
                </c:pt>
                <c:pt idx="69">
                  <c:v>293</c:v>
                </c:pt>
                <c:pt idx="70">
                  <c:v>275.27</c:v>
                </c:pt>
                <c:pt idx="71">
                  <c:v>294.02</c:v>
                </c:pt>
                <c:pt idx="72">
                  <c:v>282.48</c:v>
                </c:pt>
                <c:pt idx="73">
                  <c:v>278.68</c:v>
                </c:pt>
                <c:pt idx="74">
                  <c:v>269.93</c:v>
                </c:pt>
                <c:pt idx="75">
                  <c:v>249.92</c:v>
                </c:pt>
                <c:pt idx="76">
                  <c:v>275.64999999999998</c:v>
                </c:pt>
                <c:pt idx="77">
                  <c:v>270.63</c:v>
                </c:pt>
                <c:pt idx="78">
                  <c:v>290.72000000000003</c:v>
                </c:pt>
                <c:pt idx="79">
                  <c:v>290.31</c:v>
                </c:pt>
                <c:pt idx="80">
                  <c:v>281.33</c:v>
                </c:pt>
                <c:pt idx="81">
                  <c:v>271.27999999999997</c:v>
                </c:pt>
                <c:pt idx="82">
                  <c:v>270.94</c:v>
                </c:pt>
                <c:pt idx="83">
                  <c:v>264.51</c:v>
                </c:pt>
                <c:pt idx="84">
                  <c:v>263.14999999999998</c:v>
                </c:pt>
                <c:pt idx="85">
                  <c:v>271.64999999999998</c:v>
                </c:pt>
                <c:pt idx="86">
                  <c:v>281.89999999999998</c:v>
                </c:pt>
                <c:pt idx="87">
                  <c:v>266.86</c:v>
                </c:pt>
                <c:pt idx="88">
                  <c:v>265.01</c:v>
                </c:pt>
                <c:pt idx="89">
                  <c:v>257.14999999999998</c:v>
                </c:pt>
                <c:pt idx="90">
                  <c:v>251.23</c:v>
                </c:pt>
                <c:pt idx="91">
                  <c:v>247.49</c:v>
                </c:pt>
                <c:pt idx="92">
                  <c:v>246.77</c:v>
                </c:pt>
                <c:pt idx="93">
                  <c:v>241.8</c:v>
                </c:pt>
                <c:pt idx="94">
                  <c:v>241.44</c:v>
                </c:pt>
                <c:pt idx="95">
                  <c:v>238.08</c:v>
                </c:pt>
                <c:pt idx="96">
                  <c:v>235.74</c:v>
                </c:pt>
                <c:pt idx="97">
                  <c:v>236.47</c:v>
                </c:pt>
                <c:pt idx="98">
                  <c:v>227.53</c:v>
                </c:pt>
                <c:pt idx="99">
                  <c:v>223.53</c:v>
                </c:pt>
                <c:pt idx="100">
                  <c:v>220.38</c:v>
                </c:pt>
                <c:pt idx="101">
                  <c:v>212.55</c:v>
                </c:pt>
                <c:pt idx="102">
                  <c:v>216.3</c:v>
                </c:pt>
                <c:pt idx="103">
                  <c:v>217.38</c:v>
                </c:pt>
                <c:pt idx="104">
                  <c:v>217.12</c:v>
                </c:pt>
                <c:pt idx="105">
                  <c:v>209.47499999999999</c:v>
                </c:pt>
                <c:pt idx="106">
                  <c:v>209.84</c:v>
                </c:pt>
                <c:pt idx="107">
                  <c:v>206.33080000000001</c:v>
                </c:pt>
                <c:pt idx="108">
                  <c:v>205.52</c:v>
                </c:pt>
                <c:pt idx="109">
                  <c:v>193.56</c:v>
                </c:pt>
                <c:pt idx="110">
                  <c:v>193.7208</c:v>
                </c:pt>
                <c:pt idx="111">
                  <c:v>203.87</c:v>
                </c:pt>
                <c:pt idx="112">
                  <c:v>208.69</c:v>
                </c:pt>
                <c:pt idx="113">
                  <c:v>207.93</c:v>
                </c:pt>
                <c:pt idx="114">
                  <c:v>191.63</c:v>
                </c:pt>
                <c:pt idx="115">
                  <c:v>197.67</c:v>
                </c:pt>
                <c:pt idx="116">
                  <c:v>210.5</c:v>
                </c:pt>
                <c:pt idx="117">
                  <c:v>205.85</c:v>
                </c:pt>
                <c:pt idx="118">
                  <c:v>211.14</c:v>
                </c:pt>
                <c:pt idx="119">
                  <c:v>208.46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A0-48C4-91AE-C3B60E3A431E}"/>
            </c:ext>
          </c:extLst>
        </c:ser>
        <c:ser>
          <c:idx val="1"/>
          <c:order val="1"/>
          <c:tx>
            <c:strRef>
              <c:f>'SPY&amp;BETA'!$C$3</c:f>
              <c:strCache>
                <c:ptCount val="1"/>
                <c:pt idx="0">
                  <c:v>NOC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'SPY&amp;BETA'!$C$4:$C$123</c:f>
              <c:numCache>
                <c:formatCode>#,##0.00</c:formatCode>
                <c:ptCount val="120"/>
                <c:pt idx="0">
                  <c:v>512.01</c:v>
                </c:pt>
                <c:pt idx="1">
                  <c:v>461.74</c:v>
                </c:pt>
                <c:pt idx="2">
                  <c:v>487.27</c:v>
                </c:pt>
                <c:pt idx="3">
                  <c:v>469.29</c:v>
                </c:pt>
                <c:pt idx="4">
                  <c:v>489.65</c:v>
                </c:pt>
                <c:pt idx="5">
                  <c:v>509.02</c:v>
                </c:pt>
                <c:pt idx="6">
                  <c:v>528.07000000000005</c:v>
                </c:pt>
                <c:pt idx="7">
                  <c:v>523.21</c:v>
                </c:pt>
                <c:pt idx="8">
                  <c:v>484.32</c:v>
                </c:pt>
                <c:pt idx="9">
                  <c:v>435.95</c:v>
                </c:pt>
                <c:pt idx="10">
                  <c:v>450.77</c:v>
                </c:pt>
                <c:pt idx="11">
                  <c:v>485.03</c:v>
                </c:pt>
                <c:pt idx="12">
                  <c:v>478.66</c:v>
                </c:pt>
                <c:pt idx="13">
                  <c:v>461.02</c:v>
                </c:pt>
                <c:pt idx="14">
                  <c:v>446.76</c:v>
                </c:pt>
                <c:pt idx="15">
                  <c:v>468.14</c:v>
                </c:pt>
                <c:pt idx="16">
                  <c:v>475.16</c:v>
                </c:pt>
                <c:pt idx="17">
                  <c:v>471.43</c:v>
                </c:pt>
                <c:pt idx="18">
                  <c:v>440.19</c:v>
                </c:pt>
                <c:pt idx="19">
                  <c:v>433.09</c:v>
                </c:pt>
                <c:pt idx="20">
                  <c:v>445</c:v>
                </c:pt>
                <c:pt idx="21">
                  <c:v>455.8</c:v>
                </c:pt>
                <c:pt idx="22">
                  <c:v>435.49</c:v>
                </c:pt>
                <c:pt idx="23">
                  <c:v>461.27</c:v>
                </c:pt>
                <c:pt idx="24">
                  <c:v>461.72</c:v>
                </c:pt>
                <c:pt idx="25">
                  <c:v>464.11</c:v>
                </c:pt>
                <c:pt idx="26">
                  <c:v>448.04</c:v>
                </c:pt>
                <c:pt idx="27">
                  <c:v>545.61</c:v>
                </c:pt>
                <c:pt idx="28">
                  <c:v>533.29</c:v>
                </c:pt>
                <c:pt idx="29">
                  <c:v>549.01</c:v>
                </c:pt>
                <c:pt idx="30">
                  <c:v>470.32</c:v>
                </c:pt>
                <c:pt idx="31">
                  <c:v>477.99</c:v>
                </c:pt>
                <c:pt idx="32">
                  <c:v>478.9</c:v>
                </c:pt>
                <c:pt idx="33">
                  <c:v>478.57</c:v>
                </c:pt>
                <c:pt idx="34">
                  <c:v>467.97</c:v>
                </c:pt>
                <c:pt idx="35">
                  <c:v>439.4</c:v>
                </c:pt>
                <c:pt idx="36">
                  <c:v>447.22</c:v>
                </c:pt>
                <c:pt idx="37">
                  <c:v>442.14</c:v>
                </c:pt>
                <c:pt idx="38">
                  <c:v>369.9</c:v>
                </c:pt>
                <c:pt idx="39">
                  <c:v>387.07</c:v>
                </c:pt>
                <c:pt idx="40">
                  <c:v>348.8</c:v>
                </c:pt>
                <c:pt idx="41">
                  <c:v>357.22</c:v>
                </c:pt>
                <c:pt idx="42">
                  <c:v>360.15</c:v>
                </c:pt>
                <c:pt idx="43">
                  <c:v>367.7</c:v>
                </c:pt>
                <c:pt idx="44">
                  <c:v>363.02</c:v>
                </c:pt>
                <c:pt idx="45">
                  <c:v>363.43</c:v>
                </c:pt>
                <c:pt idx="46">
                  <c:v>365.87</c:v>
                </c:pt>
                <c:pt idx="47">
                  <c:v>354.44</c:v>
                </c:pt>
                <c:pt idx="48">
                  <c:v>323.64</c:v>
                </c:pt>
                <c:pt idx="49">
                  <c:v>291.66000000000003</c:v>
                </c:pt>
                <c:pt idx="50">
                  <c:v>286.61</c:v>
                </c:pt>
                <c:pt idx="51">
                  <c:v>304.72000000000003</c:v>
                </c:pt>
                <c:pt idx="52">
                  <c:v>302.26</c:v>
                </c:pt>
                <c:pt idx="53">
                  <c:v>289.82</c:v>
                </c:pt>
                <c:pt idx="54">
                  <c:v>315.49</c:v>
                </c:pt>
                <c:pt idx="55">
                  <c:v>342.61</c:v>
                </c:pt>
                <c:pt idx="56">
                  <c:v>325.01</c:v>
                </c:pt>
                <c:pt idx="57">
                  <c:v>307.44</c:v>
                </c:pt>
                <c:pt idx="58">
                  <c:v>335.2</c:v>
                </c:pt>
                <c:pt idx="59">
                  <c:v>330.67</c:v>
                </c:pt>
                <c:pt idx="60">
                  <c:v>302.55</c:v>
                </c:pt>
                <c:pt idx="61">
                  <c:v>328.84</c:v>
                </c:pt>
                <c:pt idx="62">
                  <c:v>374.57</c:v>
                </c:pt>
                <c:pt idx="63">
                  <c:v>343.97</c:v>
                </c:pt>
                <c:pt idx="64">
                  <c:v>351.77</c:v>
                </c:pt>
                <c:pt idx="65">
                  <c:v>352.48</c:v>
                </c:pt>
                <c:pt idx="66">
                  <c:v>374.79</c:v>
                </c:pt>
                <c:pt idx="67">
                  <c:v>367.87</c:v>
                </c:pt>
                <c:pt idx="68">
                  <c:v>345.57</c:v>
                </c:pt>
                <c:pt idx="69">
                  <c:v>323.11</c:v>
                </c:pt>
                <c:pt idx="70">
                  <c:v>303.25</c:v>
                </c:pt>
                <c:pt idx="71">
                  <c:v>289.91000000000003</c:v>
                </c:pt>
                <c:pt idx="72">
                  <c:v>269.60000000000002</c:v>
                </c:pt>
                <c:pt idx="73">
                  <c:v>289.95999999999998</c:v>
                </c:pt>
                <c:pt idx="74">
                  <c:v>275.55</c:v>
                </c:pt>
                <c:pt idx="75">
                  <c:v>244.9</c:v>
                </c:pt>
                <c:pt idx="76">
                  <c:v>259.88</c:v>
                </c:pt>
                <c:pt idx="77">
                  <c:v>261.95</c:v>
                </c:pt>
                <c:pt idx="78">
                  <c:v>317.37</c:v>
                </c:pt>
                <c:pt idx="79">
                  <c:v>298.49</c:v>
                </c:pt>
                <c:pt idx="80">
                  <c:v>300.49</c:v>
                </c:pt>
                <c:pt idx="81">
                  <c:v>307.7</c:v>
                </c:pt>
                <c:pt idx="82">
                  <c:v>327.25</c:v>
                </c:pt>
                <c:pt idx="83">
                  <c:v>322.04000000000002</c:v>
                </c:pt>
                <c:pt idx="84">
                  <c:v>349.12</c:v>
                </c:pt>
                <c:pt idx="85">
                  <c:v>350.04</c:v>
                </c:pt>
                <c:pt idx="86">
                  <c:v>340.53</c:v>
                </c:pt>
                <c:pt idx="87">
                  <c:v>306.91000000000003</c:v>
                </c:pt>
                <c:pt idx="88">
                  <c:v>307.39999999999998</c:v>
                </c:pt>
                <c:pt idx="89">
                  <c:v>295.52999999999997</c:v>
                </c:pt>
                <c:pt idx="90">
                  <c:v>287.72000000000003</c:v>
                </c:pt>
                <c:pt idx="91">
                  <c:v>272.20999999999998</c:v>
                </c:pt>
                <c:pt idx="92">
                  <c:v>263.13</c:v>
                </c:pt>
                <c:pt idx="93">
                  <c:v>256.70999999999998</c:v>
                </c:pt>
                <c:pt idx="94">
                  <c:v>259.22000000000003</c:v>
                </c:pt>
                <c:pt idx="95">
                  <c:v>245.96</c:v>
                </c:pt>
                <c:pt idx="96">
                  <c:v>237.84</c:v>
                </c:pt>
                <c:pt idx="97">
                  <c:v>247.09</c:v>
                </c:pt>
                <c:pt idx="98">
                  <c:v>229.08</c:v>
                </c:pt>
                <c:pt idx="99">
                  <c:v>232.58</c:v>
                </c:pt>
                <c:pt idx="100">
                  <c:v>249.65</c:v>
                </c:pt>
                <c:pt idx="101">
                  <c:v>229</c:v>
                </c:pt>
                <c:pt idx="102">
                  <c:v>213.95</c:v>
                </c:pt>
                <c:pt idx="103">
                  <c:v>212.07</c:v>
                </c:pt>
                <c:pt idx="104">
                  <c:v>216.63</c:v>
                </c:pt>
                <c:pt idx="105">
                  <c:v>222.28</c:v>
                </c:pt>
                <c:pt idx="106">
                  <c:v>212.67</c:v>
                </c:pt>
                <c:pt idx="107">
                  <c:v>206.26</c:v>
                </c:pt>
                <c:pt idx="108">
                  <c:v>197.9</c:v>
                </c:pt>
                <c:pt idx="109">
                  <c:v>192.22</c:v>
                </c:pt>
                <c:pt idx="110">
                  <c:v>185.06</c:v>
                </c:pt>
                <c:pt idx="111">
                  <c:v>188.81</c:v>
                </c:pt>
                <c:pt idx="112">
                  <c:v>186.36</c:v>
                </c:pt>
                <c:pt idx="113">
                  <c:v>187.75</c:v>
                </c:pt>
                <c:pt idx="114">
                  <c:v>165.95</c:v>
                </c:pt>
                <c:pt idx="115">
                  <c:v>163.74</c:v>
                </c:pt>
                <c:pt idx="116">
                  <c:v>173.01</c:v>
                </c:pt>
                <c:pt idx="117">
                  <c:v>158.63</c:v>
                </c:pt>
                <c:pt idx="118">
                  <c:v>159.18</c:v>
                </c:pt>
                <c:pt idx="119">
                  <c:v>154.04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A0-48C4-91AE-C3B60E3A4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047663"/>
        <c:axId val="491048623"/>
      </c:lineChart>
      <c:catAx>
        <c:axId val="49104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48623"/>
        <c:crosses val="autoZero"/>
        <c:auto val="1"/>
        <c:lblAlgn val="ctr"/>
        <c:lblOffset val="100"/>
        <c:noMultiLvlLbl val="0"/>
      </c:catAx>
      <c:valAx>
        <c:axId val="49104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4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SPY vs MCD - Last 10 Years - Price Movements</a:t>
            </a:r>
          </a:p>
          <a:p>
            <a:pPr>
              <a:defRPr/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source:  Factset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'SPY&amp;BETA'!$B$3</c:f>
              <c:strCache>
                <c:ptCount val="1"/>
                <c:pt idx="0">
                  <c:v>SPY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'SPY&amp;BETA'!$B$4:$B$123</c:f>
              <c:numCache>
                <c:formatCode>#,##0.00</c:formatCode>
                <c:ptCount val="120"/>
                <c:pt idx="0">
                  <c:v>559.39</c:v>
                </c:pt>
                <c:pt idx="1">
                  <c:v>594.17999999999995</c:v>
                </c:pt>
                <c:pt idx="2">
                  <c:v>601.82000000000005</c:v>
                </c:pt>
                <c:pt idx="3">
                  <c:v>586.08000000000004</c:v>
                </c:pt>
                <c:pt idx="4">
                  <c:v>602.54999999999995</c:v>
                </c:pt>
                <c:pt idx="5">
                  <c:v>568.64</c:v>
                </c:pt>
                <c:pt idx="6">
                  <c:v>573.76</c:v>
                </c:pt>
                <c:pt idx="7">
                  <c:v>563.67999999999995</c:v>
                </c:pt>
                <c:pt idx="8">
                  <c:v>550.80999999999995</c:v>
                </c:pt>
                <c:pt idx="9">
                  <c:v>544.22</c:v>
                </c:pt>
                <c:pt idx="10">
                  <c:v>527.37</c:v>
                </c:pt>
                <c:pt idx="11">
                  <c:v>501.98</c:v>
                </c:pt>
                <c:pt idx="12">
                  <c:v>523.07000000000005</c:v>
                </c:pt>
                <c:pt idx="13">
                  <c:v>508.08</c:v>
                </c:pt>
                <c:pt idx="14">
                  <c:v>482.88</c:v>
                </c:pt>
                <c:pt idx="15">
                  <c:v>475.31</c:v>
                </c:pt>
                <c:pt idx="16">
                  <c:v>456.4</c:v>
                </c:pt>
                <c:pt idx="17">
                  <c:v>418.2</c:v>
                </c:pt>
                <c:pt idx="18">
                  <c:v>427.48</c:v>
                </c:pt>
                <c:pt idx="19">
                  <c:v>450.35</c:v>
                </c:pt>
                <c:pt idx="20">
                  <c:v>457.79</c:v>
                </c:pt>
                <c:pt idx="21">
                  <c:v>443.28</c:v>
                </c:pt>
                <c:pt idx="22">
                  <c:v>417.85</c:v>
                </c:pt>
                <c:pt idx="23">
                  <c:v>415.93</c:v>
                </c:pt>
                <c:pt idx="24">
                  <c:v>409.39</c:v>
                </c:pt>
                <c:pt idx="25">
                  <c:v>396.26</c:v>
                </c:pt>
                <c:pt idx="26">
                  <c:v>406.48</c:v>
                </c:pt>
                <c:pt idx="27">
                  <c:v>382.43</c:v>
                </c:pt>
                <c:pt idx="28">
                  <c:v>407.68</c:v>
                </c:pt>
                <c:pt idx="29">
                  <c:v>386.21</c:v>
                </c:pt>
                <c:pt idx="30">
                  <c:v>357.18</c:v>
                </c:pt>
                <c:pt idx="31">
                  <c:v>395.18</c:v>
                </c:pt>
                <c:pt idx="32">
                  <c:v>411.99</c:v>
                </c:pt>
                <c:pt idx="33">
                  <c:v>377.25</c:v>
                </c:pt>
                <c:pt idx="34">
                  <c:v>412.93</c:v>
                </c:pt>
                <c:pt idx="35">
                  <c:v>412</c:v>
                </c:pt>
                <c:pt idx="36">
                  <c:v>451.64</c:v>
                </c:pt>
                <c:pt idx="37">
                  <c:v>436.63</c:v>
                </c:pt>
                <c:pt idx="38">
                  <c:v>449.91</c:v>
                </c:pt>
                <c:pt idx="39">
                  <c:v>474.96</c:v>
                </c:pt>
                <c:pt idx="40">
                  <c:v>455.56</c:v>
                </c:pt>
                <c:pt idx="41">
                  <c:v>459.25</c:v>
                </c:pt>
                <c:pt idx="42">
                  <c:v>429.14</c:v>
                </c:pt>
                <c:pt idx="43">
                  <c:v>451.56</c:v>
                </c:pt>
                <c:pt idx="44">
                  <c:v>438.51</c:v>
                </c:pt>
                <c:pt idx="45">
                  <c:v>428.06</c:v>
                </c:pt>
                <c:pt idx="46">
                  <c:v>420.04</c:v>
                </c:pt>
                <c:pt idx="47">
                  <c:v>417.3</c:v>
                </c:pt>
                <c:pt idx="48">
                  <c:v>396.33</c:v>
                </c:pt>
                <c:pt idx="49">
                  <c:v>380.36</c:v>
                </c:pt>
                <c:pt idx="50">
                  <c:v>370.07</c:v>
                </c:pt>
                <c:pt idx="51">
                  <c:v>373.88</c:v>
                </c:pt>
                <c:pt idx="52">
                  <c:v>362.06</c:v>
                </c:pt>
                <c:pt idx="53">
                  <c:v>326.54000000000002</c:v>
                </c:pt>
                <c:pt idx="54">
                  <c:v>334.89</c:v>
                </c:pt>
                <c:pt idx="55">
                  <c:v>349.31</c:v>
                </c:pt>
                <c:pt idx="56">
                  <c:v>326.52</c:v>
                </c:pt>
                <c:pt idx="57">
                  <c:v>308.36</c:v>
                </c:pt>
                <c:pt idx="58">
                  <c:v>304.32</c:v>
                </c:pt>
                <c:pt idx="59">
                  <c:v>290.48</c:v>
                </c:pt>
                <c:pt idx="60">
                  <c:v>257.75</c:v>
                </c:pt>
                <c:pt idx="61">
                  <c:v>296.26</c:v>
                </c:pt>
                <c:pt idx="62">
                  <c:v>321.73</c:v>
                </c:pt>
                <c:pt idx="63">
                  <c:v>321.86</c:v>
                </c:pt>
                <c:pt idx="64">
                  <c:v>314.31</c:v>
                </c:pt>
                <c:pt idx="65">
                  <c:v>303.33</c:v>
                </c:pt>
                <c:pt idx="66">
                  <c:v>296.77</c:v>
                </c:pt>
                <c:pt idx="67">
                  <c:v>292.45</c:v>
                </c:pt>
                <c:pt idx="68">
                  <c:v>297.43</c:v>
                </c:pt>
                <c:pt idx="69">
                  <c:v>293</c:v>
                </c:pt>
                <c:pt idx="70">
                  <c:v>275.27</c:v>
                </c:pt>
                <c:pt idx="71">
                  <c:v>294.02</c:v>
                </c:pt>
                <c:pt idx="72">
                  <c:v>282.48</c:v>
                </c:pt>
                <c:pt idx="73">
                  <c:v>278.68</c:v>
                </c:pt>
                <c:pt idx="74">
                  <c:v>269.93</c:v>
                </c:pt>
                <c:pt idx="75">
                  <c:v>249.92</c:v>
                </c:pt>
                <c:pt idx="76">
                  <c:v>275.64999999999998</c:v>
                </c:pt>
                <c:pt idx="77">
                  <c:v>270.63</c:v>
                </c:pt>
                <c:pt idx="78">
                  <c:v>290.72000000000003</c:v>
                </c:pt>
                <c:pt idx="79">
                  <c:v>290.31</c:v>
                </c:pt>
                <c:pt idx="80">
                  <c:v>281.33</c:v>
                </c:pt>
                <c:pt idx="81">
                  <c:v>271.27999999999997</c:v>
                </c:pt>
                <c:pt idx="82">
                  <c:v>270.94</c:v>
                </c:pt>
                <c:pt idx="83">
                  <c:v>264.51</c:v>
                </c:pt>
                <c:pt idx="84">
                  <c:v>263.14999999999998</c:v>
                </c:pt>
                <c:pt idx="85">
                  <c:v>271.64999999999998</c:v>
                </c:pt>
                <c:pt idx="86">
                  <c:v>281.89999999999998</c:v>
                </c:pt>
                <c:pt idx="87">
                  <c:v>266.86</c:v>
                </c:pt>
                <c:pt idx="88">
                  <c:v>265.01</c:v>
                </c:pt>
                <c:pt idx="89">
                  <c:v>257.14999999999998</c:v>
                </c:pt>
                <c:pt idx="90">
                  <c:v>251.23</c:v>
                </c:pt>
                <c:pt idx="91">
                  <c:v>247.49</c:v>
                </c:pt>
                <c:pt idx="92">
                  <c:v>246.77</c:v>
                </c:pt>
                <c:pt idx="93">
                  <c:v>241.8</c:v>
                </c:pt>
                <c:pt idx="94">
                  <c:v>241.44</c:v>
                </c:pt>
                <c:pt idx="95">
                  <c:v>238.08</c:v>
                </c:pt>
                <c:pt idx="96">
                  <c:v>235.74</c:v>
                </c:pt>
                <c:pt idx="97">
                  <c:v>236.47</c:v>
                </c:pt>
                <c:pt idx="98">
                  <c:v>227.53</c:v>
                </c:pt>
                <c:pt idx="99">
                  <c:v>223.53</c:v>
                </c:pt>
                <c:pt idx="100">
                  <c:v>220.38</c:v>
                </c:pt>
                <c:pt idx="101">
                  <c:v>212.55</c:v>
                </c:pt>
                <c:pt idx="102">
                  <c:v>216.3</c:v>
                </c:pt>
                <c:pt idx="103">
                  <c:v>217.38</c:v>
                </c:pt>
                <c:pt idx="104">
                  <c:v>217.12</c:v>
                </c:pt>
                <c:pt idx="105">
                  <c:v>209.47499999999999</c:v>
                </c:pt>
                <c:pt idx="106">
                  <c:v>209.84</c:v>
                </c:pt>
                <c:pt idx="107">
                  <c:v>206.33080000000001</c:v>
                </c:pt>
                <c:pt idx="108">
                  <c:v>205.52</c:v>
                </c:pt>
                <c:pt idx="109">
                  <c:v>193.56</c:v>
                </c:pt>
                <c:pt idx="110">
                  <c:v>193.7208</c:v>
                </c:pt>
                <c:pt idx="111">
                  <c:v>203.87</c:v>
                </c:pt>
                <c:pt idx="112">
                  <c:v>208.69</c:v>
                </c:pt>
                <c:pt idx="113">
                  <c:v>207.93</c:v>
                </c:pt>
                <c:pt idx="114">
                  <c:v>191.63</c:v>
                </c:pt>
                <c:pt idx="115">
                  <c:v>197.67</c:v>
                </c:pt>
                <c:pt idx="116">
                  <c:v>210.5</c:v>
                </c:pt>
                <c:pt idx="117">
                  <c:v>205.85</c:v>
                </c:pt>
                <c:pt idx="118">
                  <c:v>211.14</c:v>
                </c:pt>
                <c:pt idx="119">
                  <c:v>208.46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60-4F28-A626-7A559A89C84D}"/>
            </c:ext>
          </c:extLst>
        </c:ser>
        <c:ser>
          <c:idx val="1"/>
          <c:order val="1"/>
          <c:tx>
            <c:strRef>
              <c:f>'SPY&amp;BETA'!$D$3</c:f>
              <c:strCache>
                <c:ptCount val="1"/>
                <c:pt idx="0">
                  <c:v>MCD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'SPY&amp;BETA'!$D$4:$D$123</c:f>
              <c:numCache>
                <c:formatCode>#,##0.00</c:formatCode>
                <c:ptCount val="120"/>
                <c:pt idx="0">
                  <c:v>312.37</c:v>
                </c:pt>
                <c:pt idx="1">
                  <c:v>308.33</c:v>
                </c:pt>
                <c:pt idx="2">
                  <c:v>288.7</c:v>
                </c:pt>
                <c:pt idx="3">
                  <c:v>289.89</c:v>
                </c:pt>
                <c:pt idx="4">
                  <c:v>296.01</c:v>
                </c:pt>
                <c:pt idx="5">
                  <c:v>292.11</c:v>
                </c:pt>
                <c:pt idx="6">
                  <c:v>304.51</c:v>
                </c:pt>
                <c:pt idx="7">
                  <c:v>288.66000000000003</c:v>
                </c:pt>
                <c:pt idx="8">
                  <c:v>265.39999999999998</c:v>
                </c:pt>
                <c:pt idx="9">
                  <c:v>254.84</c:v>
                </c:pt>
                <c:pt idx="10">
                  <c:v>258.89</c:v>
                </c:pt>
                <c:pt idx="11">
                  <c:v>273.04000000000002</c:v>
                </c:pt>
                <c:pt idx="12">
                  <c:v>281.95</c:v>
                </c:pt>
                <c:pt idx="13">
                  <c:v>292.27999999999997</c:v>
                </c:pt>
                <c:pt idx="14">
                  <c:v>292.72000000000003</c:v>
                </c:pt>
                <c:pt idx="15">
                  <c:v>296.51</c:v>
                </c:pt>
                <c:pt idx="16">
                  <c:v>281.83999999999997</c:v>
                </c:pt>
                <c:pt idx="17">
                  <c:v>262.17</c:v>
                </c:pt>
                <c:pt idx="18">
                  <c:v>263.44</c:v>
                </c:pt>
                <c:pt idx="19">
                  <c:v>281.14999999999998</c:v>
                </c:pt>
                <c:pt idx="20">
                  <c:v>293.2</c:v>
                </c:pt>
                <c:pt idx="21">
                  <c:v>298.41000000000003</c:v>
                </c:pt>
                <c:pt idx="22">
                  <c:v>285.11</c:v>
                </c:pt>
                <c:pt idx="23">
                  <c:v>295.75</c:v>
                </c:pt>
                <c:pt idx="24">
                  <c:v>279.61</c:v>
                </c:pt>
                <c:pt idx="25">
                  <c:v>263.91000000000003</c:v>
                </c:pt>
                <c:pt idx="26">
                  <c:v>267.39999999999998</c:v>
                </c:pt>
                <c:pt idx="27">
                  <c:v>263.52999999999997</c:v>
                </c:pt>
                <c:pt idx="28">
                  <c:v>272.79000000000002</c:v>
                </c:pt>
                <c:pt idx="29">
                  <c:v>272.66000000000003</c:v>
                </c:pt>
                <c:pt idx="30">
                  <c:v>230.74</c:v>
                </c:pt>
                <c:pt idx="31">
                  <c:v>252.28</c:v>
                </c:pt>
                <c:pt idx="32">
                  <c:v>263.37</c:v>
                </c:pt>
                <c:pt idx="33">
                  <c:v>246.88</c:v>
                </c:pt>
                <c:pt idx="34">
                  <c:v>252.21</c:v>
                </c:pt>
                <c:pt idx="35">
                  <c:v>249.16</c:v>
                </c:pt>
                <c:pt idx="36">
                  <c:v>247.28</c:v>
                </c:pt>
                <c:pt idx="37">
                  <c:v>244.77</c:v>
                </c:pt>
                <c:pt idx="38">
                  <c:v>259.45</c:v>
                </c:pt>
                <c:pt idx="39">
                  <c:v>268.07</c:v>
                </c:pt>
                <c:pt idx="40">
                  <c:v>244.6</c:v>
                </c:pt>
                <c:pt idx="41">
                  <c:v>245.55</c:v>
                </c:pt>
                <c:pt idx="42">
                  <c:v>241.11</c:v>
                </c:pt>
                <c:pt idx="43">
                  <c:v>237.46</c:v>
                </c:pt>
                <c:pt idx="44">
                  <c:v>242.71</c:v>
                </c:pt>
                <c:pt idx="45">
                  <c:v>230.99</c:v>
                </c:pt>
                <c:pt idx="46">
                  <c:v>233.89</c:v>
                </c:pt>
                <c:pt idx="47">
                  <c:v>236.08</c:v>
                </c:pt>
                <c:pt idx="48">
                  <c:v>224.14</c:v>
                </c:pt>
                <c:pt idx="49">
                  <c:v>206.14</c:v>
                </c:pt>
                <c:pt idx="50">
                  <c:v>207.84</c:v>
                </c:pt>
                <c:pt idx="51">
                  <c:v>214.58</c:v>
                </c:pt>
                <c:pt idx="52">
                  <c:v>217.44</c:v>
                </c:pt>
                <c:pt idx="53">
                  <c:v>213</c:v>
                </c:pt>
                <c:pt idx="54">
                  <c:v>219.49</c:v>
                </c:pt>
                <c:pt idx="55">
                  <c:v>213.52</c:v>
                </c:pt>
                <c:pt idx="56">
                  <c:v>194.28</c:v>
                </c:pt>
                <c:pt idx="57">
                  <c:v>184.47</c:v>
                </c:pt>
                <c:pt idx="58">
                  <c:v>186.32</c:v>
                </c:pt>
                <c:pt idx="59">
                  <c:v>187.56</c:v>
                </c:pt>
                <c:pt idx="60">
                  <c:v>165.35</c:v>
                </c:pt>
                <c:pt idx="61">
                  <c:v>194.17</c:v>
                </c:pt>
                <c:pt idx="62">
                  <c:v>213.97</c:v>
                </c:pt>
                <c:pt idx="63">
                  <c:v>197.61</c:v>
                </c:pt>
                <c:pt idx="64">
                  <c:v>194.48</c:v>
                </c:pt>
                <c:pt idx="65">
                  <c:v>196.7</c:v>
                </c:pt>
                <c:pt idx="66">
                  <c:v>214.71</c:v>
                </c:pt>
                <c:pt idx="67">
                  <c:v>217.97</c:v>
                </c:pt>
                <c:pt idx="68">
                  <c:v>210.72</c:v>
                </c:pt>
                <c:pt idx="69">
                  <c:v>207.66</c:v>
                </c:pt>
                <c:pt idx="70">
                  <c:v>198.27</c:v>
                </c:pt>
                <c:pt idx="71">
                  <c:v>197.57</c:v>
                </c:pt>
                <c:pt idx="72">
                  <c:v>189.9</c:v>
                </c:pt>
                <c:pt idx="73">
                  <c:v>183.84</c:v>
                </c:pt>
                <c:pt idx="74">
                  <c:v>178.78</c:v>
                </c:pt>
                <c:pt idx="75">
                  <c:v>177.57</c:v>
                </c:pt>
                <c:pt idx="76">
                  <c:v>188.51</c:v>
                </c:pt>
                <c:pt idx="77">
                  <c:v>176.9</c:v>
                </c:pt>
                <c:pt idx="78">
                  <c:v>167.29</c:v>
                </c:pt>
                <c:pt idx="79">
                  <c:v>162.22999999999999</c:v>
                </c:pt>
                <c:pt idx="80">
                  <c:v>157.54</c:v>
                </c:pt>
                <c:pt idx="81">
                  <c:v>156.69</c:v>
                </c:pt>
                <c:pt idx="82">
                  <c:v>160.01</c:v>
                </c:pt>
                <c:pt idx="83">
                  <c:v>167.44</c:v>
                </c:pt>
                <c:pt idx="84">
                  <c:v>156.38</c:v>
                </c:pt>
                <c:pt idx="85">
                  <c:v>157.74</c:v>
                </c:pt>
                <c:pt idx="86">
                  <c:v>171.14</c:v>
                </c:pt>
                <c:pt idx="87">
                  <c:v>172.12</c:v>
                </c:pt>
                <c:pt idx="88">
                  <c:v>171.97</c:v>
                </c:pt>
                <c:pt idx="89">
                  <c:v>166.91</c:v>
                </c:pt>
                <c:pt idx="90">
                  <c:v>156.68</c:v>
                </c:pt>
                <c:pt idx="91">
                  <c:v>159.97</c:v>
                </c:pt>
                <c:pt idx="92">
                  <c:v>155.13999999999999</c:v>
                </c:pt>
                <c:pt idx="93">
                  <c:v>153.16</c:v>
                </c:pt>
                <c:pt idx="94">
                  <c:v>150.88999999999999</c:v>
                </c:pt>
                <c:pt idx="95">
                  <c:v>139.93</c:v>
                </c:pt>
                <c:pt idx="96">
                  <c:v>129.61000000000001</c:v>
                </c:pt>
                <c:pt idx="97">
                  <c:v>127.65</c:v>
                </c:pt>
                <c:pt idx="98">
                  <c:v>122.57</c:v>
                </c:pt>
                <c:pt idx="99">
                  <c:v>121.72</c:v>
                </c:pt>
                <c:pt idx="100">
                  <c:v>119.27</c:v>
                </c:pt>
                <c:pt idx="101">
                  <c:v>112.57</c:v>
                </c:pt>
                <c:pt idx="102">
                  <c:v>115.36</c:v>
                </c:pt>
                <c:pt idx="103">
                  <c:v>115.66</c:v>
                </c:pt>
                <c:pt idx="104">
                  <c:v>117.65</c:v>
                </c:pt>
                <c:pt idx="105">
                  <c:v>120.34</c:v>
                </c:pt>
                <c:pt idx="106">
                  <c:v>122.06</c:v>
                </c:pt>
                <c:pt idx="107">
                  <c:v>126.49</c:v>
                </c:pt>
                <c:pt idx="108">
                  <c:v>125.68</c:v>
                </c:pt>
                <c:pt idx="109">
                  <c:v>117.19</c:v>
                </c:pt>
                <c:pt idx="110">
                  <c:v>123.78</c:v>
                </c:pt>
                <c:pt idx="111">
                  <c:v>118.14</c:v>
                </c:pt>
                <c:pt idx="112">
                  <c:v>114.16</c:v>
                </c:pt>
                <c:pt idx="113">
                  <c:v>112.25</c:v>
                </c:pt>
                <c:pt idx="114">
                  <c:v>98.53</c:v>
                </c:pt>
                <c:pt idx="115">
                  <c:v>95.02</c:v>
                </c:pt>
                <c:pt idx="116">
                  <c:v>99.86</c:v>
                </c:pt>
                <c:pt idx="117">
                  <c:v>95.07</c:v>
                </c:pt>
                <c:pt idx="118">
                  <c:v>95.93</c:v>
                </c:pt>
                <c:pt idx="119">
                  <c:v>96.55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60-4F28-A626-7A559A89C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997743"/>
        <c:axId val="909000623"/>
      </c:lineChart>
      <c:catAx>
        <c:axId val="908997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000623"/>
        <c:crosses val="autoZero"/>
        <c:auto val="1"/>
        <c:lblAlgn val="ctr"/>
        <c:lblOffset val="100"/>
        <c:noMultiLvlLbl val="0"/>
      </c:catAx>
      <c:valAx>
        <c:axId val="90900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99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NOC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7281651947449057E-2"/>
                  <c:y val="-0.4121835620956678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 algn="ctr" rtl="0">
                      <a:defRPr sz="7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y = 0.4423x + 0.0079</a:t>
                    </a:r>
                  </a:p>
                  <a:p>
                    <a:pPr algn="ctr" rtl="0">
                      <a:defRPr/>
                    </a:pPr>
                    <a:r>
                      <a:rPr lang="en-US"/>
                      <a:t>R² = 0.1049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sz="7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'SPY&amp;BETA'!$F$4:$F$122</c:f>
              <c:numCache>
                <c:formatCode>0.00%</c:formatCode>
                <c:ptCount val="119"/>
                <c:pt idx="0">
                  <c:v>-5.8551280756673041E-2</c:v>
                </c:pt>
                <c:pt idx="1">
                  <c:v>-1.2694825695390821E-2</c:v>
                </c:pt>
                <c:pt idx="2">
                  <c:v>2.6856401856401924E-2</c:v>
                </c:pt>
                <c:pt idx="3">
                  <c:v>-2.7333831217326243E-2</c:v>
                </c:pt>
                <c:pt idx="4">
                  <c:v>5.9633511536297146E-2</c:v>
                </c:pt>
                <c:pt idx="5">
                  <c:v>-8.9235917456776948E-3</c:v>
                </c:pt>
                <c:pt idx="6">
                  <c:v>1.7882486517172946E-2</c:v>
                </c:pt>
                <c:pt idx="7">
                  <c:v>2.3365588860042585E-2</c:v>
                </c:pt>
                <c:pt idx="8">
                  <c:v>1.2109073536437309E-2</c:v>
                </c:pt>
                <c:pt idx="9">
                  <c:v>3.1951002142708296E-2</c:v>
                </c:pt>
                <c:pt idx="10">
                  <c:v>5.0579704370691925E-2</c:v>
                </c:pt>
                <c:pt idx="11">
                  <c:v>-4.0319651289502434E-2</c:v>
                </c:pt>
                <c:pt idx="12">
                  <c:v>2.9503227838135748E-2</c:v>
                </c:pt>
                <c:pt idx="13">
                  <c:v>5.2186878727634278E-2</c:v>
                </c:pt>
                <c:pt idx="14">
                  <c:v>1.592644800235643E-2</c:v>
                </c:pt>
                <c:pt idx="15">
                  <c:v>4.1432953549517926E-2</c:v>
                </c:pt>
                <c:pt idx="16">
                  <c:v>9.1343854615016706E-2</c:v>
                </c:pt>
                <c:pt idx="17">
                  <c:v>-2.1708617947038489E-2</c:v>
                </c:pt>
                <c:pt idx="18">
                  <c:v>-5.0782724547574154E-2</c:v>
                </c:pt>
                <c:pt idx="19">
                  <c:v>-1.6251993272024312E-2</c:v>
                </c:pt>
                <c:pt idx="20">
                  <c:v>3.2733261144197945E-2</c:v>
                </c:pt>
                <c:pt idx="21">
                  <c:v>6.0859159985640732E-2</c:v>
                </c:pt>
                <c:pt idx="22">
                  <c:v>4.6161613733080031E-3</c:v>
                </c:pt>
                <c:pt idx="23">
                  <c:v>1.5974987176042399E-2</c:v>
                </c:pt>
                <c:pt idx="24">
                  <c:v>3.3134810477968957E-2</c:v>
                </c:pt>
                <c:pt idx="25">
                  <c:v>-2.514268844715617E-2</c:v>
                </c:pt>
                <c:pt idx="26">
                  <c:v>6.2887325785111026E-2</c:v>
                </c:pt>
                <c:pt idx="27">
                  <c:v>-6.1935832025117765E-2</c:v>
                </c:pt>
                <c:pt idx="28">
                  <c:v>5.5591517568162496E-2</c:v>
                </c:pt>
                <c:pt idx="29">
                  <c:v>8.1275547343076182E-2</c:v>
                </c:pt>
                <c:pt idx="30">
                  <c:v>-9.6158712485449716E-2</c:v>
                </c:pt>
                <c:pt idx="31">
                  <c:v>-4.0801961212650784E-2</c:v>
                </c:pt>
                <c:pt idx="32">
                  <c:v>9.2087475149105424E-2</c:v>
                </c:pt>
                <c:pt idx="33">
                  <c:v>-8.6406897052769271E-2</c:v>
                </c:pt>
                <c:pt idx="34">
                  <c:v>2.257281553398105E-3</c:v>
                </c:pt>
                <c:pt idx="35">
                  <c:v>-8.776901957311134E-2</c:v>
                </c:pt>
                <c:pt idx="36">
                  <c:v>3.4376932414172057E-2</c:v>
                </c:pt>
                <c:pt idx="37">
                  <c:v>-2.9517014514014006E-2</c:v>
                </c:pt>
                <c:pt idx="38">
                  <c:v>-5.2741283476503198E-2</c:v>
                </c:pt>
                <c:pt idx="39">
                  <c:v>4.2584950390727849E-2</c:v>
                </c:pt>
                <c:pt idx="40">
                  <c:v>-8.0348394120849376E-3</c:v>
                </c:pt>
                <c:pt idx="41">
                  <c:v>7.016358297991343E-2</c:v>
                </c:pt>
                <c:pt idx="42">
                  <c:v>-4.9650101869076146E-2</c:v>
                </c:pt>
                <c:pt idx="43">
                  <c:v>2.9759868646097143E-2</c:v>
                </c:pt>
                <c:pt idx="44">
                  <c:v>2.4412465542213768E-2</c:v>
                </c:pt>
                <c:pt idx="45">
                  <c:v>1.9093419674316658E-2</c:v>
                </c:pt>
                <c:pt idx="46">
                  <c:v>6.5660196501318158E-3</c:v>
                </c:pt>
                <c:pt idx="47">
                  <c:v>5.2910453410037084E-2</c:v>
                </c:pt>
                <c:pt idx="48">
                  <c:v>4.1986539068251005E-2</c:v>
                </c:pt>
                <c:pt idx="49">
                  <c:v>2.7805550301294391E-2</c:v>
                </c:pt>
                <c:pt idx="50">
                  <c:v>-1.0190435433829026E-2</c:v>
                </c:pt>
                <c:pt idx="51">
                  <c:v>3.2646522675799483E-2</c:v>
                </c:pt>
                <c:pt idx="52">
                  <c:v>0.10877687266491076</c:v>
                </c:pt>
                <c:pt idx="53">
                  <c:v>-2.4933560273522559E-2</c:v>
                </c:pt>
                <c:pt idx="54">
                  <c:v>-4.1281383298502838E-2</c:v>
                </c:pt>
                <c:pt idx="55">
                  <c:v>6.9796643390910296E-2</c:v>
                </c:pt>
                <c:pt idx="56">
                  <c:v>5.8892203917498831E-2</c:v>
                </c:pt>
                <c:pt idx="57">
                  <c:v>1.3275499474237673E-2</c:v>
                </c:pt>
                <c:pt idx="58">
                  <c:v>4.7645276783255142E-2</c:v>
                </c:pt>
                <c:pt idx="59">
                  <c:v>0.12698351115421924</c:v>
                </c:pt>
                <c:pt idx="60">
                  <c:v>-0.129987173428745</c:v>
                </c:pt>
                <c:pt idx="61">
                  <c:v>-7.9165760109408567E-2</c:v>
                </c:pt>
                <c:pt idx="62">
                  <c:v>-4.0390231777787111E-4</c:v>
                </c:pt>
                <c:pt idx="63">
                  <c:v>2.4020871114504905E-2</c:v>
                </c:pt>
                <c:pt idx="64">
                  <c:v>3.619819998021967E-2</c:v>
                </c:pt>
                <c:pt idx="65">
                  <c:v>2.2104660174546042E-2</c:v>
                </c:pt>
                <c:pt idx="66">
                  <c:v>1.4771755855701896E-2</c:v>
                </c:pt>
                <c:pt idx="67">
                  <c:v>-1.6743435430185305E-2</c:v>
                </c:pt>
                <c:pt idx="68">
                  <c:v>1.511945392491465E-2</c:v>
                </c:pt>
                <c:pt idx="69">
                  <c:v>6.4409488865477593E-2</c:v>
                </c:pt>
                <c:pt idx="70">
                  <c:v>-6.3771172029113643E-2</c:v>
                </c:pt>
                <c:pt idx="71">
                  <c:v>4.0852449730954365E-2</c:v>
                </c:pt>
                <c:pt idx="72">
                  <c:v>1.3635711209990076E-2</c:v>
                </c:pt>
                <c:pt idx="73">
                  <c:v>3.241581150668682E-2</c:v>
                </c:pt>
                <c:pt idx="74">
                  <c:v>8.0065620998719611E-2</c:v>
                </c:pt>
                <c:pt idx="75">
                  <c:v>-9.3343007436967107E-2</c:v>
                </c:pt>
                <c:pt idx="76">
                  <c:v>1.8549310867235658E-2</c:v>
                </c:pt>
                <c:pt idx="77">
                  <c:v>-6.9104292790313826E-2</c:v>
                </c:pt>
                <c:pt idx="78">
                  <c:v>1.4122834211705015E-3</c:v>
                </c:pt>
                <c:pt idx="79">
                  <c:v>3.1919809476415706E-2</c:v>
                </c:pt>
                <c:pt idx="80">
                  <c:v>3.7046593925095905E-2</c:v>
                </c:pt>
                <c:pt idx="81">
                  <c:v>1.2548903816342882E-3</c:v>
                </c:pt>
                <c:pt idx="82">
                  <c:v>2.4309099844996407E-2</c:v>
                </c:pt>
                <c:pt idx="83">
                  <c:v>5.1681550446514013E-3</c:v>
                </c:pt>
                <c:pt idx="84">
                  <c:v>-3.1290263206331659E-2</c:v>
                </c:pt>
                <c:pt idx="85">
                  <c:v>-3.6360411493437383E-2</c:v>
                </c:pt>
                <c:pt idx="86">
                  <c:v>5.6359139623772592E-2</c:v>
                </c:pt>
                <c:pt idx="87">
                  <c:v>6.9808686464662983E-3</c:v>
                </c:pt>
                <c:pt idx="88">
                  <c:v>3.0565817616177382E-2</c:v>
                </c:pt>
                <c:pt idx="89">
                  <c:v>2.356406480117812E-2</c:v>
                </c:pt>
                <c:pt idx="90">
                  <c:v>1.5111721685724611E-2</c:v>
                </c:pt>
                <c:pt idx="91">
                  <c:v>2.9176966405966009E-3</c:v>
                </c:pt>
                <c:pt idx="92">
                  <c:v>2.0554177005789986E-2</c:v>
                </c:pt>
                <c:pt idx="93">
                  <c:v>1.4910536779324524E-3</c:v>
                </c:pt>
                <c:pt idx="94">
                  <c:v>1.4112903225806495E-2</c:v>
                </c:pt>
                <c:pt idx="95">
                  <c:v>9.9261898701958895E-3</c:v>
                </c:pt>
                <c:pt idx="96">
                  <c:v>-3.0870723559013324E-3</c:v>
                </c:pt>
                <c:pt idx="97">
                  <c:v>3.9291521997099288E-2</c:v>
                </c:pt>
                <c:pt idx="98">
                  <c:v>1.7894689750816539E-2</c:v>
                </c:pt>
                <c:pt idx="99">
                  <c:v>1.4293493057446316E-2</c:v>
                </c:pt>
                <c:pt idx="100">
                  <c:v>3.683839096683128E-2</c:v>
                </c:pt>
                <c:pt idx="101">
                  <c:v>-1.7337031900138689E-2</c:v>
                </c:pt>
                <c:pt idx="102">
                  <c:v>-4.9682583494341515E-3</c:v>
                </c:pt>
                <c:pt idx="103">
                  <c:v>1.1974944731023562E-3</c:v>
                </c:pt>
                <c:pt idx="104">
                  <c:v>3.6496001909535725E-2</c:v>
                </c:pt>
                <c:pt idx="105">
                  <c:v>-1.7394205108655081E-3</c:v>
                </c:pt>
                <c:pt idx="106">
                  <c:v>1.7007640158425152E-2</c:v>
                </c:pt>
                <c:pt idx="107">
                  <c:v>3.9451148306735018E-3</c:v>
                </c:pt>
                <c:pt idx="108">
                  <c:v>6.1789625955775973E-2</c:v>
                </c:pt>
                <c:pt idx="109">
                  <c:v>-8.3006058203349831E-4</c:v>
                </c:pt>
                <c:pt idx="110">
                  <c:v>-4.9782704664737332E-2</c:v>
                </c:pt>
                <c:pt idx="111">
                  <c:v>-2.3096458862427505E-2</c:v>
                </c:pt>
                <c:pt idx="112">
                  <c:v>3.655076227576437E-3</c:v>
                </c:pt>
                <c:pt idx="113">
                  <c:v>8.5059750560976921E-2</c:v>
                </c:pt>
                <c:pt idx="114">
                  <c:v>-3.0555977133606471E-2</c:v>
                </c:pt>
                <c:pt idx="115">
                  <c:v>-6.0950118764845684E-2</c:v>
                </c:pt>
                <c:pt idx="116">
                  <c:v>2.2589264027204292E-2</c:v>
                </c:pt>
                <c:pt idx="117">
                  <c:v>-2.5054466230936767E-2</c:v>
                </c:pt>
                <c:pt idx="118">
                  <c:v>1.2856183440468127E-2</c:v>
                </c:pt>
              </c:numCache>
            </c:numRef>
          </c:xVal>
          <c:yVal>
            <c:numRef>
              <c:f>'SPY&amp;BETA'!$G$4:$G$122</c:f>
              <c:numCache>
                <c:formatCode>0.00%</c:formatCode>
                <c:ptCount val="119"/>
                <c:pt idx="0">
                  <c:v>0.10887079308701852</c:v>
                </c:pt>
                <c:pt idx="1">
                  <c:v>-5.2393949966137776E-2</c:v>
                </c:pt>
                <c:pt idx="2">
                  <c:v>3.8313196530929572E-2</c:v>
                </c:pt>
                <c:pt idx="3">
                  <c:v>-4.1580720923108272E-2</c:v>
                </c:pt>
                <c:pt idx="4">
                  <c:v>-3.8053514596675941E-2</c:v>
                </c:pt>
                <c:pt idx="5">
                  <c:v>-3.6074762815535899E-2</c:v>
                </c:pt>
                <c:pt idx="6">
                  <c:v>9.2888132872077644E-3</c:v>
                </c:pt>
                <c:pt idx="7">
                  <c:v>8.0298149983482059E-2</c:v>
                </c:pt>
                <c:pt idx="8">
                  <c:v>0.1109530909507972</c:v>
                </c:pt>
                <c:pt idx="9">
                  <c:v>-3.287707700157505E-2</c:v>
                </c:pt>
                <c:pt idx="10">
                  <c:v>-7.0634806094468372E-2</c:v>
                </c:pt>
                <c:pt idx="11">
                  <c:v>1.3307984790874361E-2</c:v>
                </c:pt>
                <c:pt idx="12">
                  <c:v>3.8262982083206998E-2</c:v>
                </c:pt>
                <c:pt idx="13">
                  <c:v>3.1918703554481231E-2</c:v>
                </c:pt>
                <c:pt idx="14">
                  <c:v>-4.567009868842653E-2</c:v>
                </c:pt>
                <c:pt idx="15">
                  <c:v>-1.4773970872969167E-2</c:v>
                </c:pt>
                <c:pt idx="16">
                  <c:v>7.9120972360691155E-3</c:v>
                </c:pt>
                <c:pt idx="17">
                  <c:v>7.0969354142529362E-2</c:v>
                </c:pt>
                <c:pt idx="18">
                  <c:v>1.6393821145720411E-2</c:v>
                </c:pt>
                <c:pt idx="19">
                  <c:v>-2.6764044943820231E-2</c:v>
                </c:pt>
                <c:pt idx="20">
                  <c:v>-2.3694602896007E-2</c:v>
                </c:pt>
                <c:pt idx="21">
                  <c:v>4.6637121403476645E-2</c:v>
                </c:pt>
                <c:pt idx="22">
                  <c:v>-5.5889175537104041E-2</c:v>
                </c:pt>
                <c:pt idx="23">
                  <c:v>-9.7461665078413251E-4</c:v>
                </c:pt>
                <c:pt idx="24">
                  <c:v>-5.1496412488418741E-3</c:v>
                </c:pt>
                <c:pt idx="25">
                  <c:v>3.5867333273814861E-2</c:v>
                </c:pt>
                <c:pt idx="26">
                  <c:v>-0.17882736753358619</c:v>
                </c:pt>
                <c:pt idx="27">
                  <c:v>2.3101877027508655E-2</c:v>
                </c:pt>
                <c:pt idx="28">
                  <c:v>-2.863335822662616E-2</c:v>
                </c:pt>
                <c:pt idx="29">
                  <c:v>0.16731161762204461</c:v>
                </c:pt>
                <c:pt idx="30">
                  <c:v>-1.6046360802527304E-2</c:v>
                </c:pt>
                <c:pt idx="31">
                  <c:v>-1.9001879306743685E-3</c:v>
                </c:pt>
                <c:pt idx="32">
                  <c:v>6.8955429717698635E-4</c:v>
                </c:pt>
                <c:pt idx="33">
                  <c:v>2.2651024638331352E-2</c:v>
                </c:pt>
                <c:pt idx="34">
                  <c:v>6.5020482476103814E-2</c:v>
                </c:pt>
                <c:pt idx="35">
                  <c:v>-1.7485801171682969E-2</c:v>
                </c:pt>
                <c:pt idx="36">
                  <c:v>1.1489573438277612E-2</c:v>
                </c:pt>
                <c:pt idx="37">
                  <c:v>0.19529602595296036</c:v>
                </c:pt>
                <c:pt idx="38">
                  <c:v>-4.4358901490686442E-2</c:v>
                </c:pt>
                <c:pt idx="39">
                  <c:v>0.10971903669724759</c:v>
                </c:pt>
                <c:pt idx="40">
                  <c:v>-2.3570908683724356E-2</c:v>
                </c:pt>
                <c:pt idx="41">
                  <c:v>-8.1354990975980312E-3</c:v>
                </c:pt>
                <c:pt idx="42">
                  <c:v>-2.0533043241773186E-2</c:v>
                </c:pt>
                <c:pt idx="43">
                  <c:v>1.2891851688612288E-2</c:v>
                </c:pt>
                <c:pt idx="44">
                  <c:v>-1.1281402195746359E-3</c:v>
                </c:pt>
                <c:pt idx="45">
                  <c:v>-6.6690354497499493E-3</c:v>
                </c:pt>
                <c:pt idx="46">
                  <c:v>3.2248053267125654E-2</c:v>
                </c:pt>
                <c:pt idx="47">
                  <c:v>9.5167470028426626E-2</c:v>
                </c:pt>
                <c:pt idx="48">
                  <c:v>0.10964822053075474</c:v>
                </c:pt>
                <c:pt idx="49">
                  <c:v>1.7619762045985921E-2</c:v>
                </c:pt>
                <c:pt idx="50">
                  <c:v>-5.9431609346285108E-2</c:v>
                </c:pt>
                <c:pt idx="51">
                  <c:v>8.1386885462848557E-3</c:v>
                </c:pt>
                <c:pt idx="52">
                  <c:v>4.2923193706438489E-2</c:v>
                </c:pt>
                <c:pt idx="53">
                  <c:v>-8.1365494944372285E-2</c:v>
                </c:pt>
                <c:pt idx="54">
                  <c:v>-7.9157059046729539E-2</c:v>
                </c:pt>
                <c:pt idx="55">
                  <c:v>5.4152179932925204E-2</c:v>
                </c:pt>
                <c:pt idx="56">
                  <c:v>5.7149362477231236E-2</c:v>
                </c:pt>
                <c:pt idx="57">
                  <c:v>-8.2816229116945084E-2</c:v>
                </c:pt>
                <c:pt idx="58">
                  <c:v>1.3699458674811593E-2</c:v>
                </c:pt>
                <c:pt idx="59">
                  <c:v>9.2943315154520034E-2</c:v>
                </c:pt>
                <c:pt idx="60">
                  <c:v>-7.9947694927624324E-2</c:v>
                </c:pt>
                <c:pt idx="61">
                  <c:v>-0.12208665936941032</c:v>
                </c:pt>
                <c:pt idx="62">
                  <c:v>8.8961246620344658E-2</c:v>
                </c:pt>
                <c:pt idx="63">
                  <c:v>-2.2173579327401272E-2</c:v>
                </c:pt>
                <c:pt idx="64">
                  <c:v>-2.0142986836133581E-3</c:v>
                </c:pt>
                <c:pt idx="65">
                  <c:v>-5.9526668267563143E-2</c:v>
                </c:pt>
                <c:pt idx="66">
                  <c:v>1.8810993013836486E-2</c:v>
                </c:pt>
                <c:pt idx="67">
                  <c:v>6.4531064617877831E-2</c:v>
                </c:pt>
                <c:pt idx="68">
                  <c:v>6.9511930921357878E-2</c:v>
                </c:pt>
                <c:pt idx="69">
                  <c:v>6.5490519373454292E-2</c:v>
                </c:pt>
                <c:pt idx="70">
                  <c:v>4.6014280293884324E-2</c:v>
                </c:pt>
                <c:pt idx="71">
                  <c:v>7.5333827893174998E-2</c:v>
                </c:pt>
                <c:pt idx="72">
                  <c:v>-7.021658159746158E-2</c:v>
                </c:pt>
                <c:pt idx="73">
                  <c:v>5.2295409181636554E-2</c:v>
                </c:pt>
                <c:pt idx="74">
                  <c:v>0.12515312372396892</c:v>
                </c:pt>
                <c:pt idx="75">
                  <c:v>-5.7641988610127703E-2</c:v>
                </c:pt>
                <c:pt idx="76">
                  <c:v>-7.9022714258446536E-3</c:v>
                </c:pt>
                <c:pt idx="77">
                  <c:v>-0.17462268015250348</c:v>
                </c:pt>
                <c:pt idx="78">
                  <c:v>6.3251700224463026E-2</c:v>
                </c:pt>
                <c:pt idx="79">
                  <c:v>-6.6557955339612285E-3</c:v>
                </c:pt>
                <c:pt idx="80">
                  <c:v>-2.3431914202144855E-2</c:v>
                </c:pt>
                <c:pt idx="81">
                  <c:v>-5.974025974025976E-2</c:v>
                </c:pt>
                <c:pt idx="82">
                  <c:v>1.6178114519935338E-2</c:v>
                </c:pt>
                <c:pt idx="83">
                  <c:v>-7.7566452795600371E-2</c:v>
                </c:pt>
                <c:pt idx="84">
                  <c:v>-2.6282710547366195E-3</c:v>
                </c:pt>
                <c:pt idx="85">
                  <c:v>2.7927054885032332E-2</c:v>
                </c:pt>
                <c:pt idx="86">
                  <c:v>0.1095435143853245</c:v>
                </c:pt>
                <c:pt idx="87">
                  <c:v>-1.5940143135977358E-3</c:v>
                </c:pt>
                <c:pt idx="88">
                  <c:v>4.0165127059858641E-2</c:v>
                </c:pt>
                <c:pt idx="89">
                  <c:v>2.7144445989155885E-2</c:v>
                </c:pt>
                <c:pt idx="90">
                  <c:v>5.6978068403071402E-2</c:v>
                </c:pt>
                <c:pt idx="91">
                  <c:v>3.4507657811728043E-2</c:v>
                </c:pt>
                <c:pt idx="92">
                  <c:v>2.500876475400271E-2</c:v>
                </c:pt>
                <c:pt idx="93">
                  <c:v>-9.6828948383613778E-3</c:v>
                </c:pt>
                <c:pt idx="94">
                  <c:v>5.3911205073995827E-2</c:v>
                </c:pt>
                <c:pt idx="95">
                  <c:v>3.4140598721829729E-2</c:v>
                </c:pt>
                <c:pt idx="96">
                  <c:v>-3.7435752155085211E-2</c:v>
                </c:pt>
                <c:pt idx="97">
                  <c:v>7.8618823118561165E-2</c:v>
                </c:pt>
                <c:pt idx="98">
                  <c:v>-1.5048585432969275E-2</c:v>
                </c:pt>
                <c:pt idx="99">
                  <c:v>-6.8375726016422944E-2</c:v>
                </c:pt>
                <c:pt idx="100">
                  <c:v>9.0174672489083063E-2</c:v>
                </c:pt>
                <c:pt idx="101">
                  <c:v>7.0343538209862277E-2</c:v>
                </c:pt>
                <c:pt idx="102">
                  <c:v>8.8649974065166948E-3</c:v>
                </c:pt>
                <c:pt idx="103">
                  <c:v>-2.1049716105802529E-2</c:v>
                </c:pt>
                <c:pt idx="104">
                  <c:v>-2.5418391218283265E-2</c:v>
                </c:pt>
                <c:pt idx="105">
                  <c:v>4.5187379508158321E-2</c:v>
                </c:pt>
                <c:pt idx="106">
                  <c:v>3.1077281101522303E-2</c:v>
                </c:pt>
                <c:pt idx="107">
                  <c:v>4.224355735219798E-2</c:v>
                </c:pt>
                <c:pt idx="108">
                  <c:v>2.9549474560399469E-2</c:v>
                </c:pt>
                <c:pt idx="109">
                  <c:v>3.8690154544472E-2</c:v>
                </c:pt>
                <c:pt idx="110">
                  <c:v>-1.9861236163338791E-2</c:v>
                </c:pt>
                <c:pt idx="111">
                  <c:v>1.3146597982399699E-2</c:v>
                </c:pt>
                <c:pt idx="112">
                  <c:v>-7.4034620505991633E-3</c:v>
                </c:pt>
                <c:pt idx="113">
                  <c:v>0.13136486893642663</c:v>
                </c:pt>
                <c:pt idx="114">
                  <c:v>1.3497007450836485E-2</c:v>
                </c:pt>
                <c:pt idx="115">
                  <c:v>-5.3580717877579231E-2</c:v>
                </c:pt>
                <c:pt idx="116">
                  <c:v>9.0651200907772678E-2</c:v>
                </c:pt>
                <c:pt idx="117">
                  <c:v>-3.4552079406960923E-3</c:v>
                </c:pt>
                <c:pt idx="118">
                  <c:v>3.3367956374967589E-2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99-45FA-92B8-71B6C2F67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690239"/>
        <c:axId val="1303688319"/>
      </c:scatterChart>
      <c:valAx>
        <c:axId val="130369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688319"/>
        <c:crosses val="autoZero"/>
        <c:crossBetween val="midCat"/>
      </c:valAx>
      <c:valAx>
        <c:axId val="130368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69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MCD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0829770034064496E-2"/>
                  <c:y val="-0.313880869058034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'SPY&amp;BETA'!$F$4:$F$122</c:f>
              <c:numCache>
                <c:formatCode>0.00%</c:formatCode>
                <c:ptCount val="119"/>
                <c:pt idx="0">
                  <c:v>-5.8551280756673041E-2</c:v>
                </c:pt>
                <c:pt idx="1">
                  <c:v>-1.2694825695390821E-2</c:v>
                </c:pt>
                <c:pt idx="2">
                  <c:v>2.6856401856401924E-2</c:v>
                </c:pt>
                <c:pt idx="3">
                  <c:v>-2.7333831217326243E-2</c:v>
                </c:pt>
                <c:pt idx="4">
                  <c:v>5.9633511536297146E-2</c:v>
                </c:pt>
                <c:pt idx="5">
                  <c:v>-8.9235917456776948E-3</c:v>
                </c:pt>
                <c:pt idx="6">
                  <c:v>1.7882486517172946E-2</c:v>
                </c:pt>
                <c:pt idx="7">
                  <c:v>2.3365588860042585E-2</c:v>
                </c:pt>
                <c:pt idx="8">
                  <c:v>1.2109073536437309E-2</c:v>
                </c:pt>
                <c:pt idx="9">
                  <c:v>3.1951002142708296E-2</c:v>
                </c:pt>
                <c:pt idx="10">
                  <c:v>5.0579704370691925E-2</c:v>
                </c:pt>
                <c:pt idx="11">
                  <c:v>-4.0319651289502434E-2</c:v>
                </c:pt>
                <c:pt idx="12">
                  <c:v>2.9503227838135748E-2</c:v>
                </c:pt>
                <c:pt idx="13">
                  <c:v>5.2186878727634278E-2</c:v>
                </c:pt>
                <c:pt idx="14">
                  <c:v>1.592644800235643E-2</c:v>
                </c:pt>
                <c:pt idx="15">
                  <c:v>4.1432953549517926E-2</c:v>
                </c:pt>
                <c:pt idx="16">
                  <c:v>9.1343854615016706E-2</c:v>
                </c:pt>
                <c:pt idx="17">
                  <c:v>-2.1708617947038489E-2</c:v>
                </c:pt>
                <c:pt idx="18">
                  <c:v>-5.0782724547574154E-2</c:v>
                </c:pt>
                <c:pt idx="19">
                  <c:v>-1.6251993272024312E-2</c:v>
                </c:pt>
                <c:pt idx="20">
                  <c:v>3.2733261144197945E-2</c:v>
                </c:pt>
                <c:pt idx="21">
                  <c:v>6.0859159985640732E-2</c:v>
                </c:pt>
                <c:pt idx="22">
                  <c:v>4.6161613733080031E-3</c:v>
                </c:pt>
                <c:pt idx="23">
                  <c:v>1.5974987176042399E-2</c:v>
                </c:pt>
                <c:pt idx="24">
                  <c:v>3.3134810477968957E-2</c:v>
                </c:pt>
                <c:pt idx="25">
                  <c:v>-2.514268844715617E-2</c:v>
                </c:pt>
                <c:pt idx="26">
                  <c:v>6.2887325785111026E-2</c:v>
                </c:pt>
                <c:pt idx="27">
                  <c:v>-6.1935832025117765E-2</c:v>
                </c:pt>
                <c:pt idx="28">
                  <c:v>5.5591517568162496E-2</c:v>
                </c:pt>
                <c:pt idx="29">
                  <c:v>8.1275547343076182E-2</c:v>
                </c:pt>
                <c:pt idx="30">
                  <c:v>-9.6158712485449716E-2</c:v>
                </c:pt>
                <c:pt idx="31">
                  <c:v>-4.0801961212650784E-2</c:v>
                </c:pt>
                <c:pt idx="32">
                  <c:v>9.2087475149105424E-2</c:v>
                </c:pt>
                <c:pt idx="33">
                  <c:v>-8.6406897052769271E-2</c:v>
                </c:pt>
                <c:pt idx="34">
                  <c:v>2.257281553398105E-3</c:v>
                </c:pt>
                <c:pt idx="35">
                  <c:v>-8.776901957311134E-2</c:v>
                </c:pt>
                <c:pt idx="36">
                  <c:v>3.4376932414172057E-2</c:v>
                </c:pt>
                <c:pt idx="37">
                  <c:v>-2.9517014514014006E-2</c:v>
                </c:pt>
                <c:pt idx="38">
                  <c:v>-5.2741283476503198E-2</c:v>
                </c:pt>
                <c:pt idx="39">
                  <c:v>4.2584950390727849E-2</c:v>
                </c:pt>
                <c:pt idx="40">
                  <c:v>-8.0348394120849376E-3</c:v>
                </c:pt>
                <c:pt idx="41">
                  <c:v>7.016358297991343E-2</c:v>
                </c:pt>
                <c:pt idx="42">
                  <c:v>-4.9650101869076146E-2</c:v>
                </c:pt>
                <c:pt idx="43">
                  <c:v>2.9759868646097143E-2</c:v>
                </c:pt>
                <c:pt idx="44">
                  <c:v>2.4412465542213768E-2</c:v>
                </c:pt>
                <c:pt idx="45">
                  <c:v>1.9093419674316658E-2</c:v>
                </c:pt>
                <c:pt idx="46">
                  <c:v>6.5660196501318158E-3</c:v>
                </c:pt>
                <c:pt idx="47">
                  <c:v>5.2910453410037084E-2</c:v>
                </c:pt>
                <c:pt idx="48">
                  <c:v>4.1986539068251005E-2</c:v>
                </c:pt>
                <c:pt idx="49">
                  <c:v>2.7805550301294391E-2</c:v>
                </c:pt>
                <c:pt idx="50">
                  <c:v>-1.0190435433829026E-2</c:v>
                </c:pt>
                <c:pt idx="51">
                  <c:v>3.2646522675799483E-2</c:v>
                </c:pt>
                <c:pt idx="52">
                  <c:v>0.10877687266491076</c:v>
                </c:pt>
                <c:pt idx="53">
                  <c:v>-2.4933560273522559E-2</c:v>
                </c:pt>
                <c:pt idx="54">
                  <c:v>-4.1281383298502838E-2</c:v>
                </c:pt>
                <c:pt idx="55">
                  <c:v>6.9796643390910296E-2</c:v>
                </c:pt>
                <c:pt idx="56">
                  <c:v>5.8892203917498831E-2</c:v>
                </c:pt>
                <c:pt idx="57">
                  <c:v>1.3275499474237673E-2</c:v>
                </c:pt>
                <c:pt idx="58">
                  <c:v>4.7645276783255142E-2</c:v>
                </c:pt>
                <c:pt idx="59">
                  <c:v>0.12698351115421924</c:v>
                </c:pt>
                <c:pt idx="60">
                  <c:v>-0.129987173428745</c:v>
                </c:pt>
                <c:pt idx="61">
                  <c:v>-7.9165760109408567E-2</c:v>
                </c:pt>
                <c:pt idx="62">
                  <c:v>-4.0390231777787111E-4</c:v>
                </c:pt>
                <c:pt idx="63">
                  <c:v>2.4020871114504905E-2</c:v>
                </c:pt>
                <c:pt idx="64">
                  <c:v>3.619819998021967E-2</c:v>
                </c:pt>
                <c:pt idx="65">
                  <c:v>2.2104660174546042E-2</c:v>
                </c:pt>
                <c:pt idx="66">
                  <c:v>1.4771755855701896E-2</c:v>
                </c:pt>
                <c:pt idx="67">
                  <c:v>-1.6743435430185305E-2</c:v>
                </c:pt>
                <c:pt idx="68">
                  <c:v>1.511945392491465E-2</c:v>
                </c:pt>
                <c:pt idx="69">
                  <c:v>6.4409488865477593E-2</c:v>
                </c:pt>
                <c:pt idx="70">
                  <c:v>-6.3771172029113643E-2</c:v>
                </c:pt>
                <c:pt idx="71">
                  <c:v>4.0852449730954365E-2</c:v>
                </c:pt>
                <c:pt idx="72">
                  <c:v>1.3635711209990076E-2</c:v>
                </c:pt>
                <c:pt idx="73">
                  <c:v>3.241581150668682E-2</c:v>
                </c:pt>
                <c:pt idx="74">
                  <c:v>8.0065620998719611E-2</c:v>
                </c:pt>
                <c:pt idx="75">
                  <c:v>-9.3343007436967107E-2</c:v>
                </c:pt>
                <c:pt idx="76">
                  <c:v>1.8549310867235658E-2</c:v>
                </c:pt>
                <c:pt idx="77">
                  <c:v>-6.9104292790313826E-2</c:v>
                </c:pt>
                <c:pt idx="78">
                  <c:v>1.4122834211705015E-3</c:v>
                </c:pt>
                <c:pt idx="79">
                  <c:v>3.1919809476415706E-2</c:v>
                </c:pt>
                <c:pt idx="80">
                  <c:v>3.7046593925095905E-2</c:v>
                </c:pt>
                <c:pt idx="81">
                  <c:v>1.2548903816342882E-3</c:v>
                </c:pt>
                <c:pt idx="82">
                  <c:v>2.4309099844996407E-2</c:v>
                </c:pt>
                <c:pt idx="83">
                  <c:v>5.1681550446514013E-3</c:v>
                </c:pt>
                <c:pt idx="84">
                  <c:v>-3.1290263206331659E-2</c:v>
                </c:pt>
                <c:pt idx="85">
                  <c:v>-3.6360411493437383E-2</c:v>
                </c:pt>
                <c:pt idx="86">
                  <c:v>5.6359139623772592E-2</c:v>
                </c:pt>
                <c:pt idx="87">
                  <c:v>6.9808686464662983E-3</c:v>
                </c:pt>
                <c:pt idx="88">
                  <c:v>3.0565817616177382E-2</c:v>
                </c:pt>
                <c:pt idx="89">
                  <c:v>2.356406480117812E-2</c:v>
                </c:pt>
                <c:pt idx="90">
                  <c:v>1.5111721685724611E-2</c:v>
                </c:pt>
                <c:pt idx="91">
                  <c:v>2.9176966405966009E-3</c:v>
                </c:pt>
                <c:pt idx="92">
                  <c:v>2.0554177005789986E-2</c:v>
                </c:pt>
                <c:pt idx="93">
                  <c:v>1.4910536779324524E-3</c:v>
                </c:pt>
                <c:pt idx="94">
                  <c:v>1.4112903225806495E-2</c:v>
                </c:pt>
                <c:pt idx="95">
                  <c:v>9.9261898701958895E-3</c:v>
                </c:pt>
                <c:pt idx="96">
                  <c:v>-3.0870723559013324E-3</c:v>
                </c:pt>
                <c:pt idx="97">
                  <c:v>3.9291521997099288E-2</c:v>
                </c:pt>
                <c:pt idx="98">
                  <c:v>1.7894689750816539E-2</c:v>
                </c:pt>
                <c:pt idx="99">
                  <c:v>1.4293493057446316E-2</c:v>
                </c:pt>
                <c:pt idx="100">
                  <c:v>3.683839096683128E-2</c:v>
                </c:pt>
                <c:pt idx="101">
                  <c:v>-1.7337031900138689E-2</c:v>
                </c:pt>
                <c:pt idx="102">
                  <c:v>-4.9682583494341515E-3</c:v>
                </c:pt>
                <c:pt idx="103">
                  <c:v>1.1974944731023562E-3</c:v>
                </c:pt>
                <c:pt idx="104">
                  <c:v>3.6496001909535725E-2</c:v>
                </c:pt>
                <c:pt idx="105">
                  <c:v>-1.7394205108655081E-3</c:v>
                </c:pt>
                <c:pt idx="106">
                  <c:v>1.7007640158425152E-2</c:v>
                </c:pt>
                <c:pt idx="107">
                  <c:v>3.9451148306735018E-3</c:v>
                </c:pt>
                <c:pt idx="108">
                  <c:v>6.1789625955775973E-2</c:v>
                </c:pt>
                <c:pt idx="109">
                  <c:v>-8.3006058203349831E-4</c:v>
                </c:pt>
                <c:pt idx="110">
                  <c:v>-4.9782704664737332E-2</c:v>
                </c:pt>
                <c:pt idx="111">
                  <c:v>-2.3096458862427505E-2</c:v>
                </c:pt>
                <c:pt idx="112">
                  <c:v>3.655076227576437E-3</c:v>
                </c:pt>
                <c:pt idx="113">
                  <c:v>8.5059750560976921E-2</c:v>
                </c:pt>
                <c:pt idx="114">
                  <c:v>-3.0555977133606471E-2</c:v>
                </c:pt>
                <c:pt idx="115">
                  <c:v>-6.0950118764845684E-2</c:v>
                </c:pt>
                <c:pt idx="116">
                  <c:v>2.2589264027204292E-2</c:v>
                </c:pt>
                <c:pt idx="117">
                  <c:v>-2.5054466230936767E-2</c:v>
                </c:pt>
                <c:pt idx="118">
                  <c:v>1.2856183440468127E-2</c:v>
                </c:pt>
              </c:numCache>
            </c:numRef>
          </c:xVal>
          <c:yVal>
            <c:numRef>
              <c:f>'SPY&amp;BETA'!$H$4:$H$122</c:f>
              <c:numCache>
                <c:formatCode>0.00%</c:formatCode>
                <c:ptCount val="119"/>
                <c:pt idx="0">
                  <c:v>1.310284435507425E-2</c:v>
                </c:pt>
                <c:pt idx="1">
                  <c:v>6.7994457914790418E-2</c:v>
                </c:pt>
                <c:pt idx="2">
                  <c:v>-4.1050053468556502E-3</c:v>
                </c:pt>
                <c:pt idx="3">
                  <c:v>-2.0674977196716293E-2</c:v>
                </c:pt>
                <c:pt idx="4">
                  <c:v>1.3351134846461887E-2</c:v>
                </c:pt>
                <c:pt idx="5">
                  <c:v>-4.0721158582640915E-2</c:v>
                </c:pt>
                <c:pt idx="6">
                  <c:v>5.4908889350793189E-2</c:v>
                </c:pt>
                <c:pt idx="7">
                  <c:v>8.7641296156744763E-2</c:v>
                </c:pt>
                <c:pt idx="8">
                  <c:v>4.143776487207651E-2</c:v>
                </c:pt>
                <c:pt idx="9">
                  <c:v>-1.5643709683649365E-2</c:v>
                </c:pt>
                <c:pt idx="10">
                  <c:v>-5.1823908584822886E-2</c:v>
                </c:pt>
                <c:pt idx="11">
                  <c:v>-3.160134775669432E-2</c:v>
                </c:pt>
                <c:pt idx="12">
                  <c:v>-3.5342821951553249E-2</c:v>
                </c:pt>
                <c:pt idx="13">
                  <c:v>-1.5031429352283521E-3</c:v>
                </c:pt>
                <c:pt idx="14">
                  <c:v>-1.2782030960169832E-2</c:v>
                </c:pt>
                <c:pt idx="15">
                  <c:v>5.2050808969628326E-2</c:v>
                </c:pt>
                <c:pt idx="16">
                  <c:v>7.5027653812411721E-2</c:v>
                </c:pt>
                <c:pt idx="17">
                  <c:v>-4.8208320680229733E-3</c:v>
                </c:pt>
                <c:pt idx="18">
                  <c:v>-6.2991285790503171E-2</c:v>
                </c:pt>
                <c:pt idx="19">
                  <c:v>-4.1098226466575793E-2</c:v>
                </c:pt>
                <c:pt idx="20">
                  <c:v>-1.7459200428940225E-2</c:v>
                </c:pt>
                <c:pt idx="21">
                  <c:v>4.6648661919960865E-2</c:v>
                </c:pt>
                <c:pt idx="22">
                  <c:v>-3.5976331360946689E-2</c:v>
                </c:pt>
                <c:pt idx="23">
                  <c:v>5.7723257394227678E-2</c:v>
                </c:pt>
                <c:pt idx="24">
                  <c:v>5.9489977643893743E-2</c:v>
                </c:pt>
                <c:pt idx="25">
                  <c:v>-1.3051608077785937E-2</c:v>
                </c:pt>
                <c:pt idx="26">
                  <c:v>1.4685235077600334E-2</c:v>
                </c:pt>
                <c:pt idx="27">
                  <c:v>-3.3945525862385195E-2</c:v>
                </c:pt>
                <c:pt idx="28">
                  <c:v>4.7678427345410057E-4</c:v>
                </c:pt>
                <c:pt idx="29">
                  <c:v>0.18167634567045154</c:v>
                </c:pt>
                <c:pt idx="30">
                  <c:v>-8.538132234025686E-2</c:v>
                </c:pt>
                <c:pt idx="31">
                  <c:v>-4.2108060902912303E-2</c:v>
                </c:pt>
                <c:pt idx="32">
                  <c:v>6.679358392741408E-2</c:v>
                </c:pt>
                <c:pt idx="33">
                  <c:v>-2.1133182665239336E-2</c:v>
                </c:pt>
                <c:pt idx="34">
                  <c:v>1.2241130197463423E-2</c:v>
                </c:pt>
                <c:pt idx="35">
                  <c:v>7.6027175671302683E-3</c:v>
                </c:pt>
                <c:pt idx="36">
                  <c:v>1.0254524655799235E-2</c:v>
                </c:pt>
                <c:pt idx="37">
                  <c:v>-5.6581229523993026E-2</c:v>
                </c:pt>
                <c:pt idx="38">
                  <c:v>-3.2155780206662432E-2</c:v>
                </c:pt>
                <c:pt idx="39">
                  <c:v>9.5952575633687642E-2</c:v>
                </c:pt>
                <c:pt idx="40">
                  <c:v>-3.8688658114437446E-3</c:v>
                </c:pt>
                <c:pt idx="41">
                  <c:v>1.8414831404752974E-2</c:v>
                </c:pt>
                <c:pt idx="42">
                  <c:v>1.5371009854291184E-2</c:v>
                </c:pt>
                <c:pt idx="43">
                  <c:v>-2.1630752750195659E-2</c:v>
                </c:pt>
                <c:pt idx="44">
                  <c:v>5.0738127191653382E-2</c:v>
                </c:pt>
                <c:pt idx="45">
                  <c:v>-1.2398990978665037E-2</c:v>
                </c:pt>
                <c:pt idx="46">
                  <c:v>-9.2765164351068519E-3</c:v>
                </c:pt>
                <c:pt idx="47">
                  <c:v>5.3270277505130803E-2</c:v>
                </c:pt>
                <c:pt idx="48">
                  <c:v>8.7319297564761866E-2</c:v>
                </c:pt>
                <c:pt idx="49">
                  <c:v>-8.1793687451886532E-3</c:v>
                </c:pt>
                <c:pt idx="50">
                  <c:v>-3.1410196663249179E-2</c:v>
                </c:pt>
                <c:pt idx="51">
                  <c:v>-1.3153053715967533E-2</c:v>
                </c:pt>
                <c:pt idx="52">
                  <c:v>2.0845070422535139E-2</c:v>
                </c:pt>
                <c:pt idx="53">
                  <c:v>-2.9568545264021195E-2</c:v>
                </c:pt>
                <c:pt idx="54">
                  <c:v>2.7959910078681149E-2</c:v>
                </c:pt>
                <c:pt idx="55">
                  <c:v>9.9032324480131884E-2</c:v>
                </c:pt>
                <c:pt idx="56">
                  <c:v>5.3179378760774165E-2</c:v>
                </c:pt>
                <c:pt idx="57">
                  <c:v>-9.9291541434091135E-3</c:v>
                </c:pt>
                <c:pt idx="58">
                  <c:v>-6.6112177436553621E-3</c:v>
                </c:pt>
                <c:pt idx="59">
                  <c:v>0.13432113698215908</c:v>
                </c:pt>
                <c:pt idx="60">
                  <c:v>-0.14842663645259302</c:v>
                </c:pt>
                <c:pt idx="61">
                  <c:v>-9.2536336869654678E-2</c:v>
                </c:pt>
                <c:pt idx="62">
                  <c:v>8.2789332523657722E-2</c:v>
                </c:pt>
                <c:pt idx="63">
                  <c:v>1.6094199917729535E-2</c:v>
                </c:pt>
                <c:pt idx="64">
                  <c:v>-1.1286222674123048E-2</c:v>
                </c:pt>
                <c:pt idx="65">
                  <c:v>-8.3880583112104778E-2</c:v>
                </c:pt>
                <c:pt idx="66">
                  <c:v>-1.4956186631187696E-2</c:v>
                </c:pt>
                <c:pt idx="67">
                  <c:v>3.4405846621108571E-2</c:v>
                </c:pt>
                <c:pt idx="68">
                  <c:v>1.4735625541751007E-2</c:v>
                </c:pt>
                <c:pt idx="69">
                  <c:v>4.73596610682403E-2</c:v>
                </c:pt>
                <c:pt idx="70">
                  <c:v>3.543048033608498E-3</c:v>
                </c:pt>
                <c:pt idx="71">
                  <c:v>4.0389678778304239E-2</c:v>
                </c:pt>
                <c:pt idx="72">
                  <c:v>3.2963446475195779E-2</c:v>
                </c:pt>
                <c:pt idx="73">
                  <c:v>2.8302942163553002E-2</c:v>
                </c:pt>
                <c:pt idx="74">
                  <c:v>6.814214112744299E-3</c:v>
                </c:pt>
                <c:pt idx="75">
                  <c:v>-5.8034056548724178E-2</c:v>
                </c:pt>
                <c:pt idx="76">
                  <c:v>6.5630299604296116E-2</c:v>
                </c:pt>
                <c:pt idx="77">
                  <c:v>5.7445155119851821E-2</c:v>
                </c:pt>
                <c:pt idx="78">
                  <c:v>3.1190285397275419E-2</c:v>
                </c:pt>
                <c:pt idx="79">
                  <c:v>2.9770217087723649E-2</c:v>
                </c:pt>
                <c:pt idx="80">
                  <c:v>5.4247239772799993E-3</c:v>
                </c:pt>
                <c:pt idx="81">
                  <c:v>-2.0748703206049601E-2</c:v>
                </c:pt>
                <c:pt idx="82">
                  <c:v>-4.4374104156712946E-2</c:v>
                </c:pt>
                <c:pt idx="83">
                  <c:v>7.0725156669650957E-2</c:v>
                </c:pt>
                <c:pt idx="84">
                  <c:v>-8.6217826803601794E-3</c:v>
                </c:pt>
                <c:pt idx="85">
                  <c:v>-7.8298469089634115E-2</c:v>
                </c:pt>
                <c:pt idx="86">
                  <c:v>-5.6937020683245354E-3</c:v>
                </c:pt>
                <c:pt idx="87">
                  <c:v>8.7224515903949751E-4</c:v>
                </c:pt>
                <c:pt idx="88">
                  <c:v>3.0315739021029353E-2</c:v>
                </c:pt>
                <c:pt idx="89">
                  <c:v>6.5292315547612834E-2</c:v>
                </c:pt>
                <c:pt idx="90">
                  <c:v>-2.0566356191785928E-2</c:v>
                </c:pt>
                <c:pt idx="91">
                  <c:v>3.1133170039963964E-2</c:v>
                </c:pt>
                <c:pt idx="92">
                  <c:v>1.2927657351788913E-2</c:v>
                </c:pt>
                <c:pt idx="93">
                  <c:v>1.5044071840413675E-2</c:v>
                </c:pt>
                <c:pt idx="94">
                  <c:v>7.8324876724076065E-2</c:v>
                </c:pt>
                <c:pt idx="95">
                  <c:v>7.962348584214185E-2</c:v>
                </c:pt>
                <c:pt idx="96">
                  <c:v>1.5354484919702482E-2</c:v>
                </c:pt>
                <c:pt idx="97">
                  <c:v>4.1445704495390423E-2</c:v>
                </c:pt>
                <c:pt idx="98">
                  <c:v>6.9832402234637492E-3</c:v>
                </c:pt>
                <c:pt idx="99">
                  <c:v>2.0541628238450516E-2</c:v>
                </c:pt>
                <c:pt idx="100">
                  <c:v>5.9518521808652469E-2</c:v>
                </c:pt>
                <c:pt idx="101">
                  <c:v>-2.4185159500693554E-2</c:v>
                </c:pt>
                <c:pt idx="102">
                  <c:v>-2.5938094414663659E-3</c:v>
                </c:pt>
                <c:pt idx="103">
                  <c:v>-1.6914577135571651E-2</c:v>
                </c:pt>
                <c:pt idx="104">
                  <c:v>-2.2353332225361511E-2</c:v>
                </c:pt>
                <c:pt idx="105">
                  <c:v>-1.4091430444043929E-2</c:v>
                </c:pt>
                <c:pt idx="106">
                  <c:v>-3.502253142540912E-2</c:v>
                </c:pt>
                <c:pt idx="107">
                  <c:v>6.4449395289623013E-3</c:v>
                </c:pt>
                <c:pt idx="108">
                  <c:v>7.2446454475638022E-2</c:v>
                </c:pt>
                <c:pt idx="109">
                  <c:v>-5.3239618678300182E-2</c:v>
                </c:pt>
                <c:pt idx="110">
                  <c:v>4.7739969527679005E-2</c:v>
                </c:pt>
                <c:pt idx="111">
                  <c:v>3.48633496846531E-2</c:v>
                </c:pt>
                <c:pt idx="112">
                  <c:v>1.7015590200445407E-2</c:v>
                </c:pt>
                <c:pt idx="113">
                  <c:v>0.1392469298690755</c:v>
                </c:pt>
                <c:pt idx="114">
                  <c:v>3.6939591664912674E-2</c:v>
                </c:pt>
                <c:pt idx="115">
                  <c:v>-4.8467854996995796E-2</c:v>
                </c:pt>
                <c:pt idx="116">
                  <c:v>5.0383927632271064E-2</c:v>
                </c:pt>
                <c:pt idx="117">
                  <c:v>-8.9648702178672934E-3</c:v>
                </c:pt>
                <c:pt idx="118">
                  <c:v>-6.4215432418435192E-3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AF-4283-ADDD-18584C8F3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15488"/>
        <c:axId val="83511168"/>
      </c:scatterChart>
      <c:valAx>
        <c:axId val="8351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11168"/>
        <c:crosses val="autoZero"/>
        <c:crossBetween val="midCat"/>
      </c:valAx>
      <c:valAx>
        <c:axId val="835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1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 Stock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'NOC&amp;MCD'!$N$24:$N$44</c:f>
              <c:numCache>
                <c:formatCode>0.00%</c:formatCode>
                <c:ptCount val="21"/>
                <c:pt idx="0">
                  <c:v>0.17107731876815929</c:v>
                </c:pt>
                <c:pt idx="1">
                  <c:v>0.16694741420059811</c:v>
                </c:pt>
                <c:pt idx="2">
                  <c:v>0.16341386741582395</c:v>
                </c:pt>
                <c:pt idx="3">
                  <c:v>0.1605160673063406</c:v>
                </c:pt>
                <c:pt idx="4">
                  <c:v>0.1582889336225296</c:v>
                </c:pt>
                <c:pt idx="5">
                  <c:v>0.15676105382201352</c:v>
                </c:pt>
                <c:pt idx="6">
                  <c:v>0.15595298114363068</c:v>
                </c:pt>
                <c:pt idx="7">
                  <c:v>0.15587591059541486</c:v>
                </c:pt>
                <c:pt idx="8">
                  <c:v>0.15653092194349533</c:v>
                </c:pt>
                <c:pt idx="9">
                  <c:v>0.15790890535108607</c:v>
                </c:pt>
                <c:pt idx="10">
                  <c:v>0.15999118131335427</c:v>
                </c:pt>
                <c:pt idx="11">
                  <c:v>0.1627507193565475</c:v>
                </c:pt>
                <c:pt idx="12">
                  <c:v>0.16615377831476341</c:v>
                </c:pt>
                <c:pt idx="13">
                  <c:v>0.17016175331030214</c:v>
                </c:pt>
                <c:pt idx="14">
                  <c:v>0.17473302313863701</c:v>
                </c:pt>
                <c:pt idx="15">
                  <c:v>0.17982463486648737</c:v>
                </c:pt>
                <c:pt idx="16">
                  <c:v>0.18539372178887367</c:v>
                </c:pt>
                <c:pt idx="17">
                  <c:v>0.19139860944312487</c:v>
                </c:pt>
                <c:pt idx="18">
                  <c:v>0.19779961111933494</c:v>
                </c:pt>
                <c:pt idx="19">
                  <c:v>0.20455954503597518</c:v>
                </c:pt>
                <c:pt idx="20">
                  <c:v>0.2116440209782855</c:v>
                </c:pt>
              </c:numCache>
            </c:numRef>
          </c:xVal>
          <c:yVal>
            <c:numRef>
              <c:f>'NOC&amp;MCD'!$O$24:$O$44</c:f>
              <c:numCache>
                <c:formatCode>0.00%</c:formatCode>
                <c:ptCount val="21"/>
                <c:pt idx="0">
                  <c:v>0.14187353972425654</c:v>
                </c:pt>
                <c:pt idx="1">
                  <c:v>0.14247663952728229</c:v>
                </c:pt>
                <c:pt idx="2">
                  <c:v>0.14308003131002933</c:v>
                </c:pt>
                <c:pt idx="3">
                  <c:v>0.14368371520099887</c:v>
                </c:pt>
                <c:pt idx="4">
                  <c:v>0.14428769132874053</c:v>
                </c:pt>
                <c:pt idx="5">
                  <c:v>0.14489195982185743</c:v>
                </c:pt>
                <c:pt idx="6">
                  <c:v>0.14549652080900133</c:v>
                </c:pt>
                <c:pt idx="7">
                  <c:v>0.14610137441887705</c:v>
                </c:pt>
                <c:pt idx="8">
                  <c:v>0.1467065207802416</c:v>
                </c:pt>
                <c:pt idx="9">
                  <c:v>0.14731196002189906</c:v>
                </c:pt>
                <c:pt idx="10">
                  <c:v>0.14791769227270235</c:v>
                </c:pt>
                <c:pt idx="11">
                  <c:v>0.14852371766156747</c:v>
                </c:pt>
                <c:pt idx="12">
                  <c:v>0.14913003631744948</c:v>
                </c:pt>
                <c:pt idx="13">
                  <c:v>0.14973664836935963</c:v>
                </c:pt>
                <c:pt idx="14">
                  <c:v>0.15034355394635868</c:v>
                </c:pt>
                <c:pt idx="15">
                  <c:v>0.15095075317755824</c:v>
                </c:pt>
                <c:pt idx="16">
                  <c:v>0.15155824619212255</c:v>
                </c:pt>
                <c:pt idx="17">
                  <c:v>0.15216603311926535</c:v>
                </c:pt>
                <c:pt idx="18">
                  <c:v>0.15277411408825303</c:v>
                </c:pt>
                <c:pt idx="19">
                  <c:v>0.15338248922839903</c:v>
                </c:pt>
                <c:pt idx="20">
                  <c:v>0.1539911586690772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89-4DEC-94B9-EEDFB4BA7FFE}"/>
            </c:ext>
          </c:extLst>
        </c:ser>
        <c:ser>
          <c:idx val="1"/>
          <c:order val="1"/>
          <c:tx>
            <c:v>SML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'NOC&amp;MCD'!$V$25:$V$36</c:f>
              <c:numCache>
                <c:formatCode>0.00%</c:formatCode>
                <c:ptCount val="12"/>
                <c:pt idx="0">
                  <c:v>0</c:v>
                </c:pt>
                <c:pt idx="1">
                  <c:v>1.5653092194349533E-2</c:v>
                </c:pt>
                <c:pt idx="2">
                  <c:v>3.1306184388699067E-2</c:v>
                </c:pt>
                <c:pt idx="3">
                  <c:v>4.6959276583048597E-2</c:v>
                </c:pt>
                <c:pt idx="4">
                  <c:v>6.2612368777398134E-2</c:v>
                </c:pt>
                <c:pt idx="5">
                  <c:v>7.8265460971747663E-2</c:v>
                </c:pt>
                <c:pt idx="6">
                  <c:v>9.3918553166097193E-2</c:v>
                </c:pt>
                <c:pt idx="7">
                  <c:v>0.10957164536044672</c:v>
                </c:pt>
                <c:pt idx="8">
                  <c:v>0.12522473755479627</c:v>
                </c:pt>
                <c:pt idx="9">
                  <c:v>0.14087782974914581</c:v>
                </c:pt>
                <c:pt idx="10">
                  <c:v>0.15653092194349533</c:v>
                </c:pt>
                <c:pt idx="11">
                  <c:v>0.31306184388699065</c:v>
                </c:pt>
              </c:numCache>
            </c:numRef>
          </c:xVal>
          <c:yVal>
            <c:numRef>
              <c:f>'NOC&amp;MCD'!$U$25:$U$36</c:f>
              <c:numCache>
                <c:formatCode>0.00%</c:formatCode>
                <c:ptCount val="12"/>
                <c:pt idx="0">
                  <c:v>4.2300000000000004E-2</c:v>
                </c:pt>
                <c:pt idx="1">
                  <c:v>5.2740652078024169E-2</c:v>
                </c:pt>
                <c:pt idx="2">
                  <c:v>6.3181304156048321E-2</c:v>
                </c:pt>
                <c:pt idx="3">
                  <c:v>7.3621956234072486E-2</c:v>
                </c:pt>
                <c:pt idx="4">
                  <c:v>8.4062608312096651E-2</c:v>
                </c:pt>
                <c:pt idx="5">
                  <c:v>9.4503260390120802E-2</c:v>
                </c:pt>
                <c:pt idx="6">
                  <c:v>0.10494391246814497</c:v>
                </c:pt>
                <c:pt idx="7">
                  <c:v>0.11538456454616912</c:v>
                </c:pt>
                <c:pt idx="8">
                  <c:v>0.1258252166241933</c:v>
                </c:pt>
                <c:pt idx="9">
                  <c:v>0.13626586870221746</c:v>
                </c:pt>
                <c:pt idx="10">
                  <c:v>0.1467065207802416</c:v>
                </c:pt>
                <c:pt idx="11">
                  <c:v>0.2511130415604832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89-4DEC-94B9-EEDFB4BA7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100464"/>
        <c:axId val="666100944"/>
      </c:scatterChart>
      <c:valAx>
        <c:axId val="666100464"/>
        <c:scaling>
          <c:orientation val="minMax"/>
          <c:max val="0.21500000000000002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100944"/>
        <c:crosses val="autoZero"/>
        <c:crossBetween val="midCat"/>
      </c:valAx>
      <c:valAx>
        <c:axId val="666100944"/>
        <c:scaling>
          <c:orientation val="minMax"/>
          <c:max val="0.15500000000000003"/>
          <c:min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10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SPY vs MCD</a:t>
            </a:r>
            <a:r>
              <a:rPr lang="en-US" sz="1400" b="1" baseline="0"/>
              <a:t> - Last 10 Years - Monthly Returns</a:t>
            </a:r>
          </a:p>
          <a:p>
            <a:pPr>
              <a:defRPr/>
            </a:pPr>
            <a:r>
              <a:rPr lang="en-US" sz="1400" b="1" baseline="0"/>
              <a:t>source:  Factset 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'SPY&amp;BETA'!$F$3</c:f>
              <c:strCache>
                <c:ptCount val="1"/>
                <c:pt idx="0">
                  <c:v>SPY 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'SPY&amp;BETA'!$F$4:$F$122</c:f>
              <c:numCache>
                <c:formatCode>0.00%</c:formatCode>
                <c:ptCount val="119"/>
                <c:pt idx="0">
                  <c:v>-5.8551280756673041E-2</c:v>
                </c:pt>
                <c:pt idx="1">
                  <c:v>-1.2694825695390821E-2</c:v>
                </c:pt>
                <c:pt idx="2">
                  <c:v>2.6856401856401924E-2</c:v>
                </c:pt>
                <c:pt idx="3">
                  <c:v>-2.7333831217326243E-2</c:v>
                </c:pt>
                <c:pt idx="4">
                  <c:v>5.9633511536297146E-2</c:v>
                </c:pt>
                <c:pt idx="5">
                  <c:v>-8.9235917456776948E-3</c:v>
                </c:pt>
                <c:pt idx="6">
                  <c:v>1.7882486517172946E-2</c:v>
                </c:pt>
                <c:pt idx="7">
                  <c:v>2.3365588860042585E-2</c:v>
                </c:pt>
                <c:pt idx="8">
                  <c:v>1.2109073536437309E-2</c:v>
                </c:pt>
                <c:pt idx="9">
                  <c:v>3.1951002142708296E-2</c:v>
                </c:pt>
                <c:pt idx="10">
                  <c:v>5.0579704370691925E-2</c:v>
                </c:pt>
                <c:pt idx="11">
                  <c:v>-4.0319651289502434E-2</c:v>
                </c:pt>
                <c:pt idx="12">
                  <c:v>2.9503227838135748E-2</c:v>
                </c:pt>
                <c:pt idx="13">
                  <c:v>5.2186878727634278E-2</c:v>
                </c:pt>
                <c:pt idx="14">
                  <c:v>1.592644800235643E-2</c:v>
                </c:pt>
                <c:pt idx="15">
                  <c:v>4.1432953549517926E-2</c:v>
                </c:pt>
                <c:pt idx="16">
                  <c:v>9.1343854615016706E-2</c:v>
                </c:pt>
                <c:pt idx="17">
                  <c:v>-2.1708617947038489E-2</c:v>
                </c:pt>
                <c:pt idx="18">
                  <c:v>-5.0782724547574154E-2</c:v>
                </c:pt>
                <c:pt idx="19">
                  <c:v>-1.6251993272024312E-2</c:v>
                </c:pt>
                <c:pt idx="20">
                  <c:v>3.2733261144197945E-2</c:v>
                </c:pt>
                <c:pt idx="21">
                  <c:v>6.0859159985640732E-2</c:v>
                </c:pt>
                <c:pt idx="22">
                  <c:v>4.6161613733080031E-3</c:v>
                </c:pt>
                <c:pt idx="23">
                  <c:v>1.5974987176042399E-2</c:v>
                </c:pt>
                <c:pt idx="24">
                  <c:v>3.3134810477968957E-2</c:v>
                </c:pt>
                <c:pt idx="25">
                  <c:v>-2.514268844715617E-2</c:v>
                </c:pt>
                <c:pt idx="26">
                  <c:v>6.2887325785111026E-2</c:v>
                </c:pt>
                <c:pt idx="27">
                  <c:v>-6.1935832025117765E-2</c:v>
                </c:pt>
                <c:pt idx="28">
                  <c:v>5.5591517568162496E-2</c:v>
                </c:pt>
                <c:pt idx="29">
                  <c:v>8.1275547343076182E-2</c:v>
                </c:pt>
                <c:pt idx="30">
                  <c:v>-9.6158712485449716E-2</c:v>
                </c:pt>
                <c:pt idx="31">
                  <c:v>-4.0801961212650784E-2</c:v>
                </c:pt>
                <c:pt idx="32">
                  <c:v>9.2087475149105424E-2</c:v>
                </c:pt>
                <c:pt idx="33">
                  <c:v>-8.6406897052769271E-2</c:v>
                </c:pt>
                <c:pt idx="34">
                  <c:v>2.257281553398105E-3</c:v>
                </c:pt>
                <c:pt idx="35">
                  <c:v>-8.776901957311134E-2</c:v>
                </c:pt>
                <c:pt idx="36">
                  <c:v>3.4376932414172057E-2</c:v>
                </c:pt>
                <c:pt idx="37">
                  <c:v>-2.9517014514014006E-2</c:v>
                </c:pt>
                <c:pt idx="38">
                  <c:v>-5.2741283476503198E-2</c:v>
                </c:pt>
                <c:pt idx="39">
                  <c:v>4.2584950390727849E-2</c:v>
                </c:pt>
                <c:pt idx="40">
                  <c:v>-8.0348394120849376E-3</c:v>
                </c:pt>
                <c:pt idx="41">
                  <c:v>7.016358297991343E-2</c:v>
                </c:pt>
                <c:pt idx="42">
                  <c:v>-4.9650101869076146E-2</c:v>
                </c:pt>
                <c:pt idx="43">
                  <c:v>2.9759868646097143E-2</c:v>
                </c:pt>
                <c:pt idx="44">
                  <c:v>2.4412465542213768E-2</c:v>
                </c:pt>
                <c:pt idx="45">
                  <c:v>1.9093419674316658E-2</c:v>
                </c:pt>
                <c:pt idx="46">
                  <c:v>6.5660196501318158E-3</c:v>
                </c:pt>
                <c:pt idx="47">
                  <c:v>5.2910453410037084E-2</c:v>
                </c:pt>
                <c:pt idx="48">
                  <c:v>4.1986539068251005E-2</c:v>
                </c:pt>
                <c:pt idx="49">
                  <c:v>2.7805550301294391E-2</c:v>
                </c:pt>
                <c:pt idx="50">
                  <c:v>-1.0190435433829026E-2</c:v>
                </c:pt>
                <c:pt idx="51">
                  <c:v>3.2646522675799483E-2</c:v>
                </c:pt>
                <c:pt idx="52">
                  <c:v>0.10877687266491076</c:v>
                </c:pt>
                <c:pt idx="53">
                  <c:v>-2.4933560273522559E-2</c:v>
                </c:pt>
                <c:pt idx="54">
                  <c:v>-4.1281383298502838E-2</c:v>
                </c:pt>
                <c:pt idx="55">
                  <c:v>6.9796643390910296E-2</c:v>
                </c:pt>
                <c:pt idx="56">
                  <c:v>5.8892203917498831E-2</c:v>
                </c:pt>
                <c:pt idx="57">
                  <c:v>1.3275499474237673E-2</c:v>
                </c:pt>
                <c:pt idx="58">
                  <c:v>4.7645276783255142E-2</c:v>
                </c:pt>
                <c:pt idx="59">
                  <c:v>0.12698351115421924</c:v>
                </c:pt>
                <c:pt idx="60">
                  <c:v>-0.129987173428745</c:v>
                </c:pt>
                <c:pt idx="61">
                  <c:v>-7.9165760109408567E-2</c:v>
                </c:pt>
                <c:pt idx="62">
                  <c:v>-4.0390231777787111E-4</c:v>
                </c:pt>
                <c:pt idx="63">
                  <c:v>2.4020871114504905E-2</c:v>
                </c:pt>
                <c:pt idx="64">
                  <c:v>3.619819998021967E-2</c:v>
                </c:pt>
                <c:pt idx="65">
                  <c:v>2.2104660174546042E-2</c:v>
                </c:pt>
                <c:pt idx="66">
                  <c:v>1.4771755855701896E-2</c:v>
                </c:pt>
                <c:pt idx="67">
                  <c:v>-1.6743435430185305E-2</c:v>
                </c:pt>
                <c:pt idx="68">
                  <c:v>1.511945392491465E-2</c:v>
                </c:pt>
                <c:pt idx="69">
                  <c:v>6.4409488865477593E-2</c:v>
                </c:pt>
                <c:pt idx="70">
                  <c:v>-6.3771172029113643E-2</c:v>
                </c:pt>
                <c:pt idx="71">
                  <c:v>4.0852449730954365E-2</c:v>
                </c:pt>
                <c:pt idx="72">
                  <c:v>1.3635711209990076E-2</c:v>
                </c:pt>
                <c:pt idx="73">
                  <c:v>3.241581150668682E-2</c:v>
                </c:pt>
                <c:pt idx="74">
                  <c:v>8.0065620998719611E-2</c:v>
                </c:pt>
                <c:pt idx="75">
                  <c:v>-9.3343007436967107E-2</c:v>
                </c:pt>
                <c:pt idx="76">
                  <c:v>1.8549310867235658E-2</c:v>
                </c:pt>
                <c:pt idx="77">
                  <c:v>-6.9104292790313826E-2</c:v>
                </c:pt>
                <c:pt idx="78">
                  <c:v>1.4122834211705015E-3</c:v>
                </c:pt>
                <c:pt idx="79">
                  <c:v>3.1919809476415706E-2</c:v>
                </c:pt>
                <c:pt idx="80">
                  <c:v>3.7046593925095905E-2</c:v>
                </c:pt>
                <c:pt idx="81">
                  <c:v>1.2548903816342882E-3</c:v>
                </c:pt>
                <c:pt idx="82">
                  <c:v>2.4309099844996407E-2</c:v>
                </c:pt>
                <c:pt idx="83">
                  <c:v>5.1681550446514013E-3</c:v>
                </c:pt>
                <c:pt idx="84">
                  <c:v>-3.1290263206331659E-2</c:v>
                </c:pt>
                <c:pt idx="85">
                  <c:v>-3.6360411493437383E-2</c:v>
                </c:pt>
                <c:pt idx="86">
                  <c:v>5.6359139623772592E-2</c:v>
                </c:pt>
                <c:pt idx="87">
                  <c:v>6.9808686464662983E-3</c:v>
                </c:pt>
                <c:pt idx="88">
                  <c:v>3.0565817616177382E-2</c:v>
                </c:pt>
                <c:pt idx="89">
                  <c:v>2.356406480117812E-2</c:v>
                </c:pt>
                <c:pt idx="90">
                  <c:v>1.5111721685724611E-2</c:v>
                </c:pt>
                <c:pt idx="91">
                  <c:v>2.9176966405966009E-3</c:v>
                </c:pt>
                <c:pt idx="92">
                  <c:v>2.0554177005789986E-2</c:v>
                </c:pt>
                <c:pt idx="93">
                  <c:v>1.4910536779324524E-3</c:v>
                </c:pt>
                <c:pt idx="94">
                  <c:v>1.4112903225806495E-2</c:v>
                </c:pt>
                <c:pt idx="95">
                  <c:v>9.9261898701958895E-3</c:v>
                </c:pt>
                <c:pt idx="96">
                  <c:v>-3.0870723559013324E-3</c:v>
                </c:pt>
                <c:pt idx="97">
                  <c:v>3.9291521997099288E-2</c:v>
                </c:pt>
                <c:pt idx="98">
                  <c:v>1.7894689750816539E-2</c:v>
                </c:pt>
                <c:pt idx="99">
                  <c:v>1.4293493057446316E-2</c:v>
                </c:pt>
                <c:pt idx="100">
                  <c:v>3.683839096683128E-2</c:v>
                </c:pt>
                <c:pt idx="101">
                  <c:v>-1.7337031900138689E-2</c:v>
                </c:pt>
                <c:pt idx="102">
                  <c:v>-4.9682583494341515E-3</c:v>
                </c:pt>
                <c:pt idx="103">
                  <c:v>1.1974944731023562E-3</c:v>
                </c:pt>
                <c:pt idx="104">
                  <c:v>3.6496001909535725E-2</c:v>
                </c:pt>
                <c:pt idx="105">
                  <c:v>-1.7394205108655081E-3</c:v>
                </c:pt>
                <c:pt idx="106">
                  <c:v>1.7007640158425152E-2</c:v>
                </c:pt>
                <c:pt idx="107">
                  <c:v>3.9451148306735018E-3</c:v>
                </c:pt>
                <c:pt idx="108">
                  <c:v>6.1789625955775973E-2</c:v>
                </c:pt>
                <c:pt idx="109">
                  <c:v>-8.3006058203349831E-4</c:v>
                </c:pt>
                <c:pt idx="110">
                  <c:v>-4.9782704664737332E-2</c:v>
                </c:pt>
                <c:pt idx="111">
                  <c:v>-2.3096458862427505E-2</c:v>
                </c:pt>
                <c:pt idx="112">
                  <c:v>3.655076227576437E-3</c:v>
                </c:pt>
                <c:pt idx="113">
                  <c:v>8.5059750560976921E-2</c:v>
                </c:pt>
                <c:pt idx="114">
                  <c:v>-3.0555977133606471E-2</c:v>
                </c:pt>
                <c:pt idx="115">
                  <c:v>-6.0950118764845684E-2</c:v>
                </c:pt>
                <c:pt idx="116">
                  <c:v>2.2589264027204292E-2</c:v>
                </c:pt>
                <c:pt idx="117">
                  <c:v>-2.5054466230936767E-2</c:v>
                </c:pt>
                <c:pt idx="118">
                  <c:v>1.2856183440468127E-2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91-4897-B36B-F06ACB1BE97C}"/>
            </c:ext>
          </c:extLst>
        </c:ser>
        <c:ser>
          <c:idx val="1"/>
          <c:order val="1"/>
          <c:tx>
            <c:strRef>
              <c:f>'SPY&amp;BETA'!$H$3</c:f>
              <c:strCache>
                <c:ptCount val="1"/>
                <c:pt idx="0">
                  <c:v>MCD Return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'SPY&amp;BETA'!$H$4:$H$122</c:f>
              <c:numCache>
                <c:formatCode>0.00%</c:formatCode>
                <c:ptCount val="119"/>
                <c:pt idx="0">
                  <c:v>1.310284435507425E-2</c:v>
                </c:pt>
                <c:pt idx="1">
                  <c:v>6.7994457914790418E-2</c:v>
                </c:pt>
                <c:pt idx="2">
                  <c:v>-4.1050053468556502E-3</c:v>
                </c:pt>
                <c:pt idx="3">
                  <c:v>-2.0674977196716293E-2</c:v>
                </c:pt>
                <c:pt idx="4">
                  <c:v>1.3351134846461887E-2</c:v>
                </c:pt>
                <c:pt idx="5">
                  <c:v>-4.0721158582640915E-2</c:v>
                </c:pt>
                <c:pt idx="6">
                  <c:v>5.4908889350793189E-2</c:v>
                </c:pt>
                <c:pt idx="7">
                  <c:v>8.7641296156744763E-2</c:v>
                </c:pt>
                <c:pt idx="8">
                  <c:v>4.143776487207651E-2</c:v>
                </c:pt>
                <c:pt idx="9">
                  <c:v>-1.5643709683649365E-2</c:v>
                </c:pt>
                <c:pt idx="10">
                  <c:v>-5.1823908584822886E-2</c:v>
                </c:pt>
                <c:pt idx="11">
                  <c:v>-3.160134775669432E-2</c:v>
                </c:pt>
                <c:pt idx="12">
                  <c:v>-3.5342821951553249E-2</c:v>
                </c:pt>
                <c:pt idx="13">
                  <c:v>-1.5031429352283521E-3</c:v>
                </c:pt>
                <c:pt idx="14">
                  <c:v>-1.2782030960169832E-2</c:v>
                </c:pt>
                <c:pt idx="15">
                  <c:v>5.2050808969628326E-2</c:v>
                </c:pt>
                <c:pt idx="16">
                  <c:v>7.5027653812411721E-2</c:v>
                </c:pt>
                <c:pt idx="17">
                  <c:v>-4.8208320680229733E-3</c:v>
                </c:pt>
                <c:pt idx="18">
                  <c:v>-6.2991285790503171E-2</c:v>
                </c:pt>
                <c:pt idx="19">
                  <c:v>-4.1098226466575793E-2</c:v>
                </c:pt>
                <c:pt idx="20">
                  <c:v>-1.7459200428940225E-2</c:v>
                </c:pt>
                <c:pt idx="21">
                  <c:v>4.6648661919960865E-2</c:v>
                </c:pt>
                <c:pt idx="22">
                  <c:v>-3.5976331360946689E-2</c:v>
                </c:pt>
                <c:pt idx="23">
                  <c:v>5.7723257394227678E-2</c:v>
                </c:pt>
                <c:pt idx="24">
                  <c:v>5.9489977643893743E-2</c:v>
                </c:pt>
                <c:pt idx="25">
                  <c:v>-1.3051608077785937E-2</c:v>
                </c:pt>
                <c:pt idx="26">
                  <c:v>1.4685235077600334E-2</c:v>
                </c:pt>
                <c:pt idx="27">
                  <c:v>-3.3945525862385195E-2</c:v>
                </c:pt>
                <c:pt idx="28">
                  <c:v>4.7678427345410057E-4</c:v>
                </c:pt>
                <c:pt idx="29">
                  <c:v>0.18167634567045154</c:v>
                </c:pt>
                <c:pt idx="30">
                  <c:v>-8.538132234025686E-2</c:v>
                </c:pt>
                <c:pt idx="31">
                  <c:v>-4.2108060902912303E-2</c:v>
                </c:pt>
                <c:pt idx="32">
                  <c:v>6.679358392741408E-2</c:v>
                </c:pt>
                <c:pt idx="33">
                  <c:v>-2.1133182665239336E-2</c:v>
                </c:pt>
                <c:pt idx="34">
                  <c:v>1.2241130197463423E-2</c:v>
                </c:pt>
                <c:pt idx="35">
                  <c:v>7.6027175671302683E-3</c:v>
                </c:pt>
                <c:pt idx="36">
                  <c:v>1.0254524655799235E-2</c:v>
                </c:pt>
                <c:pt idx="37">
                  <c:v>-5.6581229523993026E-2</c:v>
                </c:pt>
                <c:pt idx="38">
                  <c:v>-3.2155780206662432E-2</c:v>
                </c:pt>
                <c:pt idx="39">
                  <c:v>9.5952575633687642E-2</c:v>
                </c:pt>
                <c:pt idx="40">
                  <c:v>-3.8688658114437446E-3</c:v>
                </c:pt>
                <c:pt idx="41">
                  <c:v>1.8414831404752974E-2</c:v>
                </c:pt>
                <c:pt idx="42">
                  <c:v>1.5371009854291184E-2</c:v>
                </c:pt>
                <c:pt idx="43">
                  <c:v>-2.1630752750195659E-2</c:v>
                </c:pt>
                <c:pt idx="44">
                  <c:v>5.0738127191653382E-2</c:v>
                </c:pt>
                <c:pt idx="45">
                  <c:v>-1.2398990978665037E-2</c:v>
                </c:pt>
                <c:pt idx="46">
                  <c:v>-9.2765164351068519E-3</c:v>
                </c:pt>
                <c:pt idx="47">
                  <c:v>5.3270277505130803E-2</c:v>
                </c:pt>
                <c:pt idx="48">
                  <c:v>8.7319297564761866E-2</c:v>
                </c:pt>
                <c:pt idx="49">
                  <c:v>-8.1793687451886532E-3</c:v>
                </c:pt>
                <c:pt idx="50">
                  <c:v>-3.1410196663249179E-2</c:v>
                </c:pt>
                <c:pt idx="51">
                  <c:v>-1.3153053715967533E-2</c:v>
                </c:pt>
                <c:pt idx="52">
                  <c:v>2.0845070422535139E-2</c:v>
                </c:pt>
                <c:pt idx="53">
                  <c:v>-2.9568545264021195E-2</c:v>
                </c:pt>
                <c:pt idx="54">
                  <c:v>2.7959910078681149E-2</c:v>
                </c:pt>
                <c:pt idx="55">
                  <c:v>9.9032324480131884E-2</c:v>
                </c:pt>
                <c:pt idx="56">
                  <c:v>5.3179378760774165E-2</c:v>
                </c:pt>
                <c:pt idx="57">
                  <c:v>-9.9291541434091135E-3</c:v>
                </c:pt>
                <c:pt idx="58">
                  <c:v>-6.6112177436553621E-3</c:v>
                </c:pt>
                <c:pt idx="59">
                  <c:v>0.13432113698215908</c:v>
                </c:pt>
                <c:pt idx="60">
                  <c:v>-0.14842663645259302</c:v>
                </c:pt>
                <c:pt idx="61">
                  <c:v>-9.2536336869654678E-2</c:v>
                </c:pt>
                <c:pt idx="62">
                  <c:v>8.2789332523657722E-2</c:v>
                </c:pt>
                <c:pt idx="63">
                  <c:v>1.6094199917729535E-2</c:v>
                </c:pt>
                <c:pt idx="64">
                  <c:v>-1.1286222674123048E-2</c:v>
                </c:pt>
                <c:pt idx="65">
                  <c:v>-8.3880583112104778E-2</c:v>
                </c:pt>
                <c:pt idx="66">
                  <c:v>-1.4956186631187696E-2</c:v>
                </c:pt>
                <c:pt idx="67">
                  <c:v>3.4405846621108571E-2</c:v>
                </c:pt>
                <c:pt idx="68">
                  <c:v>1.4735625541751007E-2</c:v>
                </c:pt>
                <c:pt idx="69">
                  <c:v>4.73596610682403E-2</c:v>
                </c:pt>
                <c:pt idx="70">
                  <c:v>3.543048033608498E-3</c:v>
                </c:pt>
                <c:pt idx="71">
                  <c:v>4.0389678778304239E-2</c:v>
                </c:pt>
                <c:pt idx="72">
                  <c:v>3.2963446475195779E-2</c:v>
                </c:pt>
                <c:pt idx="73">
                  <c:v>2.8302942163553002E-2</c:v>
                </c:pt>
                <c:pt idx="74">
                  <c:v>6.814214112744299E-3</c:v>
                </c:pt>
                <c:pt idx="75">
                  <c:v>-5.8034056548724178E-2</c:v>
                </c:pt>
                <c:pt idx="76">
                  <c:v>6.5630299604296116E-2</c:v>
                </c:pt>
                <c:pt idx="77">
                  <c:v>5.7445155119851821E-2</c:v>
                </c:pt>
                <c:pt idx="78">
                  <c:v>3.1190285397275419E-2</c:v>
                </c:pt>
                <c:pt idx="79">
                  <c:v>2.9770217087723649E-2</c:v>
                </c:pt>
                <c:pt idx="80">
                  <c:v>5.4247239772799993E-3</c:v>
                </c:pt>
                <c:pt idx="81">
                  <c:v>-2.0748703206049601E-2</c:v>
                </c:pt>
                <c:pt idx="82">
                  <c:v>-4.4374104156712946E-2</c:v>
                </c:pt>
                <c:pt idx="83">
                  <c:v>7.0725156669650957E-2</c:v>
                </c:pt>
                <c:pt idx="84">
                  <c:v>-8.6217826803601794E-3</c:v>
                </c:pt>
                <c:pt idx="85">
                  <c:v>-7.8298469089634115E-2</c:v>
                </c:pt>
                <c:pt idx="86">
                  <c:v>-5.6937020683245354E-3</c:v>
                </c:pt>
                <c:pt idx="87">
                  <c:v>8.7224515903949751E-4</c:v>
                </c:pt>
                <c:pt idx="88">
                  <c:v>3.0315739021029353E-2</c:v>
                </c:pt>
                <c:pt idx="89">
                  <c:v>6.5292315547612834E-2</c:v>
                </c:pt>
                <c:pt idx="90">
                  <c:v>-2.0566356191785928E-2</c:v>
                </c:pt>
                <c:pt idx="91">
                  <c:v>3.1133170039963964E-2</c:v>
                </c:pt>
                <c:pt idx="92">
                  <c:v>1.2927657351788913E-2</c:v>
                </c:pt>
                <c:pt idx="93">
                  <c:v>1.5044071840413675E-2</c:v>
                </c:pt>
                <c:pt idx="94">
                  <c:v>7.8324876724076065E-2</c:v>
                </c:pt>
                <c:pt idx="95">
                  <c:v>7.962348584214185E-2</c:v>
                </c:pt>
                <c:pt idx="96">
                  <c:v>1.5354484919702482E-2</c:v>
                </c:pt>
                <c:pt idx="97">
                  <c:v>4.1445704495390423E-2</c:v>
                </c:pt>
                <c:pt idx="98">
                  <c:v>6.9832402234637492E-3</c:v>
                </c:pt>
                <c:pt idx="99">
                  <c:v>2.0541628238450516E-2</c:v>
                </c:pt>
                <c:pt idx="100">
                  <c:v>5.9518521808652469E-2</c:v>
                </c:pt>
                <c:pt idx="101">
                  <c:v>-2.4185159500693554E-2</c:v>
                </c:pt>
                <c:pt idx="102">
                  <c:v>-2.5938094414663659E-3</c:v>
                </c:pt>
                <c:pt idx="103">
                  <c:v>-1.6914577135571651E-2</c:v>
                </c:pt>
                <c:pt idx="104">
                  <c:v>-2.2353332225361511E-2</c:v>
                </c:pt>
                <c:pt idx="105">
                  <c:v>-1.4091430444043929E-2</c:v>
                </c:pt>
                <c:pt idx="106">
                  <c:v>-3.502253142540912E-2</c:v>
                </c:pt>
                <c:pt idx="107">
                  <c:v>6.4449395289623013E-3</c:v>
                </c:pt>
                <c:pt idx="108">
                  <c:v>7.2446454475638022E-2</c:v>
                </c:pt>
                <c:pt idx="109">
                  <c:v>-5.3239618678300182E-2</c:v>
                </c:pt>
                <c:pt idx="110">
                  <c:v>4.7739969527679005E-2</c:v>
                </c:pt>
                <c:pt idx="111">
                  <c:v>3.48633496846531E-2</c:v>
                </c:pt>
                <c:pt idx="112">
                  <c:v>1.7015590200445407E-2</c:v>
                </c:pt>
                <c:pt idx="113">
                  <c:v>0.1392469298690755</c:v>
                </c:pt>
                <c:pt idx="114">
                  <c:v>3.6939591664912674E-2</c:v>
                </c:pt>
                <c:pt idx="115">
                  <c:v>-4.8467854996995796E-2</c:v>
                </c:pt>
                <c:pt idx="116">
                  <c:v>5.0383927632271064E-2</c:v>
                </c:pt>
                <c:pt idx="117">
                  <c:v>-8.9648702178672934E-3</c:v>
                </c:pt>
                <c:pt idx="118">
                  <c:v>-6.4215432418435192E-3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91-4897-B36B-F06ACB1BE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070223"/>
        <c:axId val="491072143"/>
      </c:lineChart>
      <c:catAx>
        <c:axId val="491070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72143"/>
        <c:crosses val="autoZero"/>
        <c:auto val="1"/>
        <c:lblAlgn val="ctr"/>
        <c:lblOffset val="100"/>
        <c:noMultiLvlLbl val="0"/>
      </c:catAx>
      <c:valAx>
        <c:axId val="49107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7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SPY vs NOC - Last 10 Years - Monthly Returns</a:t>
            </a:r>
          </a:p>
          <a:p>
            <a:pPr>
              <a:defRPr/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source:  Factset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'SPY&amp;BETA'!$F$3</c:f>
              <c:strCache>
                <c:ptCount val="1"/>
                <c:pt idx="0">
                  <c:v>SPY 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'SPY&amp;BETA'!$F$4:$F$122</c:f>
              <c:numCache>
                <c:formatCode>0.00%</c:formatCode>
                <c:ptCount val="119"/>
                <c:pt idx="0">
                  <c:v>-5.8551280756673041E-2</c:v>
                </c:pt>
                <c:pt idx="1">
                  <c:v>-1.2694825695390821E-2</c:v>
                </c:pt>
                <c:pt idx="2">
                  <c:v>2.6856401856401924E-2</c:v>
                </c:pt>
                <c:pt idx="3">
                  <c:v>-2.7333831217326243E-2</c:v>
                </c:pt>
                <c:pt idx="4">
                  <c:v>5.9633511536297146E-2</c:v>
                </c:pt>
                <c:pt idx="5">
                  <c:v>-8.9235917456776948E-3</c:v>
                </c:pt>
                <c:pt idx="6">
                  <c:v>1.7882486517172946E-2</c:v>
                </c:pt>
                <c:pt idx="7">
                  <c:v>2.3365588860042585E-2</c:v>
                </c:pt>
                <c:pt idx="8">
                  <c:v>1.2109073536437309E-2</c:v>
                </c:pt>
                <c:pt idx="9">
                  <c:v>3.1951002142708296E-2</c:v>
                </c:pt>
                <c:pt idx="10">
                  <c:v>5.0579704370691925E-2</c:v>
                </c:pt>
                <c:pt idx="11">
                  <c:v>-4.0319651289502434E-2</c:v>
                </c:pt>
                <c:pt idx="12">
                  <c:v>2.9503227838135748E-2</c:v>
                </c:pt>
                <c:pt idx="13">
                  <c:v>5.2186878727634278E-2</c:v>
                </c:pt>
                <c:pt idx="14">
                  <c:v>1.592644800235643E-2</c:v>
                </c:pt>
                <c:pt idx="15">
                  <c:v>4.1432953549517926E-2</c:v>
                </c:pt>
                <c:pt idx="16">
                  <c:v>9.1343854615016706E-2</c:v>
                </c:pt>
                <c:pt idx="17">
                  <c:v>-2.1708617947038489E-2</c:v>
                </c:pt>
                <c:pt idx="18">
                  <c:v>-5.0782724547574154E-2</c:v>
                </c:pt>
                <c:pt idx="19">
                  <c:v>-1.6251993272024312E-2</c:v>
                </c:pt>
                <c:pt idx="20">
                  <c:v>3.2733261144197945E-2</c:v>
                </c:pt>
                <c:pt idx="21">
                  <c:v>6.0859159985640732E-2</c:v>
                </c:pt>
                <c:pt idx="22">
                  <c:v>4.6161613733080031E-3</c:v>
                </c:pt>
                <c:pt idx="23">
                  <c:v>1.5974987176042399E-2</c:v>
                </c:pt>
                <c:pt idx="24">
                  <c:v>3.3134810477968957E-2</c:v>
                </c:pt>
                <c:pt idx="25">
                  <c:v>-2.514268844715617E-2</c:v>
                </c:pt>
                <c:pt idx="26">
                  <c:v>6.2887325785111026E-2</c:v>
                </c:pt>
                <c:pt idx="27">
                  <c:v>-6.1935832025117765E-2</c:v>
                </c:pt>
                <c:pt idx="28">
                  <c:v>5.5591517568162496E-2</c:v>
                </c:pt>
                <c:pt idx="29">
                  <c:v>8.1275547343076182E-2</c:v>
                </c:pt>
                <c:pt idx="30">
                  <c:v>-9.6158712485449716E-2</c:v>
                </c:pt>
                <c:pt idx="31">
                  <c:v>-4.0801961212650784E-2</c:v>
                </c:pt>
                <c:pt idx="32">
                  <c:v>9.2087475149105424E-2</c:v>
                </c:pt>
                <c:pt idx="33">
                  <c:v>-8.6406897052769271E-2</c:v>
                </c:pt>
                <c:pt idx="34">
                  <c:v>2.257281553398105E-3</c:v>
                </c:pt>
                <c:pt idx="35">
                  <c:v>-8.776901957311134E-2</c:v>
                </c:pt>
                <c:pt idx="36">
                  <c:v>3.4376932414172057E-2</c:v>
                </c:pt>
                <c:pt idx="37">
                  <c:v>-2.9517014514014006E-2</c:v>
                </c:pt>
                <c:pt idx="38">
                  <c:v>-5.2741283476503198E-2</c:v>
                </c:pt>
                <c:pt idx="39">
                  <c:v>4.2584950390727849E-2</c:v>
                </c:pt>
                <c:pt idx="40">
                  <c:v>-8.0348394120849376E-3</c:v>
                </c:pt>
                <c:pt idx="41">
                  <c:v>7.016358297991343E-2</c:v>
                </c:pt>
                <c:pt idx="42">
                  <c:v>-4.9650101869076146E-2</c:v>
                </c:pt>
                <c:pt idx="43">
                  <c:v>2.9759868646097143E-2</c:v>
                </c:pt>
                <c:pt idx="44">
                  <c:v>2.4412465542213768E-2</c:v>
                </c:pt>
                <c:pt idx="45">
                  <c:v>1.9093419674316658E-2</c:v>
                </c:pt>
                <c:pt idx="46">
                  <c:v>6.5660196501318158E-3</c:v>
                </c:pt>
                <c:pt idx="47">
                  <c:v>5.2910453410037084E-2</c:v>
                </c:pt>
                <c:pt idx="48">
                  <c:v>4.1986539068251005E-2</c:v>
                </c:pt>
                <c:pt idx="49">
                  <c:v>2.7805550301294391E-2</c:v>
                </c:pt>
                <c:pt idx="50">
                  <c:v>-1.0190435433829026E-2</c:v>
                </c:pt>
                <c:pt idx="51">
                  <c:v>3.2646522675799483E-2</c:v>
                </c:pt>
                <c:pt idx="52">
                  <c:v>0.10877687266491076</c:v>
                </c:pt>
                <c:pt idx="53">
                  <c:v>-2.4933560273522559E-2</c:v>
                </c:pt>
                <c:pt idx="54">
                  <c:v>-4.1281383298502838E-2</c:v>
                </c:pt>
                <c:pt idx="55">
                  <c:v>6.9796643390910296E-2</c:v>
                </c:pt>
                <c:pt idx="56">
                  <c:v>5.8892203917498831E-2</c:v>
                </c:pt>
                <c:pt idx="57">
                  <c:v>1.3275499474237673E-2</c:v>
                </c:pt>
                <c:pt idx="58">
                  <c:v>4.7645276783255142E-2</c:v>
                </c:pt>
                <c:pt idx="59">
                  <c:v>0.12698351115421924</c:v>
                </c:pt>
                <c:pt idx="60">
                  <c:v>-0.129987173428745</c:v>
                </c:pt>
                <c:pt idx="61">
                  <c:v>-7.9165760109408567E-2</c:v>
                </c:pt>
                <c:pt idx="62">
                  <c:v>-4.0390231777787111E-4</c:v>
                </c:pt>
                <c:pt idx="63">
                  <c:v>2.4020871114504905E-2</c:v>
                </c:pt>
                <c:pt idx="64">
                  <c:v>3.619819998021967E-2</c:v>
                </c:pt>
                <c:pt idx="65">
                  <c:v>2.2104660174546042E-2</c:v>
                </c:pt>
                <c:pt idx="66">
                  <c:v>1.4771755855701896E-2</c:v>
                </c:pt>
                <c:pt idx="67">
                  <c:v>-1.6743435430185305E-2</c:v>
                </c:pt>
                <c:pt idx="68">
                  <c:v>1.511945392491465E-2</c:v>
                </c:pt>
                <c:pt idx="69">
                  <c:v>6.4409488865477593E-2</c:v>
                </c:pt>
                <c:pt idx="70">
                  <c:v>-6.3771172029113643E-2</c:v>
                </c:pt>
                <c:pt idx="71">
                  <c:v>4.0852449730954365E-2</c:v>
                </c:pt>
                <c:pt idx="72">
                  <c:v>1.3635711209990076E-2</c:v>
                </c:pt>
                <c:pt idx="73">
                  <c:v>3.241581150668682E-2</c:v>
                </c:pt>
                <c:pt idx="74">
                  <c:v>8.0065620998719611E-2</c:v>
                </c:pt>
                <c:pt idx="75">
                  <c:v>-9.3343007436967107E-2</c:v>
                </c:pt>
                <c:pt idx="76">
                  <c:v>1.8549310867235658E-2</c:v>
                </c:pt>
                <c:pt idx="77">
                  <c:v>-6.9104292790313826E-2</c:v>
                </c:pt>
                <c:pt idx="78">
                  <c:v>1.4122834211705015E-3</c:v>
                </c:pt>
                <c:pt idx="79">
                  <c:v>3.1919809476415706E-2</c:v>
                </c:pt>
                <c:pt idx="80">
                  <c:v>3.7046593925095905E-2</c:v>
                </c:pt>
                <c:pt idx="81">
                  <c:v>1.2548903816342882E-3</c:v>
                </c:pt>
                <c:pt idx="82">
                  <c:v>2.4309099844996407E-2</c:v>
                </c:pt>
                <c:pt idx="83">
                  <c:v>5.1681550446514013E-3</c:v>
                </c:pt>
                <c:pt idx="84">
                  <c:v>-3.1290263206331659E-2</c:v>
                </c:pt>
                <c:pt idx="85">
                  <c:v>-3.6360411493437383E-2</c:v>
                </c:pt>
                <c:pt idx="86">
                  <c:v>5.6359139623772592E-2</c:v>
                </c:pt>
                <c:pt idx="87">
                  <c:v>6.9808686464662983E-3</c:v>
                </c:pt>
                <c:pt idx="88">
                  <c:v>3.0565817616177382E-2</c:v>
                </c:pt>
                <c:pt idx="89">
                  <c:v>2.356406480117812E-2</c:v>
                </c:pt>
                <c:pt idx="90">
                  <c:v>1.5111721685724611E-2</c:v>
                </c:pt>
                <c:pt idx="91">
                  <c:v>2.9176966405966009E-3</c:v>
                </c:pt>
                <c:pt idx="92">
                  <c:v>2.0554177005789986E-2</c:v>
                </c:pt>
                <c:pt idx="93">
                  <c:v>1.4910536779324524E-3</c:v>
                </c:pt>
                <c:pt idx="94">
                  <c:v>1.4112903225806495E-2</c:v>
                </c:pt>
                <c:pt idx="95">
                  <c:v>9.9261898701958895E-3</c:v>
                </c:pt>
                <c:pt idx="96">
                  <c:v>-3.0870723559013324E-3</c:v>
                </c:pt>
                <c:pt idx="97">
                  <c:v>3.9291521997099288E-2</c:v>
                </c:pt>
                <c:pt idx="98">
                  <c:v>1.7894689750816539E-2</c:v>
                </c:pt>
                <c:pt idx="99">
                  <c:v>1.4293493057446316E-2</c:v>
                </c:pt>
                <c:pt idx="100">
                  <c:v>3.683839096683128E-2</c:v>
                </c:pt>
                <c:pt idx="101">
                  <c:v>-1.7337031900138689E-2</c:v>
                </c:pt>
                <c:pt idx="102">
                  <c:v>-4.9682583494341515E-3</c:v>
                </c:pt>
                <c:pt idx="103">
                  <c:v>1.1974944731023562E-3</c:v>
                </c:pt>
                <c:pt idx="104">
                  <c:v>3.6496001909535725E-2</c:v>
                </c:pt>
                <c:pt idx="105">
                  <c:v>-1.7394205108655081E-3</c:v>
                </c:pt>
                <c:pt idx="106">
                  <c:v>1.7007640158425152E-2</c:v>
                </c:pt>
                <c:pt idx="107">
                  <c:v>3.9451148306735018E-3</c:v>
                </c:pt>
                <c:pt idx="108">
                  <c:v>6.1789625955775973E-2</c:v>
                </c:pt>
                <c:pt idx="109">
                  <c:v>-8.3006058203349831E-4</c:v>
                </c:pt>
                <c:pt idx="110">
                  <c:v>-4.9782704664737332E-2</c:v>
                </c:pt>
                <c:pt idx="111">
                  <c:v>-2.3096458862427505E-2</c:v>
                </c:pt>
                <c:pt idx="112">
                  <c:v>3.655076227576437E-3</c:v>
                </c:pt>
                <c:pt idx="113">
                  <c:v>8.5059750560976921E-2</c:v>
                </c:pt>
                <c:pt idx="114">
                  <c:v>-3.0555977133606471E-2</c:v>
                </c:pt>
                <c:pt idx="115">
                  <c:v>-6.0950118764845684E-2</c:v>
                </c:pt>
                <c:pt idx="116">
                  <c:v>2.2589264027204292E-2</c:v>
                </c:pt>
                <c:pt idx="117">
                  <c:v>-2.5054466230936767E-2</c:v>
                </c:pt>
                <c:pt idx="118">
                  <c:v>1.2856183440468127E-2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5A-4497-87AE-32AF3580E29D}"/>
            </c:ext>
          </c:extLst>
        </c:ser>
        <c:ser>
          <c:idx val="1"/>
          <c:order val="1"/>
          <c:tx>
            <c:strRef>
              <c:f>'SPY&amp;BETA'!$G$3</c:f>
              <c:strCache>
                <c:ptCount val="1"/>
                <c:pt idx="0">
                  <c:v>NOC Return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'SPY&amp;BETA'!$G$4:$G$122</c:f>
              <c:numCache>
                <c:formatCode>0.00%</c:formatCode>
                <c:ptCount val="119"/>
                <c:pt idx="0">
                  <c:v>0.10887079308701852</c:v>
                </c:pt>
                <c:pt idx="1">
                  <c:v>-5.2393949966137776E-2</c:v>
                </c:pt>
                <c:pt idx="2">
                  <c:v>3.8313196530929572E-2</c:v>
                </c:pt>
                <c:pt idx="3">
                  <c:v>-4.1580720923108272E-2</c:v>
                </c:pt>
                <c:pt idx="4">
                  <c:v>-3.8053514596675941E-2</c:v>
                </c:pt>
                <c:pt idx="5">
                  <c:v>-3.6074762815535899E-2</c:v>
                </c:pt>
                <c:pt idx="6">
                  <c:v>9.2888132872077644E-3</c:v>
                </c:pt>
                <c:pt idx="7">
                  <c:v>8.0298149983482059E-2</c:v>
                </c:pt>
                <c:pt idx="8">
                  <c:v>0.1109530909507972</c:v>
                </c:pt>
                <c:pt idx="9">
                  <c:v>-3.287707700157505E-2</c:v>
                </c:pt>
                <c:pt idx="10">
                  <c:v>-7.0634806094468372E-2</c:v>
                </c:pt>
                <c:pt idx="11">
                  <c:v>1.3307984790874361E-2</c:v>
                </c:pt>
                <c:pt idx="12">
                  <c:v>3.8262982083206998E-2</c:v>
                </c:pt>
                <c:pt idx="13">
                  <c:v>3.1918703554481231E-2</c:v>
                </c:pt>
                <c:pt idx="14">
                  <c:v>-4.567009868842653E-2</c:v>
                </c:pt>
                <c:pt idx="15">
                  <c:v>-1.4773970872969167E-2</c:v>
                </c:pt>
                <c:pt idx="16">
                  <c:v>7.9120972360691155E-3</c:v>
                </c:pt>
                <c:pt idx="17">
                  <c:v>7.0969354142529362E-2</c:v>
                </c:pt>
                <c:pt idx="18">
                  <c:v>1.6393821145720411E-2</c:v>
                </c:pt>
                <c:pt idx="19">
                  <c:v>-2.6764044943820231E-2</c:v>
                </c:pt>
                <c:pt idx="20">
                  <c:v>-2.3694602896007E-2</c:v>
                </c:pt>
                <c:pt idx="21">
                  <c:v>4.6637121403476645E-2</c:v>
                </c:pt>
                <c:pt idx="22">
                  <c:v>-5.5889175537104041E-2</c:v>
                </c:pt>
                <c:pt idx="23">
                  <c:v>-9.7461665078413251E-4</c:v>
                </c:pt>
                <c:pt idx="24">
                  <c:v>-5.1496412488418741E-3</c:v>
                </c:pt>
                <c:pt idx="25">
                  <c:v>3.5867333273814861E-2</c:v>
                </c:pt>
                <c:pt idx="26">
                  <c:v>-0.17882736753358619</c:v>
                </c:pt>
                <c:pt idx="27">
                  <c:v>2.3101877027508655E-2</c:v>
                </c:pt>
                <c:pt idx="28">
                  <c:v>-2.863335822662616E-2</c:v>
                </c:pt>
                <c:pt idx="29">
                  <c:v>0.16731161762204461</c:v>
                </c:pt>
                <c:pt idx="30">
                  <c:v>-1.6046360802527304E-2</c:v>
                </c:pt>
                <c:pt idx="31">
                  <c:v>-1.9001879306743685E-3</c:v>
                </c:pt>
                <c:pt idx="32">
                  <c:v>6.8955429717698635E-4</c:v>
                </c:pt>
                <c:pt idx="33">
                  <c:v>2.2651024638331352E-2</c:v>
                </c:pt>
                <c:pt idx="34">
                  <c:v>6.5020482476103814E-2</c:v>
                </c:pt>
                <c:pt idx="35">
                  <c:v>-1.7485801171682969E-2</c:v>
                </c:pt>
                <c:pt idx="36">
                  <c:v>1.1489573438277612E-2</c:v>
                </c:pt>
                <c:pt idx="37">
                  <c:v>0.19529602595296036</c:v>
                </c:pt>
                <c:pt idx="38">
                  <c:v>-4.4358901490686442E-2</c:v>
                </c:pt>
                <c:pt idx="39">
                  <c:v>0.10971903669724759</c:v>
                </c:pt>
                <c:pt idx="40">
                  <c:v>-2.3570908683724356E-2</c:v>
                </c:pt>
                <c:pt idx="41">
                  <c:v>-8.1354990975980312E-3</c:v>
                </c:pt>
                <c:pt idx="42">
                  <c:v>-2.0533043241773186E-2</c:v>
                </c:pt>
                <c:pt idx="43">
                  <c:v>1.2891851688612288E-2</c:v>
                </c:pt>
                <c:pt idx="44">
                  <c:v>-1.1281402195746359E-3</c:v>
                </c:pt>
                <c:pt idx="45">
                  <c:v>-6.6690354497499493E-3</c:v>
                </c:pt>
                <c:pt idx="46">
                  <c:v>3.2248053267125654E-2</c:v>
                </c:pt>
                <c:pt idx="47">
                  <c:v>9.5167470028426626E-2</c:v>
                </c:pt>
                <c:pt idx="48">
                  <c:v>0.10964822053075474</c:v>
                </c:pt>
                <c:pt idx="49">
                  <c:v>1.7619762045985921E-2</c:v>
                </c:pt>
                <c:pt idx="50">
                  <c:v>-5.9431609346285108E-2</c:v>
                </c:pt>
                <c:pt idx="51">
                  <c:v>8.1386885462848557E-3</c:v>
                </c:pt>
                <c:pt idx="52">
                  <c:v>4.2923193706438489E-2</c:v>
                </c:pt>
                <c:pt idx="53">
                  <c:v>-8.1365494944372285E-2</c:v>
                </c:pt>
                <c:pt idx="54">
                  <c:v>-7.9157059046729539E-2</c:v>
                </c:pt>
                <c:pt idx="55">
                  <c:v>5.4152179932925204E-2</c:v>
                </c:pt>
                <c:pt idx="56">
                  <c:v>5.7149362477231236E-2</c:v>
                </c:pt>
                <c:pt idx="57">
                  <c:v>-8.2816229116945084E-2</c:v>
                </c:pt>
                <c:pt idx="58">
                  <c:v>1.3699458674811593E-2</c:v>
                </c:pt>
                <c:pt idx="59">
                  <c:v>9.2943315154520034E-2</c:v>
                </c:pt>
                <c:pt idx="60">
                  <c:v>-7.9947694927624324E-2</c:v>
                </c:pt>
                <c:pt idx="61">
                  <c:v>-0.12208665936941032</c:v>
                </c:pt>
                <c:pt idx="62">
                  <c:v>8.8961246620344658E-2</c:v>
                </c:pt>
                <c:pt idx="63">
                  <c:v>-2.2173579327401272E-2</c:v>
                </c:pt>
                <c:pt idx="64">
                  <c:v>-2.0142986836133581E-3</c:v>
                </c:pt>
                <c:pt idx="65">
                  <c:v>-5.9526668267563143E-2</c:v>
                </c:pt>
                <c:pt idx="66">
                  <c:v>1.8810993013836486E-2</c:v>
                </c:pt>
                <c:pt idx="67">
                  <c:v>6.4531064617877831E-2</c:v>
                </c:pt>
                <c:pt idx="68">
                  <c:v>6.9511930921357878E-2</c:v>
                </c:pt>
                <c:pt idx="69">
                  <c:v>6.5490519373454292E-2</c:v>
                </c:pt>
                <c:pt idx="70">
                  <c:v>4.6014280293884324E-2</c:v>
                </c:pt>
                <c:pt idx="71">
                  <c:v>7.5333827893174998E-2</c:v>
                </c:pt>
                <c:pt idx="72">
                  <c:v>-7.021658159746158E-2</c:v>
                </c:pt>
                <c:pt idx="73">
                  <c:v>5.2295409181636554E-2</c:v>
                </c:pt>
                <c:pt idx="74">
                  <c:v>0.12515312372396892</c:v>
                </c:pt>
                <c:pt idx="75">
                  <c:v>-5.7641988610127703E-2</c:v>
                </c:pt>
                <c:pt idx="76">
                  <c:v>-7.9022714258446536E-3</c:v>
                </c:pt>
                <c:pt idx="77">
                  <c:v>-0.17462268015250348</c:v>
                </c:pt>
                <c:pt idx="78">
                  <c:v>6.3251700224463026E-2</c:v>
                </c:pt>
                <c:pt idx="79">
                  <c:v>-6.6557955339612285E-3</c:v>
                </c:pt>
                <c:pt idx="80">
                  <c:v>-2.3431914202144855E-2</c:v>
                </c:pt>
                <c:pt idx="81">
                  <c:v>-5.974025974025976E-2</c:v>
                </c:pt>
                <c:pt idx="82">
                  <c:v>1.6178114519935338E-2</c:v>
                </c:pt>
                <c:pt idx="83">
                  <c:v>-7.7566452795600371E-2</c:v>
                </c:pt>
                <c:pt idx="84">
                  <c:v>-2.6282710547366195E-3</c:v>
                </c:pt>
                <c:pt idx="85">
                  <c:v>2.7927054885032332E-2</c:v>
                </c:pt>
                <c:pt idx="86">
                  <c:v>0.1095435143853245</c:v>
                </c:pt>
                <c:pt idx="87">
                  <c:v>-1.5940143135977358E-3</c:v>
                </c:pt>
                <c:pt idx="88">
                  <c:v>4.0165127059858641E-2</c:v>
                </c:pt>
                <c:pt idx="89">
                  <c:v>2.7144445989155885E-2</c:v>
                </c:pt>
                <c:pt idx="90">
                  <c:v>5.6978068403071402E-2</c:v>
                </c:pt>
                <c:pt idx="91">
                  <c:v>3.4507657811728043E-2</c:v>
                </c:pt>
                <c:pt idx="92">
                  <c:v>2.500876475400271E-2</c:v>
                </c:pt>
                <c:pt idx="93">
                  <c:v>-9.6828948383613778E-3</c:v>
                </c:pt>
                <c:pt idx="94">
                  <c:v>5.3911205073995827E-2</c:v>
                </c:pt>
                <c:pt idx="95">
                  <c:v>3.4140598721829729E-2</c:v>
                </c:pt>
                <c:pt idx="96">
                  <c:v>-3.7435752155085211E-2</c:v>
                </c:pt>
                <c:pt idx="97">
                  <c:v>7.8618823118561165E-2</c:v>
                </c:pt>
                <c:pt idx="98">
                  <c:v>-1.5048585432969275E-2</c:v>
                </c:pt>
                <c:pt idx="99">
                  <c:v>-6.8375726016422944E-2</c:v>
                </c:pt>
                <c:pt idx="100">
                  <c:v>9.0174672489083063E-2</c:v>
                </c:pt>
                <c:pt idx="101">
                  <c:v>7.0343538209862277E-2</c:v>
                </c:pt>
                <c:pt idx="102">
                  <c:v>8.8649974065166948E-3</c:v>
                </c:pt>
                <c:pt idx="103">
                  <c:v>-2.1049716105802529E-2</c:v>
                </c:pt>
                <c:pt idx="104">
                  <c:v>-2.5418391218283265E-2</c:v>
                </c:pt>
                <c:pt idx="105">
                  <c:v>4.5187379508158321E-2</c:v>
                </c:pt>
                <c:pt idx="106">
                  <c:v>3.1077281101522303E-2</c:v>
                </c:pt>
                <c:pt idx="107">
                  <c:v>4.224355735219798E-2</c:v>
                </c:pt>
                <c:pt idx="108">
                  <c:v>2.9549474560399469E-2</c:v>
                </c:pt>
                <c:pt idx="109">
                  <c:v>3.8690154544472E-2</c:v>
                </c:pt>
                <c:pt idx="110">
                  <c:v>-1.9861236163338791E-2</c:v>
                </c:pt>
                <c:pt idx="111">
                  <c:v>1.3146597982399699E-2</c:v>
                </c:pt>
                <c:pt idx="112">
                  <c:v>-7.4034620505991633E-3</c:v>
                </c:pt>
                <c:pt idx="113">
                  <c:v>0.13136486893642663</c:v>
                </c:pt>
                <c:pt idx="114">
                  <c:v>1.3497007450836485E-2</c:v>
                </c:pt>
                <c:pt idx="115">
                  <c:v>-5.3580717877579231E-2</c:v>
                </c:pt>
                <c:pt idx="116">
                  <c:v>9.0651200907772678E-2</c:v>
                </c:pt>
                <c:pt idx="117">
                  <c:v>-3.4552079406960923E-3</c:v>
                </c:pt>
                <c:pt idx="118">
                  <c:v>3.3367956374967589E-2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5A-4497-87AE-32AF3580E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078383"/>
        <c:axId val="491078863"/>
      </c:lineChart>
      <c:catAx>
        <c:axId val="491078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78863"/>
        <c:crosses val="autoZero"/>
        <c:auto val="1"/>
        <c:lblAlgn val="ctr"/>
        <c:lblOffset val="100"/>
        <c:noMultiLvlLbl val="0"/>
      </c:catAx>
      <c:valAx>
        <c:axId val="4910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7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SPY vs MCD - Last 10 Years - Price Movements</a:t>
            </a:r>
          </a:p>
          <a:p>
            <a:pPr>
              <a:defRPr/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source:  Factset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'SPY&amp;BETA'!$B$3</c:f>
              <c:strCache>
                <c:ptCount val="1"/>
                <c:pt idx="0">
                  <c:v>SPY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'SPY&amp;BETA'!$B$4:$B$123</c:f>
              <c:numCache>
                <c:formatCode>#,##0.00</c:formatCode>
                <c:ptCount val="120"/>
                <c:pt idx="0">
                  <c:v>559.39</c:v>
                </c:pt>
                <c:pt idx="1">
                  <c:v>594.17999999999995</c:v>
                </c:pt>
                <c:pt idx="2">
                  <c:v>601.82000000000005</c:v>
                </c:pt>
                <c:pt idx="3">
                  <c:v>586.08000000000004</c:v>
                </c:pt>
                <c:pt idx="4">
                  <c:v>602.54999999999995</c:v>
                </c:pt>
                <c:pt idx="5">
                  <c:v>568.64</c:v>
                </c:pt>
                <c:pt idx="6">
                  <c:v>573.76</c:v>
                </c:pt>
                <c:pt idx="7">
                  <c:v>563.67999999999995</c:v>
                </c:pt>
                <c:pt idx="8">
                  <c:v>550.80999999999995</c:v>
                </c:pt>
                <c:pt idx="9">
                  <c:v>544.22</c:v>
                </c:pt>
                <c:pt idx="10">
                  <c:v>527.37</c:v>
                </c:pt>
                <c:pt idx="11">
                  <c:v>501.98</c:v>
                </c:pt>
                <c:pt idx="12">
                  <c:v>523.07000000000005</c:v>
                </c:pt>
                <c:pt idx="13">
                  <c:v>508.08</c:v>
                </c:pt>
                <c:pt idx="14">
                  <c:v>482.88</c:v>
                </c:pt>
                <c:pt idx="15">
                  <c:v>475.31</c:v>
                </c:pt>
                <c:pt idx="16">
                  <c:v>456.4</c:v>
                </c:pt>
                <c:pt idx="17">
                  <c:v>418.2</c:v>
                </c:pt>
                <c:pt idx="18">
                  <c:v>427.48</c:v>
                </c:pt>
                <c:pt idx="19">
                  <c:v>450.35</c:v>
                </c:pt>
                <c:pt idx="20">
                  <c:v>457.79</c:v>
                </c:pt>
                <c:pt idx="21">
                  <c:v>443.28</c:v>
                </c:pt>
                <c:pt idx="22">
                  <c:v>417.85</c:v>
                </c:pt>
                <c:pt idx="23">
                  <c:v>415.93</c:v>
                </c:pt>
                <c:pt idx="24">
                  <c:v>409.39</c:v>
                </c:pt>
                <c:pt idx="25">
                  <c:v>396.26</c:v>
                </c:pt>
                <c:pt idx="26">
                  <c:v>406.48</c:v>
                </c:pt>
                <c:pt idx="27">
                  <c:v>382.43</c:v>
                </c:pt>
                <c:pt idx="28">
                  <c:v>407.68</c:v>
                </c:pt>
                <c:pt idx="29">
                  <c:v>386.21</c:v>
                </c:pt>
                <c:pt idx="30">
                  <c:v>357.18</c:v>
                </c:pt>
                <c:pt idx="31">
                  <c:v>395.18</c:v>
                </c:pt>
                <c:pt idx="32">
                  <c:v>411.99</c:v>
                </c:pt>
                <c:pt idx="33">
                  <c:v>377.25</c:v>
                </c:pt>
                <c:pt idx="34">
                  <c:v>412.93</c:v>
                </c:pt>
                <c:pt idx="35">
                  <c:v>412</c:v>
                </c:pt>
                <c:pt idx="36">
                  <c:v>451.64</c:v>
                </c:pt>
                <c:pt idx="37">
                  <c:v>436.63</c:v>
                </c:pt>
                <c:pt idx="38">
                  <c:v>449.91</c:v>
                </c:pt>
                <c:pt idx="39">
                  <c:v>474.96</c:v>
                </c:pt>
                <c:pt idx="40">
                  <c:v>455.56</c:v>
                </c:pt>
                <c:pt idx="41">
                  <c:v>459.25</c:v>
                </c:pt>
                <c:pt idx="42">
                  <c:v>429.14</c:v>
                </c:pt>
                <c:pt idx="43">
                  <c:v>451.56</c:v>
                </c:pt>
                <c:pt idx="44">
                  <c:v>438.51</c:v>
                </c:pt>
                <c:pt idx="45">
                  <c:v>428.06</c:v>
                </c:pt>
                <c:pt idx="46">
                  <c:v>420.04</c:v>
                </c:pt>
                <c:pt idx="47">
                  <c:v>417.3</c:v>
                </c:pt>
                <c:pt idx="48">
                  <c:v>396.33</c:v>
                </c:pt>
                <c:pt idx="49">
                  <c:v>380.36</c:v>
                </c:pt>
                <c:pt idx="50">
                  <c:v>370.07</c:v>
                </c:pt>
                <c:pt idx="51">
                  <c:v>373.88</c:v>
                </c:pt>
                <c:pt idx="52">
                  <c:v>362.06</c:v>
                </c:pt>
                <c:pt idx="53">
                  <c:v>326.54000000000002</c:v>
                </c:pt>
                <c:pt idx="54">
                  <c:v>334.89</c:v>
                </c:pt>
                <c:pt idx="55">
                  <c:v>349.31</c:v>
                </c:pt>
                <c:pt idx="56">
                  <c:v>326.52</c:v>
                </c:pt>
                <c:pt idx="57">
                  <c:v>308.36</c:v>
                </c:pt>
                <c:pt idx="58">
                  <c:v>304.32</c:v>
                </c:pt>
                <c:pt idx="59">
                  <c:v>290.48</c:v>
                </c:pt>
                <c:pt idx="60">
                  <c:v>257.75</c:v>
                </c:pt>
                <c:pt idx="61">
                  <c:v>296.26</c:v>
                </c:pt>
                <c:pt idx="62">
                  <c:v>321.73</c:v>
                </c:pt>
                <c:pt idx="63">
                  <c:v>321.86</c:v>
                </c:pt>
                <c:pt idx="64">
                  <c:v>314.31</c:v>
                </c:pt>
                <c:pt idx="65">
                  <c:v>303.33</c:v>
                </c:pt>
                <c:pt idx="66">
                  <c:v>296.77</c:v>
                </c:pt>
                <c:pt idx="67">
                  <c:v>292.45</c:v>
                </c:pt>
                <c:pt idx="68">
                  <c:v>297.43</c:v>
                </c:pt>
                <c:pt idx="69">
                  <c:v>293</c:v>
                </c:pt>
                <c:pt idx="70">
                  <c:v>275.27</c:v>
                </c:pt>
                <c:pt idx="71">
                  <c:v>294.02</c:v>
                </c:pt>
                <c:pt idx="72">
                  <c:v>282.48</c:v>
                </c:pt>
                <c:pt idx="73">
                  <c:v>278.68</c:v>
                </c:pt>
                <c:pt idx="74">
                  <c:v>269.93</c:v>
                </c:pt>
                <c:pt idx="75">
                  <c:v>249.92</c:v>
                </c:pt>
                <c:pt idx="76">
                  <c:v>275.64999999999998</c:v>
                </c:pt>
                <c:pt idx="77">
                  <c:v>270.63</c:v>
                </c:pt>
                <c:pt idx="78">
                  <c:v>290.72000000000003</c:v>
                </c:pt>
                <c:pt idx="79">
                  <c:v>290.31</c:v>
                </c:pt>
                <c:pt idx="80">
                  <c:v>281.33</c:v>
                </c:pt>
                <c:pt idx="81">
                  <c:v>271.27999999999997</c:v>
                </c:pt>
                <c:pt idx="82">
                  <c:v>270.94</c:v>
                </c:pt>
                <c:pt idx="83">
                  <c:v>264.51</c:v>
                </c:pt>
                <c:pt idx="84">
                  <c:v>263.14999999999998</c:v>
                </c:pt>
                <c:pt idx="85">
                  <c:v>271.64999999999998</c:v>
                </c:pt>
                <c:pt idx="86">
                  <c:v>281.89999999999998</c:v>
                </c:pt>
                <c:pt idx="87">
                  <c:v>266.86</c:v>
                </c:pt>
                <c:pt idx="88">
                  <c:v>265.01</c:v>
                </c:pt>
                <c:pt idx="89">
                  <c:v>257.14999999999998</c:v>
                </c:pt>
                <c:pt idx="90">
                  <c:v>251.23</c:v>
                </c:pt>
                <c:pt idx="91">
                  <c:v>247.49</c:v>
                </c:pt>
                <c:pt idx="92">
                  <c:v>246.77</c:v>
                </c:pt>
                <c:pt idx="93">
                  <c:v>241.8</c:v>
                </c:pt>
                <c:pt idx="94">
                  <c:v>241.44</c:v>
                </c:pt>
                <c:pt idx="95">
                  <c:v>238.08</c:v>
                </c:pt>
                <c:pt idx="96">
                  <c:v>235.74</c:v>
                </c:pt>
                <c:pt idx="97">
                  <c:v>236.47</c:v>
                </c:pt>
                <c:pt idx="98">
                  <c:v>227.53</c:v>
                </c:pt>
                <c:pt idx="99">
                  <c:v>223.53</c:v>
                </c:pt>
                <c:pt idx="100">
                  <c:v>220.38</c:v>
                </c:pt>
                <c:pt idx="101">
                  <c:v>212.55</c:v>
                </c:pt>
                <c:pt idx="102">
                  <c:v>216.3</c:v>
                </c:pt>
                <c:pt idx="103">
                  <c:v>217.38</c:v>
                </c:pt>
                <c:pt idx="104">
                  <c:v>217.12</c:v>
                </c:pt>
                <c:pt idx="105">
                  <c:v>209.47499999999999</c:v>
                </c:pt>
                <c:pt idx="106">
                  <c:v>209.84</c:v>
                </c:pt>
                <c:pt idx="107">
                  <c:v>206.33080000000001</c:v>
                </c:pt>
                <c:pt idx="108">
                  <c:v>205.52</c:v>
                </c:pt>
                <c:pt idx="109">
                  <c:v>193.56</c:v>
                </c:pt>
                <c:pt idx="110">
                  <c:v>193.7208</c:v>
                </c:pt>
                <c:pt idx="111">
                  <c:v>203.87</c:v>
                </c:pt>
                <c:pt idx="112">
                  <c:v>208.69</c:v>
                </c:pt>
                <c:pt idx="113">
                  <c:v>207.93</c:v>
                </c:pt>
                <c:pt idx="114">
                  <c:v>191.63</c:v>
                </c:pt>
                <c:pt idx="115">
                  <c:v>197.67</c:v>
                </c:pt>
                <c:pt idx="116">
                  <c:v>210.5</c:v>
                </c:pt>
                <c:pt idx="117">
                  <c:v>205.85</c:v>
                </c:pt>
                <c:pt idx="118">
                  <c:v>211.14</c:v>
                </c:pt>
                <c:pt idx="119">
                  <c:v>208.46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4F-46BB-8A2B-0C2D4A637B6C}"/>
            </c:ext>
          </c:extLst>
        </c:ser>
        <c:ser>
          <c:idx val="1"/>
          <c:order val="1"/>
          <c:tx>
            <c:strRef>
              <c:f>'SPY&amp;BETA'!$D$3</c:f>
              <c:strCache>
                <c:ptCount val="1"/>
                <c:pt idx="0">
                  <c:v>MCD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'SPY&amp;BETA'!$D$4:$D$123</c:f>
              <c:numCache>
                <c:formatCode>#,##0.00</c:formatCode>
                <c:ptCount val="120"/>
                <c:pt idx="0">
                  <c:v>312.37</c:v>
                </c:pt>
                <c:pt idx="1">
                  <c:v>308.33</c:v>
                </c:pt>
                <c:pt idx="2">
                  <c:v>288.7</c:v>
                </c:pt>
                <c:pt idx="3">
                  <c:v>289.89</c:v>
                </c:pt>
                <c:pt idx="4">
                  <c:v>296.01</c:v>
                </c:pt>
                <c:pt idx="5">
                  <c:v>292.11</c:v>
                </c:pt>
                <c:pt idx="6">
                  <c:v>304.51</c:v>
                </c:pt>
                <c:pt idx="7">
                  <c:v>288.66000000000003</c:v>
                </c:pt>
                <c:pt idx="8">
                  <c:v>265.39999999999998</c:v>
                </c:pt>
                <c:pt idx="9">
                  <c:v>254.84</c:v>
                </c:pt>
                <c:pt idx="10">
                  <c:v>258.89</c:v>
                </c:pt>
                <c:pt idx="11">
                  <c:v>273.04000000000002</c:v>
                </c:pt>
                <c:pt idx="12">
                  <c:v>281.95</c:v>
                </c:pt>
                <c:pt idx="13">
                  <c:v>292.27999999999997</c:v>
                </c:pt>
                <c:pt idx="14">
                  <c:v>292.72000000000003</c:v>
                </c:pt>
                <c:pt idx="15">
                  <c:v>296.51</c:v>
                </c:pt>
                <c:pt idx="16">
                  <c:v>281.83999999999997</c:v>
                </c:pt>
                <c:pt idx="17">
                  <c:v>262.17</c:v>
                </c:pt>
                <c:pt idx="18">
                  <c:v>263.44</c:v>
                </c:pt>
                <c:pt idx="19">
                  <c:v>281.14999999999998</c:v>
                </c:pt>
                <c:pt idx="20">
                  <c:v>293.2</c:v>
                </c:pt>
                <c:pt idx="21">
                  <c:v>298.41000000000003</c:v>
                </c:pt>
                <c:pt idx="22">
                  <c:v>285.11</c:v>
                </c:pt>
                <c:pt idx="23">
                  <c:v>295.75</c:v>
                </c:pt>
                <c:pt idx="24">
                  <c:v>279.61</c:v>
                </c:pt>
                <c:pt idx="25">
                  <c:v>263.91000000000003</c:v>
                </c:pt>
                <c:pt idx="26">
                  <c:v>267.39999999999998</c:v>
                </c:pt>
                <c:pt idx="27">
                  <c:v>263.52999999999997</c:v>
                </c:pt>
                <c:pt idx="28">
                  <c:v>272.79000000000002</c:v>
                </c:pt>
                <c:pt idx="29">
                  <c:v>272.66000000000003</c:v>
                </c:pt>
                <c:pt idx="30">
                  <c:v>230.74</c:v>
                </c:pt>
                <c:pt idx="31">
                  <c:v>252.28</c:v>
                </c:pt>
                <c:pt idx="32">
                  <c:v>263.37</c:v>
                </c:pt>
                <c:pt idx="33">
                  <c:v>246.88</c:v>
                </c:pt>
                <c:pt idx="34">
                  <c:v>252.21</c:v>
                </c:pt>
                <c:pt idx="35">
                  <c:v>249.16</c:v>
                </c:pt>
                <c:pt idx="36">
                  <c:v>247.28</c:v>
                </c:pt>
                <c:pt idx="37">
                  <c:v>244.77</c:v>
                </c:pt>
                <c:pt idx="38">
                  <c:v>259.45</c:v>
                </c:pt>
                <c:pt idx="39">
                  <c:v>268.07</c:v>
                </c:pt>
                <c:pt idx="40">
                  <c:v>244.6</c:v>
                </c:pt>
                <c:pt idx="41">
                  <c:v>245.55</c:v>
                </c:pt>
                <c:pt idx="42">
                  <c:v>241.11</c:v>
                </c:pt>
                <c:pt idx="43">
                  <c:v>237.46</c:v>
                </c:pt>
                <c:pt idx="44">
                  <c:v>242.71</c:v>
                </c:pt>
                <c:pt idx="45">
                  <c:v>230.99</c:v>
                </c:pt>
                <c:pt idx="46">
                  <c:v>233.89</c:v>
                </c:pt>
                <c:pt idx="47">
                  <c:v>236.08</c:v>
                </c:pt>
                <c:pt idx="48">
                  <c:v>224.14</c:v>
                </c:pt>
                <c:pt idx="49">
                  <c:v>206.14</c:v>
                </c:pt>
                <c:pt idx="50">
                  <c:v>207.84</c:v>
                </c:pt>
                <c:pt idx="51">
                  <c:v>214.58</c:v>
                </c:pt>
                <c:pt idx="52">
                  <c:v>217.44</c:v>
                </c:pt>
                <c:pt idx="53">
                  <c:v>213</c:v>
                </c:pt>
                <c:pt idx="54">
                  <c:v>219.49</c:v>
                </c:pt>
                <c:pt idx="55">
                  <c:v>213.52</c:v>
                </c:pt>
                <c:pt idx="56">
                  <c:v>194.28</c:v>
                </c:pt>
                <c:pt idx="57">
                  <c:v>184.47</c:v>
                </c:pt>
                <c:pt idx="58">
                  <c:v>186.32</c:v>
                </c:pt>
                <c:pt idx="59">
                  <c:v>187.56</c:v>
                </c:pt>
                <c:pt idx="60">
                  <c:v>165.35</c:v>
                </c:pt>
                <c:pt idx="61">
                  <c:v>194.17</c:v>
                </c:pt>
                <c:pt idx="62">
                  <c:v>213.97</c:v>
                </c:pt>
                <c:pt idx="63">
                  <c:v>197.61</c:v>
                </c:pt>
                <c:pt idx="64">
                  <c:v>194.48</c:v>
                </c:pt>
                <c:pt idx="65">
                  <c:v>196.7</c:v>
                </c:pt>
                <c:pt idx="66">
                  <c:v>214.71</c:v>
                </c:pt>
                <c:pt idx="67">
                  <c:v>217.97</c:v>
                </c:pt>
                <c:pt idx="68">
                  <c:v>210.72</c:v>
                </c:pt>
                <c:pt idx="69">
                  <c:v>207.66</c:v>
                </c:pt>
                <c:pt idx="70">
                  <c:v>198.27</c:v>
                </c:pt>
                <c:pt idx="71">
                  <c:v>197.57</c:v>
                </c:pt>
                <c:pt idx="72">
                  <c:v>189.9</c:v>
                </c:pt>
                <c:pt idx="73">
                  <c:v>183.84</c:v>
                </c:pt>
                <c:pt idx="74">
                  <c:v>178.78</c:v>
                </c:pt>
                <c:pt idx="75">
                  <c:v>177.57</c:v>
                </c:pt>
                <c:pt idx="76">
                  <c:v>188.51</c:v>
                </c:pt>
                <c:pt idx="77">
                  <c:v>176.9</c:v>
                </c:pt>
                <c:pt idx="78">
                  <c:v>167.29</c:v>
                </c:pt>
                <c:pt idx="79">
                  <c:v>162.22999999999999</c:v>
                </c:pt>
                <c:pt idx="80">
                  <c:v>157.54</c:v>
                </c:pt>
                <c:pt idx="81">
                  <c:v>156.69</c:v>
                </c:pt>
                <c:pt idx="82">
                  <c:v>160.01</c:v>
                </c:pt>
                <c:pt idx="83">
                  <c:v>167.44</c:v>
                </c:pt>
                <c:pt idx="84">
                  <c:v>156.38</c:v>
                </c:pt>
                <c:pt idx="85">
                  <c:v>157.74</c:v>
                </c:pt>
                <c:pt idx="86">
                  <c:v>171.14</c:v>
                </c:pt>
                <c:pt idx="87">
                  <c:v>172.12</c:v>
                </c:pt>
                <c:pt idx="88">
                  <c:v>171.97</c:v>
                </c:pt>
                <c:pt idx="89">
                  <c:v>166.91</c:v>
                </c:pt>
                <c:pt idx="90">
                  <c:v>156.68</c:v>
                </c:pt>
                <c:pt idx="91">
                  <c:v>159.97</c:v>
                </c:pt>
                <c:pt idx="92">
                  <c:v>155.13999999999999</c:v>
                </c:pt>
                <c:pt idx="93">
                  <c:v>153.16</c:v>
                </c:pt>
                <c:pt idx="94">
                  <c:v>150.88999999999999</c:v>
                </c:pt>
                <c:pt idx="95">
                  <c:v>139.93</c:v>
                </c:pt>
                <c:pt idx="96">
                  <c:v>129.61000000000001</c:v>
                </c:pt>
                <c:pt idx="97">
                  <c:v>127.65</c:v>
                </c:pt>
                <c:pt idx="98">
                  <c:v>122.57</c:v>
                </c:pt>
                <c:pt idx="99">
                  <c:v>121.72</c:v>
                </c:pt>
                <c:pt idx="100">
                  <c:v>119.27</c:v>
                </c:pt>
                <c:pt idx="101">
                  <c:v>112.57</c:v>
                </c:pt>
                <c:pt idx="102">
                  <c:v>115.36</c:v>
                </c:pt>
                <c:pt idx="103">
                  <c:v>115.66</c:v>
                </c:pt>
                <c:pt idx="104">
                  <c:v>117.65</c:v>
                </c:pt>
                <c:pt idx="105">
                  <c:v>120.34</c:v>
                </c:pt>
                <c:pt idx="106">
                  <c:v>122.06</c:v>
                </c:pt>
                <c:pt idx="107">
                  <c:v>126.49</c:v>
                </c:pt>
                <c:pt idx="108">
                  <c:v>125.68</c:v>
                </c:pt>
                <c:pt idx="109">
                  <c:v>117.19</c:v>
                </c:pt>
                <c:pt idx="110">
                  <c:v>123.78</c:v>
                </c:pt>
                <c:pt idx="111">
                  <c:v>118.14</c:v>
                </c:pt>
                <c:pt idx="112">
                  <c:v>114.16</c:v>
                </c:pt>
                <c:pt idx="113">
                  <c:v>112.25</c:v>
                </c:pt>
                <c:pt idx="114">
                  <c:v>98.53</c:v>
                </c:pt>
                <c:pt idx="115">
                  <c:v>95.02</c:v>
                </c:pt>
                <c:pt idx="116">
                  <c:v>99.86</c:v>
                </c:pt>
                <c:pt idx="117">
                  <c:v>95.07</c:v>
                </c:pt>
                <c:pt idx="118">
                  <c:v>95.93</c:v>
                </c:pt>
                <c:pt idx="119">
                  <c:v>96.55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4F-46BB-8A2B-0C2D4A637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997743"/>
        <c:axId val="909000623"/>
      </c:lineChart>
      <c:catAx>
        <c:axId val="908997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000623"/>
        <c:crosses val="autoZero"/>
        <c:auto val="1"/>
        <c:lblAlgn val="ctr"/>
        <c:lblOffset val="100"/>
        <c:noMultiLvlLbl val="0"/>
      </c:catAx>
      <c:valAx>
        <c:axId val="90900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99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SPY vs NOC</a:t>
            </a:r>
            <a:r>
              <a:rPr lang="en-US" sz="1400" b="1" baseline="0"/>
              <a:t> - Last 10 Years - Price Movements</a:t>
            </a:r>
          </a:p>
          <a:p>
            <a:pPr>
              <a:defRPr/>
            </a:pPr>
            <a:r>
              <a:rPr lang="en-US" sz="1400" b="1" baseline="0"/>
              <a:t>source:  Factset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'SPY&amp;BETA'!$B$3</c:f>
              <c:strCache>
                <c:ptCount val="1"/>
                <c:pt idx="0">
                  <c:v>SPY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'SPY&amp;BETA'!$B$4:$B$123</c:f>
              <c:numCache>
                <c:formatCode>#,##0.00</c:formatCode>
                <c:ptCount val="120"/>
                <c:pt idx="0">
                  <c:v>559.39</c:v>
                </c:pt>
                <c:pt idx="1">
                  <c:v>594.17999999999995</c:v>
                </c:pt>
                <c:pt idx="2">
                  <c:v>601.82000000000005</c:v>
                </c:pt>
                <c:pt idx="3">
                  <c:v>586.08000000000004</c:v>
                </c:pt>
                <c:pt idx="4">
                  <c:v>602.54999999999995</c:v>
                </c:pt>
                <c:pt idx="5">
                  <c:v>568.64</c:v>
                </c:pt>
                <c:pt idx="6">
                  <c:v>573.76</c:v>
                </c:pt>
                <c:pt idx="7">
                  <c:v>563.67999999999995</c:v>
                </c:pt>
                <c:pt idx="8">
                  <c:v>550.80999999999995</c:v>
                </c:pt>
                <c:pt idx="9">
                  <c:v>544.22</c:v>
                </c:pt>
                <c:pt idx="10">
                  <c:v>527.37</c:v>
                </c:pt>
                <c:pt idx="11">
                  <c:v>501.98</c:v>
                </c:pt>
                <c:pt idx="12">
                  <c:v>523.07000000000005</c:v>
                </c:pt>
                <c:pt idx="13">
                  <c:v>508.08</c:v>
                </c:pt>
                <c:pt idx="14">
                  <c:v>482.88</c:v>
                </c:pt>
                <c:pt idx="15">
                  <c:v>475.31</c:v>
                </c:pt>
                <c:pt idx="16">
                  <c:v>456.4</c:v>
                </c:pt>
                <c:pt idx="17">
                  <c:v>418.2</c:v>
                </c:pt>
                <c:pt idx="18">
                  <c:v>427.48</c:v>
                </c:pt>
                <c:pt idx="19">
                  <c:v>450.35</c:v>
                </c:pt>
                <c:pt idx="20">
                  <c:v>457.79</c:v>
                </c:pt>
                <c:pt idx="21">
                  <c:v>443.28</c:v>
                </c:pt>
                <c:pt idx="22">
                  <c:v>417.85</c:v>
                </c:pt>
                <c:pt idx="23">
                  <c:v>415.93</c:v>
                </c:pt>
                <c:pt idx="24">
                  <c:v>409.39</c:v>
                </c:pt>
                <c:pt idx="25">
                  <c:v>396.26</c:v>
                </c:pt>
                <c:pt idx="26">
                  <c:v>406.48</c:v>
                </c:pt>
                <c:pt idx="27">
                  <c:v>382.43</c:v>
                </c:pt>
                <c:pt idx="28">
                  <c:v>407.68</c:v>
                </c:pt>
                <c:pt idx="29">
                  <c:v>386.21</c:v>
                </c:pt>
                <c:pt idx="30">
                  <c:v>357.18</c:v>
                </c:pt>
                <c:pt idx="31">
                  <c:v>395.18</c:v>
                </c:pt>
                <c:pt idx="32">
                  <c:v>411.99</c:v>
                </c:pt>
                <c:pt idx="33">
                  <c:v>377.25</c:v>
                </c:pt>
                <c:pt idx="34">
                  <c:v>412.93</c:v>
                </c:pt>
                <c:pt idx="35">
                  <c:v>412</c:v>
                </c:pt>
                <c:pt idx="36">
                  <c:v>451.64</c:v>
                </c:pt>
                <c:pt idx="37">
                  <c:v>436.63</c:v>
                </c:pt>
                <c:pt idx="38">
                  <c:v>449.91</c:v>
                </c:pt>
                <c:pt idx="39">
                  <c:v>474.96</c:v>
                </c:pt>
                <c:pt idx="40">
                  <c:v>455.56</c:v>
                </c:pt>
                <c:pt idx="41">
                  <c:v>459.25</c:v>
                </c:pt>
                <c:pt idx="42">
                  <c:v>429.14</c:v>
                </c:pt>
                <c:pt idx="43">
                  <c:v>451.56</c:v>
                </c:pt>
                <c:pt idx="44">
                  <c:v>438.51</c:v>
                </c:pt>
                <c:pt idx="45">
                  <c:v>428.06</c:v>
                </c:pt>
                <c:pt idx="46">
                  <c:v>420.04</c:v>
                </c:pt>
                <c:pt idx="47">
                  <c:v>417.3</c:v>
                </c:pt>
                <c:pt idx="48">
                  <c:v>396.33</c:v>
                </c:pt>
                <c:pt idx="49">
                  <c:v>380.36</c:v>
                </c:pt>
                <c:pt idx="50">
                  <c:v>370.07</c:v>
                </c:pt>
                <c:pt idx="51">
                  <c:v>373.88</c:v>
                </c:pt>
                <c:pt idx="52">
                  <c:v>362.06</c:v>
                </c:pt>
                <c:pt idx="53">
                  <c:v>326.54000000000002</c:v>
                </c:pt>
                <c:pt idx="54">
                  <c:v>334.89</c:v>
                </c:pt>
                <c:pt idx="55">
                  <c:v>349.31</c:v>
                </c:pt>
                <c:pt idx="56">
                  <c:v>326.52</c:v>
                </c:pt>
                <c:pt idx="57">
                  <c:v>308.36</c:v>
                </c:pt>
                <c:pt idx="58">
                  <c:v>304.32</c:v>
                </c:pt>
                <c:pt idx="59">
                  <c:v>290.48</c:v>
                </c:pt>
                <c:pt idx="60">
                  <c:v>257.75</c:v>
                </c:pt>
                <c:pt idx="61">
                  <c:v>296.26</c:v>
                </c:pt>
                <c:pt idx="62">
                  <c:v>321.73</c:v>
                </c:pt>
                <c:pt idx="63">
                  <c:v>321.86</c:v>
                </c:pt>
                <c:pt idx="64">
                  <c:v>314.31</c:v>
                </c:pt>
                <c:pt idx="65">
                  <c:v>303.33</c:v>
                </c:pt>
                <c:pt idx="66">
                  <c:v>296.77</c:v>
                </c:pt>
                <c:pt idx="67">
                  <c:v>292.45</c:v>
                </c:pt>
                <c:pt idx="68">
                  <c:v>297.43</c:v>
                </c:pt>
                <c:pt idx="69">
                  <c:v>293</c:v>
                </c:pt>
                <c:pt idx="70">
                  <c:v>275.27</c:v>
                </c:pt>
                <c:pt idx="71">
                  <c:v>294.02</c:v>
                </c:pt>
                <c:pt idx="72">
                  <c:v>282.48</c:v>
                </c:pt>
                <c:pt idx="73">
                  <c:v>278.68</c:v>
                </c:pt>
                <c:pt idx="74">
                  <c:v>269.93</c:v>
                </c:pt>
                <c:pt idx="75">
                  <c:v>249.92</c:v>
                </c:pt>
                <c:pt idx="76">
                  <c:v>275.64999999999998</c:v>
                </c:pt>
                <c:pt idx="77">
                  <c:v>270.63</c:v>
                </c:pt>
                <c:pt idx="78">
                  <c:v>290.72000000000003</c:v>
                </c:pt>
                <c:pt idx="79">
                  <c:v>290.31</c:v>
                </c:pt>
                <c:pt idx="80">
                  <c:v>281.33</c:v>
                </c:pt>
                <c:pt idx="81">
                  <c:v>271.27999999999997</c:v>
                </c:pt>
                <c:pt idx="82">
                  <c:v>270.94</c:v>
                </c:pt>
                <c:pt idx="83">
                  <c:v>264.51</c:v>
                </c:pt>
                <c:pt idx="84">
                  <c:v>263.14999999999998</c:v>
                </c:pt>
                <c:pt idx="85">
                  <c:v>271.64999999999998</c:v>
                </c:pt>
                <c:pt idx="86">
                  <c:v>281.89999999999998</c:v>
                </c:pt>
                <c:pt idx="87">
                  <c:v>266.86</c:v>
                </c:pt>
                <c:pt idx="88">
                  <c:v>265.01</c:v>
                </c:pt>
                <c:pt idx="89">
                  <c:v>257.14999999999998</c:v>
                </c:pt>
                <c:pt idx="90">
                  <c:v>251.23</c:v>
                </c:pt>
                <c:pt idx="91">
                  <c:v>247.49</c:v>
                </c:pt>
                <c:pt idx="92">
                  <c:v>246.77</c:v>
                </c:pt>
                <c:pt idx="93">
                  <c:v>241.8</c:v>
                </c:pt>
                <c:pt idx="94">
                  <c:v>241.44</c:v>
                </c:pt>
                <c:pt idx="95">
                  <c:v>238.08</c:v>
                </c:pt>
                <c:pt idx="96">
                  <c:v>235.74</c:v>
                </c:pt>
                <c:pt idx="97">
                  <c:v>236.47</c:v>
                </c:pt>
                <c:pt idx="98">
                  <c:v>227.53</c:v>
                </c:pt>
                <c:pt idx="99">
                  <c:v>223.53</c:v>
                </c:pt>
                <c:pt idx="100">
                  <c:v>220.38</c:v>
                </c:pt>
                <c:pt idx="101">
                  <c:v>212.55</c:v>
                </c:pt>
                <c:pt idx="102">
                  <c:v>216.3</c:v>
                </c:pt>
                <c:pt idx="103">
                  <c:v>217.38</c:v>
                </c:pt>
                <c:pt idx="104">
                  <c:v>217.12</c:v>
                </c:pt>
                <c:pt idx="105">
                  <c:v>209.47499999999999</c:v>
                </c:pt>
                <c:pt idx="106">
                  <c:v>209.84</c:v>
                </c:pt>
                <c:pt idx="107">
                  <c:v>206.33080000000001</c:v>
                </c:pt>
                <c:pt idx="108">
                  <c:v>205.52</c:v>
                </c:pt>
                <c:pt idx="109">
                  <c:v>193.56</c:v>
                </c:pt>
                <c:pt idx="110">
                  <c:v>193.7208</c:v>
                </c:pt>
                <c:pt idx="111">
                  <c:v>203.87</c:v>
                </c:pt>
                <c:pt idx="112">
                  <c:v>208.69</c:v>
                </c:pt>
                <c:pt idx="113">
                  <c:v>207.93</c:v>
                </c:pt>
                <c:pt idx="114">
                  <c:v>191.63</c:v>
                </c:pt>
                <c:pt idx="115">
                  <c:v>197.67</c:v>
                </c:pt>
                <c:pt idx="116">
                  <c:v>210.5</c:v>
                </c:pt>
                <c:pt idx="117">
                  <c:v>205.85</c:v>
                </c:pt>
                <c:pt idx="118">
                  <c:v>211.14</c:v>
                </c:pt>
                <c:pt idx="119">
                  <c:v>208.46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19-4715-92AC-F39803001502}"/>
            </c:ext>
          </c:extLst>
        </c:ser>
        <c:ser>
          <c:idx val="1"/>
          <c:order val="1"/>
          <c:tx>
            <c:strRef>
              <c:f>'SPY&amp;BETA'!$C$3</c:f>
              <c:strCache>
                <c:ptCount val="1"/>
                <c:pt idx="0">
                  <c:v>NOC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'SPY&amp;BETA'!$C$4:$C$123</c:f>
              <c:numCache>
                <c:formatCode>#,##0.00</c:formatCode>
                <c:ptCount val="120"/>
                <c:pt idx="0">
                  <c:v>512.01</c:v>
                </c:pt>
                <c:pt idx="1">
                  <c:v>461.74</c:v>
                </c:pt>
                <c:pt idx="2">
                  <c:v>487.27</c:v>
                </c:pt>
                <c:pt idx="3">
                  <c:v>469.29</c:v>
                </c:pt>
                <c:pt idx="4">
                  <c:v>489.65</c:v>
                </c:pt>
                <c:pt idx="5">
                  <c:v>509.02</c:v>
                </c:pt>
                <c:pt idx="6">
                  <c:v>528.07000000000005</c:v>
                </c:pt>
                <c:pt idx="7">
                  <c:v>523.21</c:v>
                </c:pt>
                <c:pt idx="8">
                  <c:v>484.32</c:v>
                </c:pt>
                <c:pt idx="9">
                  <c:v>435.95</c:v>
                </c:pt>
                <c:pt idx="10">
                  <c:v>450.77</c:v>
                </c:pt>
                <c:pt idx="11">
                  <c:v>485.03</c:v>
                </c:pt>
                <c:pt idx="12">
                  <c:v>478.66</c:v>
                </c:pt>
                <c:pt idx="13">
                  <c:v>461.02</c:v>
                </c:pt>
                <c:pt idx="14">
                  <c:v>446.76</c:v>
                </c:pt>
                <c:pt idx="15">
                  <c:v>468.14</c:v>
                </c:pt>
                <c:pt idx="16">
                  <c:v>475.16</c:v>
                </c:pt>
                <c:pt idx="17">
                  <c:v>471.43</c:v>
                </c:pt>
                <c:pt idx="18">
                  <c:v>440.19</c:v>
                </c:pt>
                <c:pt idx="19">
                  <c:v>433.09</c:v>
                </c:pt>
                <c:pt idx="20">
                  <c:v>445</c:v>
                </c:pt>
                <c:pt idx="21">
                  <c:v>455.8</c:v>
                </c:pt>
                <c:pt idx="22">
                  <c:v>435.49</c:v>
                </c:pt>
                <c:pt idx="23">
                  <c:v>461.27</c:v>
                </c:pt>
                <c:pt idx="24">
                  <c:v>461.72</c:v>
                </c:pt>
                <c:pt idx="25">
                  <c:v>464.11</c:v>
                </c:pt>
                <c:pt idx="26">
                  <c:v>448.04</c:v>
                </c:pt>
                <c:pt idx="27">
                  <c:v>545.61</c:v>
                </c:pt>
                <c:pt idx="28">
                  <c:v>533.29</c:v>
                </c:pt>
                <c:pt idx="29">
                  <c:v>549.01</c:v>
                </c:pt>
                <c:pt idx="30">
                  <c:v>470.32</c:v>
                </c:pt>
                <c:pt idx="31">
                  <c:v>477.99</c:v>
                </c:pt>
                <c:pt idx="32">
                  <c:v>478.9</c:v>
                </c:pt>
                <c:pt idx="33">
                  <c:v>478.57</c:v>
                </c:pt>
                <c:pt idx="34">
                  <c:v>467.97</c:v>
                </c:pt>
                <c:pt idx="35">
                  <c:v>439.4</c:v>
                </c:pt>
                <c:pt idx="36">
                  <c:v>447.22</c:v>
                </c:pt>
                <c:pt idx="37">
                  <c:v>442.14</c:v>
                </c:pt>
                <c:pt idx="38">
                  <c:v>369.9</c:v>
                </c:pt>
                <c:pt idx="39">
                  <c:v>387.07</c:v>
                </c:pt>
                <c:pt idx="40">
                  <c:v>348.8</c:v>
                </c:pt>
                <c:pt idx="41">
                  <c:v>357.22</c:v>
                </c:pt>
                <c:pt idx="42">
                  <c:v>360.15</c:v>
                </c:pt>
                <c:pt idx="43">
                  <c:v>367.7</c:v>
                </c:pt>
                <c:pt idx="44">
                  <c:v>363.02</c:v>
                </c:pt>
                <c:pt idx="45">
                  <c:v>363.43</c:v>
                </c:pt>
                <c:pt idx="46">
                  <c:v>365.87</c:v>
                </c:pt>
                <c:pt idx="47">
                  <c:v>354.44</c:v>
                </c:pt>
                <c:pt idx="48">
                  <c:v>323.64</c:v>
                </c:pt>
                <c:pt idx="49">
                  <c:v>291.66000000000003</c:v>
                </c:pt>
                <c:pt idx="50">
                  <c:v>286.61</c:v>
                </c:pt>
                <c:pt idx="51">
                  <c:v>304.72000000000003</c:v>
                </c:pt>
                <c:pt idx="52">
                  <c:v>302.26</c:v>
                </c:pt>
                <c:pt idx="53">
                  <c:v>289.82</c:v>
                </c:pt>
                <c:pt idx="54">
                  <c:v>315.49</c:v>
                </c:pt>
                <c:pt idx="55">
                  <c:v>342.61</c:v>
                </c:pt>
                <c:pt idx="56">
                  <c:v>325.01</c:v>
                </c:pt>
                <c:pt idx="57">
                  <c:v>307.44</c:v>
                </c:pt>
                <c:pt idx="58">
                  <c:v>335.2</c:v>
                </c:pt>
                <c:pt idx="59">
                  <c:v>330.67</c:v>
                </c:pt>
                <c:pt idx="60">
                  <c:v>302.55</c:v>
                </c:pt>
                <c:pt idx="61">
                  <c:v>328.84</c:v>
                </c:pt>
                <c:pt idx="62">
                  <c:v>374.57</c:v>
                </c:pt>
                <c:pt idx="63">
                  <c:v>343.97</c:v>
                </c:pt>
                <c:pt idx="64">
                  <c:v>351.77</c:v>
                </c:pt>
                <c:pt idx="65">
                  <c:v>352.48</c:v>
                </c:pt>
                <c:pt idx="66">
                  <c:v>374.79</c:v>
                </c:pt>
                <c:pt idx="67">
                  <c:v>367.87</c:v>
                </c:pt>
                <c:pt idx="68">
                  <c:v>345.57</c:v>
                </c:pt>
                <c:pt idx="69">
                  <c:v>323.11</c:v>
                </c:pt>
                <c:pt idx="70">
                  <c:v>303.25</c:v>
                </c:pt>
                <c:pt idx="71">
                  <c:v>289.91000000000003</c:v>
                </c:pt>
                <c:pt idx="72">
                  <c:v>269.60000000000002</c:v>
                </c:pt>
                <c:pt idx="73">
                  <c:v>289.95999999999998</c:v>
                </c:pt>
                <c:pt idx="74">
                  <c:v>275.55</c:v>
                </c:pt>
                <c:pt idx="75">
                  <c:v>244.9</c:v>
                </c:pt>
                <c:pt idx="76">
                  <c:v>259.88</c:v>
                </c:pt>
                <c:pt idx="77">
                  <c:v>261.95</c:v>
                </c:pt>
                <c:pt idx="78">
                  <c:v>317.37</c:v>
                </c:pt>
                <c:pt idx="79">
                  <c:v>298.49</c:v>
                </c:pt>
                <c:pt idx="80">
                  <c:v>300.49</c:v>
                </c:pt>
                <c:pt idx="81">
                  <c:v>307.7</c:v>
                </c:pt>
                <c:pt idx="82">
                  <c:v>327.25</c:v>
                </c:pt>
                <c:pt idx="83">
                  <c:v>322.04000000000002</c:v>
                </c:pt>
                <c:pt idx="84">
                  <c:v>349.12</c:v>
                </c:pt>
                <c:pt idx="85">
                  <c:v>350.04</c:v>
                </c:pt>
                <c:pt idx="86">
                  <c:v>340.53</c:v>
                </c:pt>
                <c:pt idx="87">
                  <c:v>306.91000000000003</c:v>
                </c:pt>
                <c:pt idx="88">
                  <c:v>307.39999999999998</c:v>
                </c:pt>
                <c:pt idx="89">
                  <c:v>295.52999999999997</c:v>
                </c:pt>
                <c:pt idx="90">
                  <c:v>287.72000000000003</c:v>
                </c:pt>
                <c:pt idx="91">
                  <c:v>272.20999999999998</c:v>
                </c:pt>
                <c:pt idx="92">
                  <c:v>263.13</c:v>
                </c:pt>
                <c:pt idx="93">
                  <c:v>256.70999999999998</c:v>
                </c:pt>
                <c:pt idx="94">
                  <c:v>259.22000000000003</c:v>
                </c:pt>
                <c:pt idx="95">
                  <c:v>245.96</c:v>
                </c:pt>
                <c:pt idx="96">
                  <c:v>237.84</c:v>
                </c:pt>
                <c:pt idx="97">
                  <c:v>247.09</c:v>
                </c:pt>
                <c:pt idx="98">
                  <c:v>229.08</c:v>
                </c:pt>
                <c:pt idx="99">
                  <c:v>232.58</c:v>
                </c:pt>
                <c:pt idx="100">
                  <c:v>249.65</c:v>
                </c:pt>
                <c:pt idx="101">
                  <c:v>229</c:v>
                </c:pt>
                <c:pt idx="102">
                  <c:v>213.95</c:v>
                </c:pt>
                <c:pt idx="103">
                  <c:v>212.07</c:v>
                </c:pt>
                <c:pt idx="104">
                  <c:v>216.63</c:v>
                </c:pt>
                <c:pt idx="105">
                  <c:v>222.28</c:v>
                </c:pt>
                <c:pt idx="106">
                  <c:v>212.67</c:v>
                </c:pt>
                <c:pt idx="107">
                  <c:v>206.26</c:v>
                </c:pt>
                <c:pt idx="108">
                  <c:v>197.9</c:v>
                </c:pt>
                <c:pt idx="109">
                  <c:v>192.22</c:v>
                </c:pt>
                <c:pt idx="110">
                  <c:v>185.06</c:v>
                </c:pt>
                <c:pt idx="111">
                  <c:v>188.81</c:v>
                </c:pt>
                <c:pt idx="112">
                  <c:v>186.36</c:v>
                </c:pt>
                <c:pt idx="113">
                  <c:v>187.75</c:v>
                </c:pt>
                <c:pt idx="114">
                  <c:v>165.95</c:v>
                </c:pt>
                <c:pt idx="115">
                  <c:v>163.74</c:v>
                </c:pt>
                <c:pt idx="116">
                  <c:v>173.01</c:v>
                </c:pt>
                <c:pt idx="117">
                  <c:v>158.63</c:v>
                </c:pt>
                <c:pt idx="118">
                  <c:v>159.18</c:v>
                </c:pt>
                <c:pt idx="119">
                  <c:v>154.04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19-4715-92AC-F39803001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047663"/>
        <c:axId val="491048623"/>
      </c:lineChart>
      <c:catAx>
        <c:axId val="49104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48623"/>
        <c:crosses val="autoZero"/>
        <c:auto val="1"/>
        <c:lblAlgn val="ctr"/>
        <c:lblOffset val="100"/>
        <c:noMultiLvlLbl val="0"/>
      </c:catAx>
      <c:valAx>
        <c:axId val="49104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4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NOC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7281651947449057E-2"/>
                  <c:y val="-0.4121835620956678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 algn="ctr" rtl="0"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y = 0.4423x + 0.0079</a:t>
                    </a:r>
                  </a:p>
                  <a:p>
                    <a:pPr algn="ctr" rtl="0">
                      <a:defRPr/>
                    </a:pPr>
                    <a:r>
                      <a:rPr lang="en-US"/>
                      <a:t>R² = 0.1049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'SPY&amp;BETA'!$F$4:$F$122</c:f>
              <c:numCache>
                <c:formatCode>0.00%</c:formatCode>
                <c:ptCount val="119"/>
                <c:pt idx="0">
                  <c:v>-5.8551280756673041E-2</c:v>
                </c:pt>
                <c:pt idx="1">
                  <c:v>-1.2694825695390821E-2</c:v>
                </c:pt>
                <c:pt idx="2">
                  <c:v>2.6856401856401924E-2</c:v>
                </c:pt>
                <c:pt idx="3">
                  <c:v>-2.7333831217326243E-2</c:v>
                </c:pt>
                <c:pt idx="4">
                  <c:v>5.9633511536297146E-2</c:v>
                </c:pt>
                <c:pt idx="5">
                  <c:v>-8.9235917456776948E-3</c:v>
                </c:pt>
                <c:pt idx="6">
                  <c:v>1.7882486517172946E-2</c:v>
                </c:pt>
                <c:pt idx="7">
                  <c:v>2.3365588860042585E-2</c:v>
                </c:pt>
                <c:pt idx="8">
                  <c:v>1.2109073536437309E-2</c:v>
                </c:pt>
                <c:pt idx="9">
                  <c:v>3.1951002142708296E-2</c:v>
                </c:pt>
                <c:pt idx="10">
                  <c:v>5.0579704370691925E-2</c:v>
                </c:pt>
                <c:pt idx="11">
                  <c:v>-4.0319651289502434E-2</c:v>
                </c:pt>
                <c:pt idx="12">
                  <c:v>2.9503227838135748E-2</c:v>
                </c:pt>
                <c:pt idx="13">
                  <c:v>5.2186878727634278E-2</c:v>
                </c:pt>
                <c:pt idx="14">
                  <c:v>1.592644800235643E-2</c:v>
                </c:pt>
                <c:pt idx="15">
                  <c:v>4.1432953549517926E-2</c:v>
                </c:pt>
                <c:pt idx="16">
                  <c:v>9.1343854615016706E-2</c:v>
                </c:pt>
                <c:pt idx="17">
                  <c:v>-2.1708617947038489E-2</c:v>
                </c:pt>
                <c:pt idx="18">
                  <c:v>-5.0782724547574154E-2</c:v>
                </c:pt>
                <c:pt idx="19">
                  <c:v>-1.6251993272024312E-2</c:v>
                </c:pt>
                <c:pt idx="20">
                  <c:v>3.2733261144197945E-2</c:v>
                </c:pt>
                <c:pt idx="21">
                  <c:v>6.0859159985640732E-2</c:v>
                </c:pt>
                <c:pt idx="22">
                  <c:v>4.6161613733080031E-3</c:v>
                </c:pt>
                <c:pt idx="23">
                  <c:v>1.5974987176042399E-2</c:v>
                </c:pt>
                <c:pt idx="24">
                  <c:v>3.3134810477968957E-2</c:v>
                </c:pt>
                <c:pt idx="25">
                  <c:v>-2.514268844715617E-2</c:v>
                </c:pt>
                <c:pt idx="26">
                  <c:v>6.2887325785111026E-2</c:v>
                </c:pt>
                <c:pt idx="27">
                  <c:v>-6.1935832025117765E-2</c:v>
                </c:pt>
                <c:pt idx="28">
                  <c:v>5.5591517568162496E-2</c:v>
                </c:pt>
                <c:pt idx="29">
                  <c:v>8.1275547343076182E-2</c:v>
                </c:pt>
                <c:pt idx="30">
                  <c:v>-9.6158712485449716E-2</c:v>
                </c:pt>
                <c:pt idx="31">
                  <c:v>-4.0801961212650784E-2</c:v>
                </c:pt>
                <c:pt idx="32">
                  <c:v>9.2087475149105424E-2</c:v>
                </c:pt>
                <c:pt idx="33">
                  <c:v>-8.6406897052769271E-2</c:v>
                </c:pt>
                <c:pt idx="34">
                  <c:v>2.257281553398105E-3</c:v>
                </c:pt>
                <c:pt idx="35">
                  <c:v>-8.776901957311134E-2</c:v>
                </c:pt>
                <c:pt idx="36">
                  <c:v>3.4376932414172057E-2</c:v>
                </c:pt>
                <c:pt idx="37">
                  <c:v>-2.9517014514014006E-2</c:v>
                </c:pt>
                <c:pt idx="38">
                  <c:v>-5.2741283476503198E-2</c:v>
                </c:pt>
                <c:pt idx="39">
                  <c:v>4.2584950390727849E-2</c:v>
                </c:pt>
                <c:pt idx="40">
                  <c:v>-8.0348394120849376E-3</c:v>
                </c:pt>
                <c:pt idx="41">
                  <c:v>7.016358297991343E-2</c:v>
                </c:pt>
                <c:pt idx="42">
                  <c:v>-4.9650101869076146E-2</c:v>
                </c:pt>
                <c:pt idx="43">
                  <c:v>2.9759868646097143E-2</c:v>
                </c:pt>
                <c:pt idx="44">
                  <c:v>2.4412465542213768E-2</c:v>
                </c:pt>
                <c:pt idx="45">
                  <c:v>1.9093419674316658E-2</c:v>
                </c:pt>
                <c:pt idx="46">
                  <c:v>6.5660196501318158E-3</c:v>
                </c:pt>
                <c:pt idx="47">
                  <c:v>5.2910453410037084E-2</c:v>
                </c:pt>
                <c:pt idx="48">
                  <c:v>4.1986539068251005E-2</c:v>
                </c:pt>
                <c:pt idx="49">
                  <c:v>2.7805550301294391E-2</c:v>
                </c:pt>
                <c:pt idx="50">
                  <c:v>-1.0190435433829026E-2</c:v>
                </c:pt>
                <c:pt idx="51">
                  <c:v>3.2646522675799483E-2</c:v>
                </c:pt>
                <c:pt idx="52">
                  <c:v>0.10877687266491076</c:v>
                </c:pt>
                <c:pt idx="53">
                  <c:v>-2.4933560273522559E-2</c:v>
                </c:pt>
                <c:pt idx="54">
                  <c:v>-4.1281383298502838E-2</c:v>
                </c:pt>
                <c:pt idx="55">
                  <c:v>6.9796643390910296E-2</c:v>
                </c:pt>
                <c:pt idx="56">
                  <c:v>5.8892203917498831E-2</c:v>
                </c:pt>
                <c:pt idx="57">
                  <c:v>1.3275499474237673E-2</c:v>
                </c:pt>
                <c:pt idx="58">
                  <c:v>4.7645276783255142E-2</c:v>
                </c:pt>
                <c:pt idx="59">
                  <c:v>0.12698351115421924</c:v>
                </c:pt>
                <c:pt idx="60">
                  <c:v>-0.129987173428745</c:v>
                </c:pt>
                <c:pt idx="61">
                  <c:v>-7.9165760109408567E-2</c:v>
                </c:pt>
                <c:pt idx="62">
                  <c:v>-4.0390231777787111E-4</c:v>
                </c:pt>
                <c:pt idx="63">
                  <c:v>2.4020871114504905E-2</c:v>
                </c:pt>
                <c:pt idx="64">
                  <c:v>3.619819998021967E-2</c:v>
                </c:pt>
                <c:pt idx="65">
                  <c:v>2.2104660174546042E-2</c:v>
                </c:pt>
                <c:pt idx="66">
                  <c:v>1.4771755855701896E-2</c:v>
                </c:pt>
                <c:pt idx="67">
                  <c:v>-1.6743435430185305E-2</c:v>
                </c:pt>
                <c:pt idx="68">
                  <c:v>1.511945392491465E-2</c:v>
                </c:pt>
                <c:pt idx="69">
                  <c:v>6.4409488865477593E-2</c:v>
                </c:pt>
                <c:pt idx="70">
                  <c:v>-6.3771172029113643E-2</c:v>
                </c:pt>
                <c:pt idx="71">
                  <c:v>4.0852449730954365E-2</c:v>
                </c:pt>
                <c:pt idx="72">
                  <c:v>1.3635711209990076E-2</c:v>
                </c:pt>
                <c:pt idx="73">
                  <c:v>3.241581150668682E-2</c:v>
                </c:pt>
                <c:pt idx="74">
                  <c:v>8.0065620998719611E-2</c:v>
                </c:pt>
                <c:pt idx="75">
                  <c:v>-9.3343007436967107E-2</c:v>
                </c:pt>
                <c:pt idx="76">
                  <c:v>1.8549310867235658E-2</c:v>
                </c:pt>
                <c:pt idx="77">
                  <c:v>-6.9104292790313826E-2</c:v>
                </c:pt>
                <c:pt idx="78">
                  <c:v>1.4122834211705015E-3</c:v>
                </c:pt>
                <c:pt idx="79">
                  <c:v>3.1919809476415706E-2</c:v>
                </c:pt>
                <c:pt idx="80">
                  <c:v>3.7046593925095905E-2</c:v>
                </c:pt>
                <c:pt idx="81">
                  <c:v>1.2548903816342882E-3</c:v>
                </c:pt>
                <c:pt idx="82">
                  <c:v>2.4309099844996407E-2</c:v>
                </c:pt>
                <c:pt idx="83">
                  <c:v>5.1681550446514013E-3</c:v>
                </c:pt>
                <c:pt idx="84">
                  <c:v>-3.1290263206331659E-2</c:v>
                </c:pt>
                <c:pt idx="85">
                  <c:v>-3.6360411493437383E-2</c:v>
                </c:pt>
                <c:pt idx="86">
                  <c:v>5.6359139623772592E-2</c:v>
                </c:pt>
                <c:pt idx="87">
                  <c:v>6.9808686464662983E-3</c:v>
                </c:pt>
                <c:pt idx="88">
                  <c:v>3.0565817616177382E-2</c:v>
                </c:pt>
                <c:pt idx="89">
                  <c:v>2.356406480117812E-2</c:v>
                </c:pt>
                <c:pt idx="90">
                  <c:v>1.5111721685724611E-2</c:v>
                </c:pt>
                <c:pt idx="91">
                  <c:v>2.9176966405966009E-3</c:v>
                </c:pt>
                <c:pt idx="92">
                  <c:v>2.0554177005789986E-2</c:v>
                </c:pt>
                <c:pt idx="93">
                  <c:v>1.4910536779324524E-3</c:v>
                </c:pt>
                <c:pt idx="94">
                  <c:v>1.4112903225806495E-2</c:v>
                </c:pt>
                <c:pt idx="95">
                  <c:v>9.9261898701958895E-3</c:v>
                </c:pt>
                <c:pt idx="96">
                  <c:v>-3.0870723559013324E-3</c:v>
                </c:pt>
                <c:pt idx="97">
                  <c:v>3.9291521997099288E-2</c:v>
                </c:pt>
                <c:pt idx="98">
                  <c:v>1.7894689750816539E-2</c:v>
                </c:pt>
                <c:pt idx="99">
                  <c:v>1.4293493057446316E-2</c:v>
                </c:pt>
                <c:pt idx="100">
                  <c:v>3.683839096683128E-2</c:v>
                </c:pt>
                <c:pt idx="101">
                  <c:v>-1.7337031900138689E-2</c:v>
                </c:pt>
                <c:pt idx="102">
                  <c:v>-4.9682583494341515E-3</c:v>
                </c:pt>
                <c:pt idx="103">
                  <c:v>1.1974944731023562E-3</c:v>
                </c:pt>
                <c:pt idx="104">
                  <c:v>3.6496001909535725E-2</c:v>
                </c:pt>
                <c:pt idx="105">
                  <c:v>-1.7394205108655081E-3</c:v>
                </c:pt>
                <c:pt idx="106">
                  <c:v>1.7007640158425152E-2</c:v>
                </c:pt>
                <c:pt idx="107">
                  <c:v>3.9451148306735018E-3</c:v>
                </c:pt>
                <c:pt idx="108">
                  <c:v>6.1789625955775973E-2</c:v>
                </c:pt>
                <c:pt idx="109">
                  <c:v>-8.3006058203349831E-4</c:v>
                </c:pt>
                <c:pt idx="110">
                  <c:v>-4.9782704664737332E-2</c:v>
                </c:pt>
                <c:pt idx="111">
                  <c:v>-2.3096458862427505E-2</c:v>
                </c:pt>
                <c:pt idx="112">
                  <c:v>3.655076227576437E-3</c:v>
                </c:pt>
                <c:pt idx="113">
                  <c:v>8.5059750560976921E-2</c:v>
                </c:pt>
                <c:pt idx="114">
                  <c:v>-3.0555977133606471E-2</c:v>
                </c:pt>
                <c:pt idx="115">
                  <c:v>-6.0950118764845684E-2</c:v>
                </c:pt>
                <c:pt idx="116">
                  <c:v>2.2589264027204292E-2</c:v>
                </c:pt>
                <c:pt idx="117">
                  <c:v>-2.5054466230936767E-2</c:v>
                </c:pt>
                <c:pt idx="118">
                  <c:v>1.2856183440468127E-2</c:v>
                </c:pt>
              </c:numCache>
            </c:numRef>
          </c:xVal>
          <c:yVal>
            <c:numRef>
              <c:f>'SPY&amp;BETA'!$G$4:$G$122</c:f>
              <c:numCache>
                <c:formatCode>0.00%</c:formatCode>
                <c:ptCount val="119"/>
                <c:pt idx="0">
                  <c:v>0.10887079308701852</c:v>
                </c:pt>
                <c:pt idx="1">
                  <c:v>-5.2393949966137776E-2</c:v>
                </c:pt>
                <c:pt idx="2">
                  <c:v>3.8313196530929572E-2</c:v>
                </c:pt>
                <c:pt idx="3">
                  <c:v>-4.1580720923108272E-2</c:v>
                </c:pt>
                <c:pt idx="4">
                  <c:v>-3.8053514596675941E-2</c:v>
                </c:pt>
                <c:pt idx="5">
                  <c:v>-3.6074762815535899E-2</c:v>
                </c:pt>
                <c:pt idx="6">
                  <c:v>9.2888132872077644E-3</c:v>
                </c:pt>
                <c:pt idx="7">
                  <c:v>8.0298149983482059E-2</c:v>
                </c:pt>
                <c:pt idx="8">
                  <c:v>0.1109530909507972</c:v>
                </c:pt>
                <c:pt idx="9">
                  <c:v>-3.287707700157505E-2</c:v>
                </c:pt>
                <c:pt idx="10">
                  <c:v>-7.0634806094468372E-2</c:v>
                </c:pt>
                <c:pt idx="11">
                  <c:v>1.3307984790874361E-2</c:v>
                </c:pt>
                <c:pt idx="12">
                  <c:v>3.8262982083206998E-2</c:v>
                </c:pt>
                <c:pt idx="13">
                  <c:v>3.1918703554481231E-2</c:v>
                </c:pt>
                <c:pt idx="14">
                  <c:v>-4.567009868842653E-2</c:v>
                </c:pt>
                <c:pt idx="15">
                  <c:v>-1.4773970872969167E-2</c:v>
                </c:pt>
                <c:pt idx="16">
                  <c:v>7.9120972360691155E-3</c:v>
                </c:pt>
                <c:pt idx="17">
                  <c:v>7.0969354142529362E-2</c:v>
                </c:pt>
                <c:pt idx="18">
                  <c:v>1.6393821145720411E-2</c:v>
                </c:pt>
                <c:pt idx="19">
                  <c:v>-2.6764044943820231E-2</c:v>
                </c:pt>
                <c:pt idx="20">
                  <c:v>-2.3694602896007E-2</c:v>
                </c:pt>
                <c:pt idx="21">
                  <c:v>4.6637121403476645E-2</c:v>
                </c:pt>
                <c:pt idx="22">
                  <c:v>-5.5889175537104041E-2</c:v>
                </c:pt>
                <c:pt idx="23">
                  <c:v>-9.7461665078413251E-4</c:v>
                </c:pt>
                <c:pt idx="24">
                  <c:v>-5.1496412488418741E-3</c:v>
                </c:pt>
                <c:pt idx="25">
                  <c:v>3.5867333273814861E-2</c:v>
                </c:pt>
                <c:pt idx="26">
                  <c:v>-0.17882736753358619</c:v>
                </c:pt>
                <c:pt idx="27">
                  <c:v>2.3101877027508655E-2</c:v>
                </c:pt>
                <c:pt idx="28">
                  <c:v>-2.863335822662616E-2</c:v>
                </c:pt>
                <c:pt idx="29">
                  <c:v>0.16731161762204461</c:v>
                </c:pt>
                <c:pt idx="30">
                  <c:v>-1.6046360802527304E-2</c:v>
                </c:pt>
                <c:pt idx="31">
                  <c:v>-1.9001879306743685E-3</c:v>
                </c:pt>
                <c:pt idx="32">
                  <c:v>6.8955429717698635E-4</c:v>
                </c:pt>
                <c:pt idx="33">
                  <c:v>2.2651024638331352E-2</c:v>
                </c:pt>
                <c:pt idx="34">
                  <c:v>6.5020482476103814E-2</c:v>
                </c:pt>
                <c:pt idx="35">
                  <c:v>-1.7485801171682969E-2</c:v>
                </c:pt>
                <c:pt idx="36">
                  <c:v>1.1489573438277612E-2</c:v>
                </c:pt>
                <c:pt idx="37">
                  <c:v>0.19529602595296036</c:v>
                </c:pt>
                <c:pt idx="38">
                  <c:v>-4.4358901490686442E-2</c:v>
                </c:pt>
                <c:pt idx="39">
                  <c:v>0.10971903669724759</c:v>
                </c:pt>
                <c:pt idx="40">
                  <c:v>-2.3570908683724356E-2</c:v>
                </c:pt>
                <c:pt idx="41">
                  <c:v>-8.1354990975980312E-3</c:v>
                </c:pt>
                <c:pt idx="42">
                  <c:v>-2.0533043241773186E-2</c:v>
                </c:pt>
                <c:pt idx="43">
                  <c:v>1.2891851688612288E-2</c:v>
                </c:pt>
                <c:pt idx="44">
                  <c:v>-1.1281402195746359E-3</c:v>
                </c:pt>
                <c:pt idx="45">
                  <c:v>-6.6690354497499493E-3</c:v>
                </c:pt>
                <c:pt idx="46">
                  <c:v>3.2248053267125654E-2</c:v>
                </c:pt>
                <c:pt idx="47">
                  <c:v>9.5167470028426626E-2</c:v>
                </c:pt>
                <c:pt idx="48">
                  <c:v>0.10964822053075474</c:v>
                </c:pt>
                <c:pt idx="49">
                  <c:v>1.7619762045985921E-2</c:v>
                </c:pt>
                <c:pt idx="50">
                  <c:v>-5.9431609346285108E-2</c:v>
                </c:pt>
                <c:pt idx="51">
                  <c:v>8.1386885462848557E-3</c:v>
                </c:pt>
                <c:pt idx="52">
                  <c:v>4.2923193706438489E-2</c:v>
                </c:pt>
                <c:pt idx="53">
                  <c:v>-8.1365494944372285E-2</c:v>
                </c:pt>
                <c:pt idx="54">
                  <c:v>-7.9157059046729539E-2</c:v>
                </c:pt>
                <c:pt idx="55">
                  <c:v>5.4152179932925204E-2</c:v>
                </c:pt>
                <c:pt idx="56">
                  <c:v>5.7149362477231236E-2</c:v>
                </c:pt>
                <c:pt idx="57">
                  <c:v>-8.2816229116945084E-2</c:v>
                </c:pt>
                <c:pt idx="58">
                  <c:v>1.3699458674811593E-2</c:v>
                </c:pt>
                <c:pt idx="59">
                  <c:v>9.2943315154520034E-2</c:v>
                </c:pt>
                <c:pt idx="60">
                  <c:v>-7.9947694927624324E-2</c:v>
                </c:pt>
                <c:pt idx="61">
                  <c:v>-0.12208665936941032</c:v>
                </c:pt>
                <c:pt idx="62">
                  <c:v>8.8961246620344658E-2</c:v>
                </c:pt>
                <c:pt idx="63">
                  <c:v>-2.2173579327401272E-2</c:v>
                </c:pt>
                <c:pt idx="64">
                  <c:v>-2.0142986836133581E-3</c:v>
                </c:pt>
                <c:pt idx="65">
                  <c:v>-5.9526668267563143E-2</c:v>
                </c:pt>
                <c:pt idx="66">
                  <c:v>1.8810993013836486E-2</c:v>
                </c:pt>
                <c:pt idx="67">
                  <c:v>6.4531064617877831E-2</c:v>
                </c:pt>
                <c:pt idx="68">
                  <c:v>6.9511930921357878E-2</c:v>
                </c:pt>
                <c:pt idx="69">
                  <c:v>6.5490519373454292E-2</c:v>
                </c:pt>
                <c:pt idx="70">
                  <c:v>4.6014280293884324E-2</c:v>
                </c:pt>
                <c:pt idx="71">
                  <c:v>7.5333827893174998E-2</c:v>
                </c:pt>
                <c:pt idx="72">
                  <c:v>-7.021658159746158E-2</c:v>
                </c:pt>
                <c:pt idx="73">
                  <c:v>5.2295409181636554E-2</c:v>
                </c:pt>
                <c:pt idx="74">
                  <c:v>0.12515312372396892</c:v>
                </c:pt>
                <c:pt idx="75">
                  <c:v>-5.7641988610127703E-2</c:v>
                </c:pt>
                <c:pt idx="76">
                  <c:v>-7.9022714258446536E-3</c:v>
                </c:pt>
                <c:pt idx="77">
                  <c:v>-0.17462268015250348</c:v>
                </c:pt>
                <c:pt idx="78">
                  <c:v>6.3251700224463026E-2</c:v>
                </c:pt>
                <c:pt idx="79">
                  <c:v>-6.6557955339612285E-3</c:v>
                </c:pt>
                <c:pt idx="80">
                  <c:v>-2.3431914202144855E-2</c:v>
                </c:pt>
                <c:pt idx="81">
                  <c:v>-5.974025974025976E-2</c:v>
                </c:pt>
                <c:pt idx="82">
                  <c:v>1.6178114519935338E-2</c:v>
                </c:pt>
                <c:pt idx="83">
                  <c:v>-7.7566452795600371E-2</c:v>
                </c:pt>
                <c:pt idx="84">
                  <c:v>-2.6282710547366195E-3</c:v>
                </c:pt>
                <c:pt idx="85">
                  <c:v>2.7927054885032332E-2</c:v>
                </c:pt>
                <c:pt idx="86">
                  <c:v>0.1095435143853245</c:v>
                </c:pt>
                <c:pt idx="87">
                  <c:v>-1.5940143135977358E-3</c:v>
                </c:pt>
                <c:pt idx="88">
                  <c:v>4.0165127059858641E-2</c:v>
                </c:pt>
                <c:pt idx="89">
                  <c:v>2.7144445989155885E-2</c:v>
                </c:pt>
                <c:pt idx="90">
                  <c:v>5.6978068403071402E-2</c:v>
                </c:pt>
                <c:pt idx="91">
                  <c:v>3.4507657811728043E-2</c:v>
                </c:pt>
                <c:pt idx="92">
                  <c:v>2.500876475400271E-2</c:v>
                </c:pt>
                <c:pt idx="93">
                  <c:v>-9.6828948383613778E-3</c:v>
                </c:pt>
                <c:pt idx="94">
                  <c:v>5.3911205073995827E-2</c:v>
                </c:pt>
                <c:pt idx="95">
                  <c:v>3.4140598721829729E-2</c:v>
                </c:pt>
                <c:pt idx="96">
                  <c:v>-3.7435752155085211E-2</c:v>
                </c:pt>
                <c:pt idx="97">
                  <c:v>7.8618823118561165E-2</c:v>
                </c:pt>
                <c:pt idx="98">
                  <c:v>-1.5048585432969275E-2</c:v>
                </c:pt>
                <c:pt idx="99">
                  <c:v>-6.8375726016422944E-2</c:v>
                </c:pt>
                <c:pt idx="100">
                  <c:v>9.0174672489083063E-2</c:v>
                </c:pt>
                <c:pt idx="101">
                  <c:v>7.0343538209862277E-2</c:v>
                </c:pt>
                <c:pt idx="102">
                  <c:v>8.8649974065166948E-3</c:v>
                </c:pt>
                <c:pt idx="103">
                  <c:v>-2.1049716105802529E-2</c:v>
                </c:pt>
                <c:pt idx="104">
                  <c:v>-2.5418391218283265E-2</c:v>
                </c:pt>
                <c:pt idx="105">
                  <c:v>4.5187379508158321E-2</c:v>
                </c:pt>
                <c:pt idx="106">
                  <c:v>3.1077281101522303E-2</c:v>
                </c:pt>
                <c:pt idx="107">
                  <c:v>4.224355735219798E-2</c:v>
                </c:pt>
                <c:pt idx="108">
                  <c:v>2.9549474560399469E-2</c:v>
                </c:pt>
                <c:pt idx="109">
                  <c:v>3.8690154544472E-2</c:v>
                </c:pt>
                <c:pt idx="110">
                  <c:v>-1.9861236163338791E-2</c:v>
                </c:pt>
                <c:pt idx="111">
                  <c:v>1.3146597982399699E-2</c:v>
                </c:pt>
                <c:pt idx="112">
                  <c:v>-7.4034620505991633E-3</c:v>
                </c:pt>
                <c:pt idx="113">
                  <c:v>0.13136486893642663</c:v>
                </c:pt>
                <c:pt idx="114">
                  <c:v>1.3497007450836485E-2</c:v>
                </c:pt>
                <c:pt idx="115">
                  <c:v>-5.3580717877579231E-2</c:v>
                </c:pt>
                <c:pt idx="116">
                  <c:v>9.0651200907772678E-2</c:v>
                </c:pt>
                <c:pt idx="117">
                  <c:v>-3.4552079406960923E-3</c:v>
                </c:pt>
                <c:pt idx="118">
                  <c:v>3.3367956374967589E-2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ED-4D7F-A1DA-FDA18CDE3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690239"/>
        <c:axId val="1303688319"/>
      </c:scatterChart>
      <c:valAx>
        <c:axId val="130369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688319"/>
        <c:crosses val="autoZero"/>
        <c:crossBetween val="midCat"/>
      </c:valAx>
      <c:valAx>
        <c:axId val="1303688319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69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MCD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0829770034064496E-2"/>
                  <c:y val="-0.313880869058034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'SPY&amp;BETA'!$F$4:$F$122</c:f>
              <c:numCache>
                <c:formatCode>0.00%</c:formatCode>
                <c:ptCount val="119"/>
                <c:pt idx="0">
                  <c:v>-5.8551280756673041E-2</c:v>
                </c:pt>
                <c:pt idx="1">
                  <c:v>-1.2694825695390821E-2</c:v>
                </c:pt>
                <c:pt idx="2">
                  <c:v>2.6856401856401924E-2</c:v>
                </c:pt>
                <c:pt idx="3">
                  <c:v>-2.7333831217326243E-2</c:v>
                </c:pt>
                <c:pt idx="4">
                  <c:v>5.9633511536297146E-2</c:v>
                </c:pt>
                <c:pt idx="5">
                  <c:v>-8.9235917456776948E-3</c:v>
                </c:pt>
                <c:pt idx="6">
                  <c:v>1.7882486517172946E-2</c:v>
                </c:pt>
                <c:pt idx="7">
                  <c:v>2.3365588860042585E-2</c:v>
                </c:pt>
                <c:pt idx="8">
                  <c:v>1.2109073536437309E-2</c:v>
                </c:pt>
                <c:pt idx="9">
                  <c:v>3.1951002142708296E-2</c:v>
                </c:pt>
                <c:pt idx="10">
                  <c:v>5.0579704370691925E-2</c:v>
                </c:pt>
                <c:pt idx="11">
                  <c:v>-4.0319651289502434E-2</c:v>
                </c:pt>
                <c:pt idx="12">
                  <c:v>2.9503227838135748E-2</c:v>
                </c:pt>
                <c:pt idx="13">
                  <c:v>5.2186878727634278E-2</c:v>
                </c:pt>
                <c:pt idx="14">
                  <c:v>1.592644800235643E-2</c:v>
                </c:pt>
                <c:pt idx="15">
                  <c:v>4.1432953549517926E-2</c:v>
                </c:pt>
                <c:pt idx="16">
                  <c:v>9.1343854615016706E-2</c:v>
                </c:pt>
                <c:pt idx="17">
                  <c:v>-2.1708617947038489E-2</c:v>
                </c:pt>
                <c:pt idx="18">
                  <c:v>-5.0782724547574154E-2</c:v>
                </c:pt>
                <c:pt idx="19">
                  <c:v>-1.6251993272024312E-2</c:v>
                </c:pt>
                <c:pt idx="20">
                  <c:v>3.2733261144197945E-2</c:v>
                </c:pt>
                <c:pt idx="21">
                  <c:v>6.0859159985640732E-2</c:v>
                </c:pt>
                <c:pt idx="22">
                  <c:v>4.6161613733080031E-3</c:v>
                </c:pt>
                <c:pt idx="23">
                  <c:v>1.5974987176042399E-2</c:v>
                </c:pt>
                <c:pt idx="24">
                  <c:v>3.3134810477968957E-2</c:v>
                </c:pt>
                <c:pt idx="25">
                  <c:v>-2.514268844715617E-2</c:v>
                </c:pt>
                <c:pt idx="26">
                  <c:v>6.2887325785111026E-2</c:v>
                </c:pt>
                <c:pt idx="27">
                  <c:v>-6.1935832025117765E-2</c:v>
                </c:pt>
                <c:pt idx="28">
                  <c:v>5.5591517568162496E-2</c:v>
                </c:pt>
                <c:pt idx="29">
                  <c:v>8.1275547343076182E-2</c:v>
                </c:pt>
                <c:pt idx="30">
                  <c:v>-9.6158712485449716E-2</c:v>
                </c:pt>
                <c:pt idx="31">
                  <c:v>-4.0801961212650784E-2</c:v>
                </c:pt>
                <c:pt idx="32">
                  <c:v>9.2087475149105424E-2</c:v>
                </c:pt>
                <c:pt idx="33">
                  <c:v>-8.6406897052769271E-2</c:v>
                </c:pt>
                <c:pt idx="34">
                  <c:v>2.257281553398105E-3</c:v>
                </c:pt>
                <c:pt idx="35">
                  <c:v>-8.776901957311134E-2</c:v>
                </c:pt>
                <c:pt idx="36">
                  <c:v>3.4376932414172057E-2</c:v>
                </c:pt>
                <c:pt idx="37">
                  <c:v>-2.9517014514014006E-2</c:v>
                </c:pt>
                <c:pt idx="38">
                  <c:v>-5.2741283476503198E-2</c:v>
                </c:pt>
                <c:pt idx="39">
                  <c:v>4.2584950390727849E-2</c:v>
                </c:pt>
                <c:pt idx="40">
                  <c:v>-8.0348394120849376E-3</c:v>
                </c:pt>
                <c:pt idx="41">
                  <c:v>7.016358297991343E-2</c:v>
                </c:pt>
                <c:pt idx="42">
                  <c:v>-4.9650101869076146E-2</c:v>
                </c:pt>
                <c:pt idx="43">
                  <c:v>2.9759868646097143E-2</c:v>
                </c:pt>
                <c:pt idx="44">
                  <c:v>2.4412465542213768E-2</c:v>
                </c:pt>
                <c:pt idx="45">
                  <c:v>1.9093419674316658E-2</c:v>
                </c:pt>
                <c:pt idx="46">
                  <c:v>6.5660196501318158E-3</c:v>
                </c:pt>
                <c:pt idx="47">
                  <c:v>5.2910453410037084E-2</c:v>
                </c:pt>
                <c:pt idx="48">
                  <c:v>4.1986539068251005E-2</c:v>
                </c:pt>
                <c:pt idx="49">
                  <c:v>2.7805550301294391E-2</c:v>
                </c:pt>
                <c:pt idx="50">
                  <c:v>-1.0190435433829026E-2</c:v>
                </c:pt>
                <c:pt idx="51">
                  <c:v>3.2646522675799483E-2</c:v>
                </c:pt>
                <c:pt idx="52">
                  <c:v>0.10877687266491076</c:v>
                </c:pt>
                <c:pt idx="53">
                  <c:v>-2.4933560273522559E-2</c:v>
                </c:pt>
                <c:pt idx="54">
                  <c:v>-4.1281383298502838E-2</c:v>
                </c:pt>
                <c:pt idx="55">
                  <c:v>6.9796643390910296E-2</c:v>
                </c:pt>
                <c:pt idx="56">
                  <c:v>5.8892203917498831E-2</c:v>
                </c:pt>
                <c:pt idx="57">
                  <c:v>1.3275499474237673E-2</c:v>
                </c:pt>
                <c:pt idx="58">
                  <c:v>4.7645276783255142E-2</c:v>
                </c:pt>
                <c:pt idx="59">
                  <c:v>0.12698351115421924</c:v>
                </c:pt>
                <c:pt idx="60">
                  <c:v>-0.129987173428745</c:v>
                </c:pt>
                <c:pt idx="61">
                  <c:v>-7.9165760109408567E-2</c:v>
                </c:pt>
                <c:pt idx="62">
                  <c:v>-4.0390231777787111E-4</c:v>
                </c:pt>
                <c:pt idx="63">
                  <c:v>2.4020871114504905E-2</c:v>
                </c:pt>
                <c:pt idx="64">
                  <c:v>3.619819998021967E-2</c:v>
                </c:pt>
                <c:pt idx="65">
                  <c:v>2.2104660174546042E-2</c:v>
                </c:pt>
                <c:pt idx="66">
                  <c:v>1.4771755855701896E-2</c:v>
                </c:pt>
                <c:pt idx="67">
                  <c:v>-1.6743435430185305E-2</c:v>
                </c:pt>
                <c:pt idx="68">
                  <c:v>1.511945392491465E-2</c:v>
                </c:pt>
                <c:pt idx="69">
                  <c:v>6.4409488865477593E-2</c:v>
                </c:pt>
                <c:pt idx="70">
                  <c:v>-6.3771172029113643E-2</c:v>
                </c:pt>
                <c:pt idx="71">
                  <c:v>4.0852449730954365E-2</c:v>
                </c:pt>
                <c:pt idx="72">
                  <c:v>1.3635711209990076E-2</c:v>
                </c:pt>
                <c:pt idx="73">
                  <c:v>3.241581150668682E-2</c:v>
                </c:pt>
                <c:pt idx="74">
                  <c:v>8.0065620998719611E-2</c:v>
                </c:pt>
                <c:pt idx="75">
                  <c:v>-9.3343007436967107E-2</c:v>
                </c:pt>
                <c:pt idx="76">
                  <c:v>1.8549310867235658E-2</c:v>
                </c:pt>
                <c:pt idx="77">
                  <c:v>-6.9104292790313826E-2</c:v>
                </c:pt>
                <c:pt idx="78">
                  <c:v>1.4122834211705015E-3</c:v>
                </c:pt>
                <c:pt idx="79">
                  <c:v>3.1919809476415706E-2</c:v>
                </c:pt>
                <c:pt idx="80">
                  <c:v>3.7046593925095905E-2</c:v>
                </c:pt>
                <c:pt idx="81">
                  <c:v>1.2548903816342882E-3</c:v>
                </c:pt>
                <c:pt idx="82">
                  <c:v>2.4309099844996407E-2</c:v>
                </c:pt>
                <c:pt idx="83">
                  <c:v>5.1681550446514013E-3</c:v>
                </c:pt>
                <c:pt idx="84">
                  <c:v>-3.1290263206331659E-2</c:v>
                </c:pt>
                <c:pt idx="85">
                  <c:v>-3.6360411493437383E-2</c:v>
                </c:pt>
                <c:pt idx="86">
                  <c:v>5.6359139623772592E-2</c:v>
                </c:pt>
                <c:pt idx="87">
                  <c:v>6.9808686464662983E-3</c:v>
                </c:pt>
                <c:pt idx="88">
                  <c:v>3.0565817616177382E-2</c:v>
                </c:pt>
                <c:pt idx="89">
                  <c:v>2.356406480117812E-2</c:v>
                </c:pt>
                <c:pt idx="90">
                  <c:v>1.5111721685724611E-2</c:v>
                </c:pt>
                <c:pt idx="91">
                  <c:v>2.9176966405966009E-3</c:v>
                </c:pt>
                <c:pt idx="92">
                  <c:v>2.0554177005789986E-2</c:v>
                </c:pt>
                <c:pt idx="93">
                  <c:v>1.4910536779324524E-3</c:v>
                </c:pt>
                <c:pt idx="94">
                  <c:v>1.4112903225806495E-2</c:v>
                </c:pt>
                <c:pt idx="95">
                  <c:v>9.9261898701958895E-3</c:v>
                </c:pt>
                <c:pt idx="96">
                  <c:v>-3.0870723559013324E-3</c:v>
                </c:pt>
                <c:pt idx="97">
                  <c:v>3.9291521997099288E-2</c:v>
                </c:pt>
                <c:pt idx="98">
                  <c:v>1.7894689750816539E-2</c:v>
                </c:pt>
                <c:pt idx="99">
                  <c:v>1.4293493057446316E-2</c:v>
                </c:pt>
                <c:pt idx="100">
                  <c:v>3.683839096683128E-2</c:v>
                </c:pt>
                <c:pt idx="101">
                  <c:v>-1.7337031900138689E-2</c:v>
                </c:pt>
                <c:pt idx="102">
                  <c:v>-4.9682583494341515E-3</c:v>
                </c:pt>
                <c:pt idx="103">
                  <c:v>1.1974944731023562E-3</c:v>
                </c:pt>
                <c:pt idx="104">
                  <c:v>3.6496001909535725E-2</c:v>
                </c:pt>
                <c:pt idx="105">
                  <c:v>-1.7394205108655081E-3</c:v>
                </c:pt>
                <c:pt idx="106">
                  <c:v>1.7007640158425152E-2</c:v>
                </c:pt>
                <c:pt idx="107">
                  <c:v>3.9451148306735018E-3</c:v>
                </c:pt>
                <c:pt idx="108">
                  <c:v>6.1789625955775973E-2</c:v>
                </c:pt>
                <c:pt idx="109">
                  <c:v>-8.3006058203349831E-4</c:v>
                </c:pt>
                <c:pt idx="110">
                  <c:v>-4.9782704664737332E-2</c:v>
                </c:pt>
                <c:pt idx="111">
                  <c:v>-2.3096458862427505E-2</c:v>
                </c:pt>
                <c:pt idx="112">
                  <c:v>3.655076227576437E-3</c:v>
                </c:pt>
                <c:pt idx="113">
                  <c:v>8.5059750560976921E-2</c:v>
                </c:pt>
                <c:pt idx="114">
                  <c:v>-3.0555977133606471E-2</c:v>
                </c:pt>
                <c:pt idx="115">
                  <c:v>-6.0950118764845684E-2</c:v>
                </c:pt>
                <c:pt idx="116">
                  <c:v>2.2589264027204292E-2</c:v>
                </c:pt>
                <c:pt idx="117">
                  <c:v>-2.5054466230936767E-2</c:v>
                </c:pt>
                <c:pt idx="118">
                  <c:v>1.2856183440468127E-2</c:v>
                </c:pt>
              </c:numCache>
            </c:numRef>
          </c:xVal>
          <c:yVal>
            <c:numRef>
              <c:f>'SPY&amp;BETA'!$H$4:$H$122</c:f>
              <c:numCache>
                <c:formatCode>0.00%</c:formatCode>
                <c:ptCount val="119"/>
                <c:pt idx="0">
                  <c:v>1.310284435507425E-2</c:v>
                </c:pt>
                <c:pt idx="1">
                  <c:v>6.7994457914790418E-2</c:v>
                </c:pt>
                <c:pt idx="2">
                  <c:v>-4.1050053468556502E-3</c:v>
                </c:pt>
                <c:pt idx="3">
                  <c:v>-2.0674977196716293E-2</c:v>
                </c:pt>
                <c:pt idx="4">
                  <c:v>1.3351134846461887E-2</c:v>
                </c:pt>
                <c:pt idx="5">
                  <c:v>-4.0721158582640915E-2</c:v>
                </c:pt>
                <c:pt idx="6">
                  <c:v>5.4908889350793189E-2</c:v>
                </c:pt>
                <c:pt idx="7">
                  <c:v>8.7641296156744763E-2</c:v>
                </c:pt>
                <c:pt idx="8">
                  <c:v>4.143776487207651E-2</c:v>
                </c:pt>
                <c:pt idx="9">
                  <c:v>-1.5643709683649365E-2</c:v>
                </c:pt>
                <c:pt idx="10">
                  <c:v>-5.1823908584822886E-2</c:v>
                </c:pt>
                <c:pt idx="11">
                  <c:v>-3.160134775669432E-2</c:v>
                </c:pt>
                <c:pt idx="12">
                  <c:v>-3.5342821951553249E-2</c:v>
                </c:pt>
                <c:pt idx="13">
                  <c:v>-1.5031429352283521E-3</c:v>
                </c:pt>
                <c:pt idx="14">
                  <c:v>-1.2782030960169832E-2</c:v>
                </c:pt>
                <c:pt idx="15">
                  <c:v>5.2050808969628326E-2</c:v>
                </c:pt>
                <c:pt idx="16">
                  <c:v>7.5027653812411721E-2</c:v>
                </c:pt>
                <c:pt idx="17">
                  <c:v>-4.8208320680229733E-3</c:v>
                </c:pt>
                <c:pt idx="18">
                  <c:v>-6.2991285790503171E-2</c:v>
                </c:pt>
                <c:pt idx="19">
                  <c:v>-4.1098226466575793E-2</c:v>
                </c:pt>
                <c:pt idx="20">
                  <c:v>-1.7459200428940225E-2</c:v>
                </c:pt>
                <c:pt idx="21">
                  <c:v>4.6648661919960865E-2</c:v>
                </c:pt>
                <c:pt idx="22">
                  <c:v>-3.5976331360946689E-2</c:v>
                </c:pt>
                <c:pt idx="23">
                  <c:v>5.7723257394227678E-2</c:v>
                </c:pt>
                <c:pt idx="24">
                  <c:v>5.9489977643893743E-2</c:v>
                </c:pt>
                <c:pt idx="25">
                  <c:v>-1.3051608077785937E-2</c:v>
                </c:pt>
                <c:pt idx="26">
                  <c:v>1.4685235077600334E-2</c:v>
                </c:pt>
                <c:pt idx="27">
                  <c:v>-3.3945525862385195E-2</c:v>
                </c:pt>
                <c:pt idx="28">
                  <c:v>4.7678427345410057E-4</c:v>
                </c:pt>
                <c:pt idx="29">
                  <c:v>0.18167634567045154</c:v>
                </c:pt>
                <c:pt idx="30">
                  <c:v>-8.538132234025686E-2</c:v>
                </c:pt>
                <c:pt idx="31">
                  <c:v>-4.2108060902912303E-2</c:v>
                </c:pt>
                <c:pt idx="32">
                  <c:v>6.679358392741408E-2</c:v>
                </c:pt>
                <c:pt idx="33">
                  <c:v>-2.1133182665239336E-2</c:v>
                </c:pt>
                <c:pt idx="34">
                  <c:v>1.2241130197463423E-2</c:v>
                </c:pt>
                <c:pt idx="35">
                  <c:v>7.6027175671302683E-3</c:v>
                </c:pt>
                <c:pt idx="36">
                  <c:v>1.0254524655799235E-2</c:v>
                </c:pt>
                <c:pt idx="37">
                  <c:v>-5.6581229523993026E-2</c:v>
                </c:pt>
                <c:pt idx="38">
                  <c:v>-3.2155780206662432E-2</c:v>
                </c:pt>
                <c:pt idx="39">
                  <c:v>9.5952575633687642E-2</c:v>
                </c:pt>
                <c:pt idx="40">
                  <c:v>-3.8688658114437446E-3</c:v>
                </c:pt>
                <c:pt idx="41">
                  <c:v>1.8414831404752974E-2</c:v>
                </c:pt>
                <c:pt idx="42">
                  <c:v>1.5371009854291184E-2</c:v>
                </c:pt>
                <c:pt idx="43">
                  <c:v>-2.1630752750195659E-2</c:v>
                </c:pt>
                <c:pt idx="44">
                  <c:v>5.0738127191653382E-2</c:v>
                </c:pt>
                <c:pt idx="45">
                  <c:v>-1.2398990978665037E-2</c:v>
                </c:pt>
                <c:pt idx="46">
                  <c:v>-9.2765164351068519E-3</c:v>
                </c:pt>
                <c:pt idx="47">
                  <c:v>5.3270277505130803E-2</c:v>
                </c:pt>
                <c:pt idx="48">
                  <c:v>8.7319297564761866E-2</c:v>
                </c:pt>
                <c:pt idx="49">
                  <c:v>-8.1793687451886532E-3</c:v>
                </c:pt>
                <c:pt idx="50">
                  <c:v>-3.1410196663249179E-2</c:v>
                </c:pt>
                <c:pt idx="51">
                  <c:v>-1.3153053715967533E-2</c:v>
                </c:pt>
                <c:pt idx="52">
                  <c:v>2.0845070422535139E-2</c:v>
                </c:pt>
                <c:pt idx="53">
                  <c:v>-2.9568545264021195E-2</c:v>
                </c:pt>
                <c:pt idx="54">
                  <c:v>2.7959910078681149E-2</c:v>
                </c:pt>
                <c:pt idx="55">
                  <c:v>9.9032324480131884E-2</c:v>
                </c:pt>
                <c:pt idx="56">
                  <c:v>5.3179378760774165E-2</c:v>
                </c:pt>
                <c:pt idx="57">
                  <c:v>-9.9291541434091135E-3</c:v>
                </c:pt>
                <c:pt idx="58">
                  <c:v>-6.6112177436553621E-3</c:v>
                </c:pt>
                <c:pt idx="59">
                  <c:v>0.13432113698215908</c:v>
                </c:pt>
                <c:pt idx="60">
                  <c:v>-0.14842663645259302</c:v>
                </c:pt>
                <c:pt idx="61">
                  <c:v>-9.2536336869654678E-2</c:v>
                </c:pt>
                <c:pt idx="62">
                  <c:v>8.2789332523657722E-2</c:v>
                </c:pt>
                <c:pt idx="63">
                  <c:v>1.6094199917729535E-2</c:v>
                </c:pt>
                <c:pt idx="64">
                  <c:v>-1.1286222674123048E-2</c:v>
                </c:pt>
                <c:pt idx="65">
                  <c:v>-8.3880583112104778E-2</c:v>
                </c:pt>
                <c:pt idx="66">
                  <c:v>-1.4956186631187696E-2</c:v>
                </c:pt>
                <c:pt idx="67">
                  <c:v>3.4405846621108571E-2</c:v>
                </c:pt>
                <c:pt idx="68">
                  <c:v>1.4735625541751007E-2</c:v>
                </c:pt>
                <c:pt idx="69">
                  <c:v>4.73596610682403E-2</c:v>
                </c:pt>
                <c:pt idx="70">
                  <c:v>3.543048033608498E-3</c:v>
                </c:pt>
                <c:pt idx="71">
                  <c:v>4.0389678778304239E-2</c:v>
                </c:pt>
                <c:pt idx="72">
                  <c:v>3.2963446475195779E-2</c:v>
                </c:pt>
                <c:pt idx="73">
                  <c:v>2.8302942163553002E-2</c:v>
                </c:pt>
                <c:pt idx="74">
                  <c:v>6.814214112744299E-3</c:v>
                </c:pt>
                <c:pt idx="75">
                  <c:v>-5.8034056548724178E-2</c:v>
                </c:pt>
                <c:pt idx="76">
                  <c:v>6.5630299604296116E-2</c:v>
                </c:pt>
                <c:pt idx="77">
                  <c:v>5.7445155119851821E-2</c:v>
                </c:pt>
                <c:pt idx="78">
                  <c:v>3.1190285397275419E-2</c:v>
                </c:pt>
                <c:pt idx="79">
                  <c:v>2.9770217087723649E-2</c:v>
                </c:pt>
                <c:pt idx="80">
                  <c:v>5.4247239772799993E-3</c:v>
                </c:pt>
                <c:pt idx="81">
                  <c:v>-2.0748703206049601E-2</c:v>
                </c:pt>
                <c:pt idx="82">
                  <c:v>-4.4374104156712946E-2</c:v>
                </c:pt>
                <c:pt idx="83">
                  <c:v>7.0725156669650957E-2</c:v>
                </c:pt>
                <c:pt idx="84">
                  <c:v>-8.6217826803601794E-3</c:v>
                </c:pt>
                <c:pt idx="85">
                  <c:v>-7.8298469089634115E-2</c:v>
                </c:pt>
                <c:pt idx="86">
                  <c:v>-5.6937020683245354E-3</c:v>
                </c:pt>
                <c:pt idx="87">
                  <c:v>8.7224515903949751E-4</c:v>
                </c:pt>
                <c:pt idx="88">
                  <c:v>3.0315739021029353E-2</c:v>
                </c:pt>
                <c:pt idx="89">
                  <c:v>6.5292315547612834E-2</c:v>
                </c:pt>
                <c:pt idx="90">
                  <c:v>-2.0566356191785928E-2</c:v>
                </c:pt>
                <c:pt idx="91">
                  <c:v>3.1133170039963964E-2</c:v>
                </c:pt>
                <c:pt idx="92">
                  <c:v>1.2927657351788913E-2</c:v>
                </c:pt>
                <c:pt idx="93">
                  <c:v>1.5044071840413675E-2</c:v>
                </c:pt>
                <c:pt idx="94">
                  <c:v>7.8324876724076065E-2</c:v>
                </c:pt>
                <c:pt idx="95">
                  <c:v>7.962348584214185E-2</c:v>
                </c:pt>
                <c:pt idx="96">
                  <c:v>1.5354484919702482E-2</c:v>
                </c:pt>
                <c:pt idx="97">
                  <c:v>4.1445704495390423E-2</c:v>
                </c:pt>
                <c:pt idx="98">
                  <c:v>6.9832402234637492E-3</c:v>
                </c:pt>
                <c:pt idx="99">
                  <c:v>2.0541628238450516E-2</c:v>
                </c:pt>
                <c:pt idx="100">
                  <c:v>5.9518521808652469E-2</c:v>
                </c:pt>
                <c:pt idx="101">
                  <c:v>-2.4185159500693554E-2</c:v>
                </c:pt>
                <c:pt idx="102">
                  <c:v>-2.5938094414663659E-3</c:v>
                </c:pt>
                <c:pt idx="103">
                  <c:v>-1.6914577135571651E-2</c:v>
                </c:pt>
                <c:pt idx="104">
                  <c:v>-2.2353332225361511E-2</c:v>
                </c:pt>
                <c:pt idx="105">
                  <c:v>-1.4091430444043929E-2</c:v>
                </c:pt>
                <c:pt idx="106">
                  <c:v>-3.502253142540912E-2</c:v>
                </c:pt>
                <c:pt idx="107">
                  <c:v>6.4449395289623013E-3</c:v>
                </c:pt>
                <c:pt idx="108">
                  <c:v>7.2446454475638022E-2</c:v>
                </c:pt>
                <c:pt idx="109">
                  <c:v>-5.3239618678300182E-2</c:v>
                </c:pt>
                <c:pt idx="110">
                  <c:v>4.7739969527679005E-2</c:v>
                </c:pt>
                <c:pt idx="111">
                  <c:v>3.48633496846531E-2</c:v>
                </c:pt>
                <c:pt idx="112">
                  <c:v>1.7015590200445407E-2</c:v>
                </c:pt>
                <c:pt idx="113">
                  <c:v>0.1392469298690755</c:v>
                </c:pt>
                <c:pt idx="114">
                  <c:v>3.6939591664912674E-2</c:v>
                </c:pt>
                <c:pt idx="115">
                  <c:v>-4.8467854996995796E-2</c:v>
                </c:pt>
                <c:pt idx="116">
                  <c:v>5.0383927632271064E-2</c:v>
                </c:pt>
                <c:pt idx="117">
                  <c:v>-8.9648702178672934E-3</c:v>
                </c:pt>
                <c:pt idx="118">
                  <c:v>-6.4215432418435192E-3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05-4619-AD56-19E3C09A5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15488"/>
        <c:axId val="83511168"/>
      </c:scatterChart>
      <c:valAx>
        <c:axId val="8351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11168"/>
        <c:crosses val="autoZero"/>
        <c:crossBetween val="midCat"/>
      </c:valAx>
      <c:valAx>
        <c:axId val="835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1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45337</xdr:colOff>
      <xdr:row>41</xdr:row>
      <xdr:rowOff>35386</xdr:rowOff>
    </xdr:from>
    <xdr:to>
      <xdr:col>23</xdr:col>
      <xdr:colOff>912052</xdr:colOff>
      <xdr:row>61</xdr:row>
      <xdr:rowOff>18681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3831EE-991F-4220-AA82-055A13036B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97628</xdr:colOff>
      <xdr:row>7</xdr:row>
      <xdr:rowOff>99998</xdr:rowOff>
    </xdr:from>
    <xdr:to>
      <xdr:col>18</xdr:col>
      <xdr:colOff>338136</xdr:colOff>
      <xdr:row>22</xdr:row>
      <xdr:rowOff>52388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F84F2B-6A0F-FE1C-F6C3-DB3A8BB3B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130981</xdr:colOff>
      <xdr:row>23</xdr:row>
      <xdr:rowOff>28589</xdr:rowOff>
    </xdr:from>
    <xdr:to>
      <xdr:col>18</xdr:col>
      <xdr:colOff>347662</xdr:colOff>
      <xdr:row>37</xdr:row>
      <xdr:rowOff>104789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C35054-5FB6-2622-A146-CF176BE54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129702</xdr:colOff>
      <xdr:row>23</xdr:row>
      <xdr:rowOff>68804</xdr:rowOff>
    </xdr:from>
    <xdr:to>
      <xdr:col>28</xdr:col>
      <xdr:colOff>68791</xdr:colOff>
      <xdr:row>37</xdr:row>
      <xdr:rowOff>145004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4F26E9-668A-DEC8-85C8-56A72C3BA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18573</xdr:colOff>
      <xdr:row>7</xdr:row>
      <xdr:rowOff>142904</xdr:rowOff>
    </xdr:from>
    <xdr:to>
      <xdr:col>28</xdr:col>
      <xdr:colOff>111124</xdr:colOff>
      <xdr:row>22</xdr:row>
      <xdr:rowOff>28604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065D91B-1F10-E908-8101-EF0F131F5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237508</xdr:colOff>
      <xdr:row>23</xdr:row>
      <xdr:rowOff>109071</xdr:rowOff>
    </xdr:from>
    <xdr:to>
      <xdr:col>37</xdr:col>
      <xdr:colOff>432728</xdr:colOff>
      <xdr:row>38</xdr:row>
      <xdr:rowOff>87562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E7F46-95AE-A419-B182-9E3501316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90118</xdr:colOff>
      <xdr:row>7</xdr:row>
      <xdr:rowOff>125440</xdr:rowOff>
    </xdr:from>
    <xdr:to>
      <xdr:col>37</xdr:col>
      <xdr:colOff>551029</xdr:colOff>
      <xdr:row>22</xdr:row>
      <xdr:rowOff>30712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CC6803-FFEB-2A03-DB6C-14B7C5F4C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111809</xdr:colOff>
      <xdr:row>39</xdr:row>
      <xdr:rowOff>150928</xdr:rowOff>
    </xdr:from>
    <xdr:to>
      <xdr:col>29</xdr:col>
      <xdr:colOff>83412</xdr:colOff>
      <xdr:row>54</xdr:row>
      <xdr:rowOff>36627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5AC7405-1449-4AD5-A9D7-C2ED91C5C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18</xdr:col>
      <xdr:colOff>491029</xdr:colOff>
      <xdr:row>17</xdr:row>
      <xdr:rowOff>160360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1A9BB2-BF62-4D41-93FE-29CA959B4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18</xdr:col>
      <xdr:colOff>467202</xdr:colOff>
      <xdr:row>36</xdr:row>
      <xdr:rowOff>100267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E6D07A-5691-463C-8CD1-014122D6C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1</xdr:row>
      <xdr:rowOff>0</xdr:rowOff>
    </xdr:from>
    <xdr:to>
      <xdr:col>28</xdr:col>
      <xdr:colOff>153876</xdr:colOff>
      <xdr:row>17</xdr:row>
      <xdr:rowOff>93670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330A7F-874A-4CFD-A191-41B329162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20</xdr:row>
      <xdr:rowOff>0</xdr:rowOff>
    </xdr:from>
    <xdr:to>
      <xdr:col>28</xdr:col>
      <xdr:colOff>414</xdr:colOff>
      <xdr:row>36</xdr:row>
      <xdr:rowOff>100267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5BDACA-6AFD-4220-AF1B-DDB776380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39</xdr:row>
      <xdr:rowOff>0</xdr:rowOff>
    </xdr:from>
    <xdr:to>
      <xdr:col>17</xdr:col>
      <xdr:colOff>550924</xdr:colOff>
      <xdr:row>59</xdr:row>
      <xdr:rowOff>47453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243A88-7728-413F-AB2E-B36D4E2B6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83796</xdr:colOff>
      <xdr:row>39</xdr:row>
      <xdr:rowOff>101003</xdr:rowOff>
    </xdr:from>
    <xdr:to>
      <xdr:col>27</xdr:col>
      <xdr:colOff>589025</xdr:colOff>
      <xdr:row>57</xdr:row>
      <xdr:rowOff>3100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C60BD2-92E7-4A3B-B219-8674F6530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6D76F-8EE4-481E-9702-EBFC27ABD06A}">
  <sheetPr>
    <tabColor rgb="FF00B050"/>
  </sheetPr>
  <dimension ref="A1:Z129"/>
  <sheetViews>
    <sheetView zoomScaleNormal="100" workbookViewId="0">
      <selection activeCell="B4" sqref="B4"/>
    </sheetView>
  </sheetViews>
  <sheetFormatPr defaultColWidth="10" defaultRowHeight="15" customHeight="1" x14ac:dyDescent="0.2"/>
  <cols>
    <col min="1" max="1" width="21.5703125" bestFit="1" customWidth="1"/>
    <col min="2" max="2" width="16.28515625" bestFit="1" customWidth="1"/>
    <col min="5" max="6" width="11.28515625" bestFit="1" customWidth="1"/>
    <col min="7" max="7" width="22" bestFit="1" customWidth="1"/>
    <col min="8" max="8" width="11" bestFit="1" customWidth="1"/>
    <col min="9" max="9" width="20.5703125" bestFit="1" customWidth="1"/>
    <col min="11" max="11" width="11.140625" customWidth="1"/>
    <col min="12" max="12" width="13.28515625" bestFit="1" customWidth="1"/>
    <col min="13" max="13" width="10.42578125" customWidth="1"/>
    <col min="14" max="14" width="15.5703125" bestFit="1" customWidth="1"/>
    <col min="15" max="15" width="20" bestFit="1" customWidth="1"/>
    <col min="17" max="17" width="13.28515625" bestFit="1" customWidth="1"/>
    <col min="18" max="18" width="12.5703125" bestFit="1" customWidth="1"/>
    <col min="19" max="19" width="13.5703125" bestFit="1" customWidth="1"/>
    <col min="20" max="20" width="16.28515625" bestFit="1" customWidth="1"/>
    <col min="21" max="21" width="14.85546875" bestFit="1" customWidth="1"/>
    <col min="22" max="23" width="15" bestFit="1" customWidth="1"/>
    <col min="24" max="24" width="13.42578125" bestFit="1" customWidth="1"/>
    <col min="25" max="25" width="15.5703125" bestFit="1" customWidth="1"/>
    <col min="26" max="26" width="13.42578125" bestFit="1" customWidth="1"/>
    <col min="27" max="27" width="20" bestFit="1" customWidth="1"/>
    <col min="28" max="28" width="13.42578125" bestFit="1" customWidth="1"/>
  </cols>
  <sheetData>
    <row r="1" spans="1:26" ht="20.25" x14ac:dyDescent="0.3">
      <c r="A1" s="9" t="s">
        <v>19</v>
      </c>
    </row>
    <row r="2" spans="1:26" ht="12.75" x14ac:dyDescent="0.2">
      <c r="A2" t="s">
        <v>70</v>
      </c>
      <c r="B2" s="21">
        <v>100000000</v>
      </c>
      <c r="Y2" s="13"/>
      <c r="Z2" s="6"/>
    </row>
    <row r="3" spans="1:26" ht="12.75" x14ac:dyDescent="0.2">
      <c r="A3" t="s">
        <v>44</v>
      </c>
      <c r="B3" s="5">
        <f>'10-year_Bond'!B14</f>
        <v>4.2300000000000004E-2</v>
      </c>
      <c r="Y3" s="13"/>
      <c r="Z3" s="6"/>
    </row>
    <row r="4" spans="1:26" ht="15" customHeight="1" x14ac:dyDescent="0.2">
      <c r="A4" t="s">
        <v>26</v>
      </c>
      <c r="B4" s="10">
        <v>0.5</v>
      </c>
      <c r="Y4" s="13"/>
      <c r="Z4" s="5"/>
    </row>
    <row r="5" spans="1:26" ht="15" customHeight="1" x14ac:dyDescent="0.2">
      <c r="A5" t="s">
        <v>10</v>
      </c>
      <c r="B5" s="10">
        <f>1-B4</f>
        <v>0.5</v>
      </c>
    </row>
    <row r="7" spans="1:26" ht="15" customHeight="1" x14ac:dyDescent="0.2">
      <c r="I7" s="7" t="s">
        <v>66</v>
      </c>
      <c r="J7" s="7" t="s">
        <v>22</v>
      </c>
      <c r="K7" s="7" t="s">
        <v>5</v>
      </c>
      <c r="L7" s="7" t="s">
        <v>48</v>
      </c>
      <c r="O7" s="7" t="s">
        <v>67</v>
      </c>
      <c r="P7" s="7" t="s">
        <v>22</v>
      </c>
      <c r="Q7" s="7" t="s">
        <v>5</v>
      </c>
      <c r="R7" s="7" t="s">
        <v>48</v>
      </c>
      <c r="T7" s="50" t="s">
        <v>69</v>
      </c>
      <c r="U7" s="50"/>
      <c r="V7" s="50"/>
      <c r="W7" s="50"/>
    </row>
    <row r="8" spans="1:26" ht="15" customHeight="1" x14ac:dyDescent="0.2">
      <c r="A8" s="2" t="s">
        <v>0</v>
      </c>
      <c r="B8" s="2" t="s">
        <v>20</v>
      </c>
      <c r="C8" s="2" t="s">
        <v>3</v>
      </c>
      <c r="E8" s="2" t="s">
        <v>21</v>
      </c>
      <c r="F8" s="2" t="s">
        <v>4</v>
      </c>
      <c r="G8" s="2" t="s">
        <v>46</v>
      </c>
      <c r="I8" t="s">
        <v>6</v>
      </c>
      <c r="J8" s="6">
        <f>AVERAGE(E9:E127)</f>
        <v>1.2007055031466445E-2</v>
      </c>
      <c r="K8" s="6">
        <f>AVERAGE(F9:F127)</f>
        <v>1.1117206028899198E-2</v>
      </c>
      <c r="L8" s="6">
        <f>AVERAGE(G9:G127)</f>
        <v>1.1562130530182825E-2</v>
      </c>
      <c r="O8" t="s">
        <v>6</v>
      </c>
      <c r="P8" s="5">
        <f t="shared" ref="P8:R9" si="0">(1+J8)^12-1</f>
        <v>0.1539911586690772</v>
      </c>
      <c r="Q8" s="5">
        <f t="shared" si="0"/>
        <v>0.14187353972425654</v>
      </c>
      <c r="R8" s="5">
        <f t="shared" si="0"/>
        <v>0.14791769227270235</v>
      </c>
      <c r="T8" s="7" t="s">
        <v>74</v>
      </c>
      <c r="U8" s="7" t="s">
        <v>22</v>
      </c>
      <c r="V8" s="7" t="s">
        <v>5</v>
      </c>
      <c r="W8" s="7" t="s">
        <v>65</v>
      </c>
    </row>
    <row r="9" spans="1:26" ht="15" customHeight="1" x14ac:dyDescent="0.2">
      <c r="A9" s="11">
        <v>45747</v>
      </c>
      <c r="B9" s="4">
        <v>512.01</v>
      </c>
      <c r="C9" s="4">
        <v>312.37</v>
      </c>
      <c r="E9" s="5">
        <f t="shared" ref="E9:E40" si="1">B9/B10-1</f>
        <v>0.10887079308701852</v>
      </c>
      <c r="F9" s="5">
        <f t="shared" ref="F9:F40" si="2">C9/C10-1</f>
        <v>1.310284435507425E-2</v>
      </c>
      <c r="G9" s="5">
        <f>E9*$B$4+F9*$B$5</f>
        <v>6.0986818721046387E-2</v>
      </c>
      <c r="I9" t="s">
        <v>7</v>
      </c>
      <c r="J9" s="5">
        <f>_xlfn.VAR.P(E9:E127)</f>
        <v>3.7327659679880793E-3</v>
      </c>
      <c r="K9" s="5">
        <f>_xlfn.VAR.P(F9:F127)</f>
        <v>2.4389540830751996E-3</v>
      </c>
      <c r="L9" s="5">
        <f>_xlfn.VAR.P(G9:G127)</f>
        <v>2.1330981748368836E-3</v>
      </c>
      <c r="O9" t="s">
        <v>7</v>
      </c>
      <c r="P9" s="5">
        <f t="shared" si="0"/>
        <v>4.57243443934503E-2</v>
      </c>
      <c r="Q9" s="5">
        <f t="shared" si="0"/>
        <v>2.9663259168550615E-2</v>
      </c>
      <c r="R9" s="5">
        <f t="shared" si="0"/>
        <v>2.5899630779552485E-2</v>
      </c>
      <c r="T9" s="37" t="s">
        <v>55</v>
      </c>
      <c r="U9" s="33">
        <f>T34*M45</f>
        <v>0.36000000000000004</v>
      </c>
      <c r="V9" s="33">
        <f>1-U9-W9</f>
        <v>0.53999999999999992</v>
      </c>
      <c r="W9" s="34">
        <f>1-T34</f>
        <v>9.9999999999999978E-2</v>
      </c>
    </row>
    <row r="10" spans="1:26" ht="15" customHeight="1" x14ac:dyDescent="0.2">
      <c r="A10" s="12">
        <v>45716</v>
      </c>
      <c r="B10" s="3">
        <v>461.74</v>
      </c>
      <c r="C10" s="3">
        <v>308.33</v>
      </c>
      <c r="E10" s="5">
        <f t="shared" si="1"/>
        <v>-5.2393949966137776E-2</v>
      </c>
      <c r="F10" s="5">
        <f t="shared" si="2"/>
        <v>6.7994457914790418E-2</v>
      </c>
      <c r="G10" s="5">
        <f t="shared" ref="G10:G73" si="3">E10*$B$4+F10*$B$5</f>
        <v>7.8002539743263211E-3</v>
      </c>
      <c r="I10" s="8" t="s">
        <v>8</v>
      </c>
      <c r="J10" s="5">
        <f>_xlfn.STDEV.P(E9:E127)</f>
        <v>6.1096366242093969E-2</v>
      </c>
      <c r="K10" s="5">
        <f>_xlfn.STDEV.P(F9:F127)</f>
        <v>4.9385768021518096E-2</v>
      </c>
      <c r="L10" s="5">
        <f>_xlfn.STDEV.P(G9:G127)</f>
        <v>4.6185475799615655E-2</v>
      </c>
      <c r="O10" s="8" t="s">
        <v>8</v>
      </c>
      <c r="P10" s="5">
        <f>J10*SQRT(12)</f>
        <v>0.2116440209782855</v>
      </c>
      <c r="Q10" s="5">
        <f>K10*SQRT(12)</f>
        <v>0.17107731876815929</v>
      </c>
      <c r="R10" s="5">
        <f>L10*SQRT(12)</f>
        <v>0.15999118131335427</v>
      </c>
      <c r="T10" s="37" t="s">
        <v>71</v>
      </c>
      <c r="U10" s="35">
        <f>U9*$B$2</f>
        <v>36000000.000000007</v>
      </c>
      <c r="V10" s="35">
        <f>V9*$B$2</f>
        <v>53999999.999999993</v>
      </c>
      <c r="W10" s="35">
        <f>W9*$B$2</f>
        <v>9999999.9999999981</v>
      </c>
    </row>
    <row r="11" spans="1:26" ht="15" customHeight="1" x14ac:dyDescent="0.2">
      <c r="A11" s="11">
        <v>45688</v>
      </c>
      <c r="B11" s="4">
        <v>487.27</v>
      </c>
      <c r="C11" s="4">
        <v>288.7</v>
      </c>
      <c r="E11" s="5">
        <f t="shared" si="1"/>
        <v>3.8313196530929572E-2</v>
      </c>
      <c r="F11" s="5">
        <f t="shared" si="2"/>
        <v>-4.1050053468556502E-3</v>
      </c>
      <c r="G11" s="5">
        <f t="shared" si="3"/>
        <v>1.7104095592036961E-2</v>
      </c>
      <c r="I11" s="8" t="s">
        <v>9</v>
      </c>
      <c r="K11">
        <f>_xlfn.COVARIANCE.P(E9:E127,F9:F127)</f>
        <v>1.1803363241421284E-3</v>
      </c>
      <c r="O11" s="8"/>
      <c r="T11" s="37" t="s">
        <v>72</v>
      </c>
      <c r="U11" s="36">
        <f>P8</f>
        <v>0.1539911586690772</v>
      </c>
      <c r="V11" s="36">
        <f>Q8</f>
        <v>0.14187353972425654</v>
      </c>
      <c r="W11" s="36">
        <f>B3</f>
        <v>4.2300000000000004E-2</v>
      </c>
    </row>
    <row r="12" spans="1:26" ht="15" customHeight="1" x14ac:dyDescent="0.2">
      <c r="A12" s="12">
        <v>45657</v>
      </c>
      <c r="B12" s="3">
        <v>469.29</v>
      </c>
      <c r="C12" s="3">
        <v>289.89</v>
      </c>
      <c r="E12" s="5">
        <f t="shared" si="1"/>
        <v>-4.1580720923108272E-2</v>
      </c>
      <c r="F12" s="5">
        <f t="shared" si="2"/>
        <v>-2.0674977196716293E-2</v>
      </c>
      <c r="G12" s="5">
        <f t="shared" si="3"/>
        <v>-3.1127849059912283E-2</v>
      </c>
      <c r="T12" s="37" t="s">
        <v>73</v>
      </c>
      <c r="U12" s="35">
        <f>U10*U11</f>
        <v>5543681.71208678</v>
      </c>
      <c r="V12" s="35">
        <f>V10*V11</f>
        <v>7661171.1451098518</v>
      </c>
      <c r="W12" s="35">
        <f>W10*W11</f>
        <v>422999.99999999994</v>
      </c>
    </row>
    <row r="13" spans="1:26" ht="15" customHeight="1" x14ac:dyDescent="0.2">
      <c r="A13" s="11">
        <v>45625</v>
      </c>
      <c r="B13" s="4">
        <v>489.65</v>
      </c>
      <c r="C13" s="4">
        <v>296.01</v>
      </c>
      <c r="E13" s="5">
        <f t="shared" si="1"/>
        <v>-3.8053514596675941E-2</v>
      </c>
      <c r="F13" s="5">
        <f t="shared" si="2"/>
        <v>1.3351134846461887E-2</v>
      </c>
      <c r="G13" s="5">
        <f t="shared" si="3"/>
        <v>-1.2351189875107027E-2</v>
      </c>
      <c r="I13" s="8" t="s">
        <v>12</v>
      </c>
      <c r="T13" s="38" t="s">
        <v>11</v>
      </c>
      <c r="U13" s="51">
        <f>SUM(U12:W12)/B2</f>
        <v>0.13627852857196632</v>
      </c>
      <c r="V13" s="51"/>
      <c r="W13" s="51"/>
    </row>
    <row r="14" spans="1:26" ht="15" customHeight="1" x14ac:dyDescent="0.2">
      <c r="A14" s="12">
        <v>45596</v>
      </c>
      <c r="B14" s="3">
        <v>509.02</v>
      </c>
      <c r="C14" s="3">
        <v>292.11</v>
      </c>
      <c r="E14" s="5">
        <f t="shared" si="1"/>
        <v>-3.6074762815535899E-2</v>
      </c>
      <c r="F14" s="5">
        <f t="shared" si="2"/>
        <v>-4.0721158582640915E-2</v>
      </c>
      <c r="G14" s="5">
        <f t="shared" si="3"/>
        <v>-3.8397960699088407E-2</v>
      </c>
      <c r="I14" s="8" t="s">
        <v>13</v>
      </c>
      <c r="J14" s="6">
        <f>AVERAGE(G9:G127)</f>
        <v>1.1562130530182825E-2</v>
      </c>
      <c r="T14" s="38" t="s">
        <v>75</v>
      </c>
      <c r="U14" s="52">
        <f>U9*'SPY&amp;BETA'!L5+V9*'SPY&amp;BETA'!M5</f>
        <v>0.4882857449644773</v>
      </c>
      <c r="V14" s="52"/>
      <c r="W14" s="52"/>
    </row>
    <row r="15" spans="1:26" ht="15" customHeight="1" x14ac:dyDescent="0.2">
      <c r="A15" s="11">
        <v>45565</v>
      </c>
      <c r="B15" s="4">
        <v>528.07000000000005</v>
      </c>
      <c r="C15" s="4">
        <v>304.51</v>
      </c>
      <c r="E15" s="5">
        <f t="shared" si="1"/>
        <v>9.2888132872077644E-3</v>
      </c>
      <c r="F15" s="5">
        <f t="shared" si="2"/>
        <v>5.4908889350793189E-2</v>
      </c>
      <c r="G15" s="5">
        <f t="shared" si="3"/>
        <v>3.2098851319000477E-2</v>
      </c>
      <c r="I15" s="8" t="s">
        <v>13</v>
      </c>
      <c r="J15" s="5">
        <f>J8*B4+K8*B5</f>
        <v>1.1562130530182822E-2</v>
      </c>
      <c r="T15" s="38" t="s">
        <v>76</v>
      </c>
      <c r="U15" s="51">
        <f>(U13-B3)/U14</f>
        <v>0.19246625473123988</v>
      </c>
      <c r="V15" s="51"/>
      <c r="W15" s="51"/>
    </row>
    <row r="16" spans="1:26" ht="15" customHeight="1" x14ac:dyDescent="0.2">
      <c r="A16" s="12">
        <v>45534</v>
      </c>
      <c r="B16" s="3">
        <v>523.21</v>
      </c>
      <c r="C16" s="3">
        <v>288.66000000000003</v>
      </c>
      <c r="E16" s="5">
        <f t="shared" si="1"/>
        <v>8.0298149983482059E-2</v>
      </c>
      <c r="F16" s="5">
        <f t="shared" si="2"/>
        <v>8.7641296156744763E-2</v>
      </c>
      <c r="G16" s="5">
        <f t="shared" si="3"/>
        <v>8.3969723070113411E-2</v>
      </c>
      <c r="I16" s="8" t="s">
        <v>14</v>
      </c>
      <c r="J16" s="5">
        <f>(1+J15)^12-1</f>
        <v>0.14791769227270235</v>
      </c>
      <c r="R16" s="5"/>
      <c r="T16" s="38" t="s">
        <v>77</v>
      </c>
      <c r="U16" s="53">
        <f>1.28*(L10/SQRT(12))*B2</f>
        <v>1706572.6006757789</v>
      </c>
      <c r="V16" s="53"/>
      <c r="W16" s="53"/>
    </row>
    <row r="17" spans="1:23" ht="15" customHeight="1" x14ac:dyDescent="0.2">
      <c r="A17" s="11">
        <v>45504</v>
      </c>
      <c r="B17" s="4">
        <v>484.32</v>
      </c>
      <c r="C17" s="4">
        <v>265.39999999999998</v>
      </c>
      <c r="E17" s="5">
        <f t="shared" si="1"/>
        <v>0.1109530909507972</v>
      </c>
      <c r="F17" s="5">
        <f t="shared" si="2"/>
        <v>4.143776487207651E-2</v>
      </c>
      <c r="G17" s="5">
        <f t="shared" si="3"/>
        <v>7.6195427911436853E-2</v>
      </c>
      <c r="H17" s="27"/>
      <c r="I17" s="8" t="s">
        <v>45</v>
      </c>
      <c r="J17" s="6">
        <f>J16-B3</f>
        <v>0.10561769227270235</v>
      </c>
      <c r="R17" s="14"/>
      <c r="S17" s="27"/>
      <c r="W17" s="21"/>
    </row>
    <row r="18" spans="1:23" ht="15" customHeight="1" x14ac:dyDescent="0.2">
      <c r="A18" s="12">
        <v>45471</v>
      </c>
      <c r="B18" s="3">
        <v>435.95</v>
      </c>
      <c r="C18" s="3">
        <v>254.84</v>
      </c>
      <c r="E18" s="5">
        <f t="shared" si="1"/>
        <v>-3.287707700157505E-2</v>
      </c>
      <c r="F18" s="5">
        <f t="shared" si="2"/>
        <v>-1.5643709683649365E-2</v>
      </c>
      <c r="G18" s="5">
        <f t="shared" si="3"/>
        <v>-2.4260393342612208E-2</v>
      </c>
      <c r="I18" s="8" t="s">
        <v>15</v>
      </c>
      <c r="J18">
        <f>_xlfn.VAR.P(G9:G127)</f>
        <v>2.1330981748368836E-3</v>
      </c>
      <c r="R18" s="6"/>
    </row>
    <row r="19" spans="1:23" ht="15" customHeight="1" x14ac:dyDescent="0.2">
      <c r="A19" s="11">
        <v>45443</v>
      </c>
      <c r="B19" s="4">
        <v>450.77</v>
      </c>
      <c r="C19" s="4">
        <v>258.89</v>
      </c>
      <c r="E19" s="5">
        <f t="shared" si="1"/>
        <v>-7.0634806094468372E-2</v>
      </c>
      <c r="F19" s="5">
        <f t="shared" si="2"/>
        <v>-5.1823908584822886E-2</v>
      </c>
      <c r="G19" s="5">
        <f t="shared" si="3"/>
        <v>-6.1229357339645629E-2</v>
      </c>
      <c r="R19" s="6"/>
    </row>
    <row r="20" spans="1:23" ht="15" customHeight="1" x14ac:dyDescent="0.2">
      <c r="A20" s="12">
        <v>45412</v>
      </c>
      <c r="B20" s="3">
        <v>485.03</v>
      </c>
      <c r="C20" s="3">
        <v>273.04000000000002</v>
      </c>
      <c r="E20" s="5">
        <f t="shared" si="1"/>
        <v>1.3307984790874361E-2</v>
      </c>
      <c r="F20" s="5">
        <f t="shared" si="2"/>
        <v>-3.160134775669432E-2</v>
      </c>
      <c r="G20" s="5">
        <f t="shared" si="3"/>
        <v>-9.1466814829099796E-3</v>
      </c>
      <c r="I20" s="8" t="s">
        <v>18</v>
      </c>
      <c r="J20" s="5">
        <f>SQRT(J18)</f>
        <v>4.6185475799615655E-2</v>
      </c>
      <c r="R20" s="5"/>
    </row>
    <row r="21" spans="1:23" ht="15" customHeight="1" x14ac:dyDescent="0.2">
      <c r="A21" s="11">
        <v>45379</v>
      </c>
      <c r="B21" s="4">
        <v>478.66</v>
      </c>
      <c r="C21" s="4">
        <v>281.95</v>
      </c>
      <c r="E21" s="5">
        <f t="shared" si="1"/>
        <v>3.8262982083206998E-2</v>
      </c>
      <c r="F21" s="5">
        <f t="shared" si="2"/>
        <v>-3.5342821951553249E-2</v>
      </c>
      <c r="G21" s="5">
        <f t="shared" si="3"/>
        <v>1.4600800658268742E-3</v>
      </c>
      <c r="I21" s="8" t="s">
        <v>14</v>
      </c>
      <c r="J21" s="5">
        <f>SQRT(12)*J20</f>
        <v>0.15999118131335427</v>
      </c>
      <c r="M21" s="48" t="s">
        <v>60</v>
      </c>
      <c r="N21" s="48"/>
      <c r="O21" s="48"/>
      <c r="P21" s="48"/>
      <c r="R21" s="24"/>
    </row>
    <row r="22" spans="1:23" ht="15" customHeight="1" x14ac:dyDescent="0.2">
      <c r="A22" s="12">
        <v>45351</v>
      </c>
      <c r="B22" s="3">
        <v>461.02</v>
      </c>
      <c r="C22" s="3">
        <v>292.27999999999997</v>
      </c>
      <c r="E22" s="5">
        <f t="shared" si="1"/>
        <v>3.1918703554481231E-2</v>
      </c>
      <c r="F22" s="5">
        <f t="shared" si="2"/>
        <v>-1.5031429352283521E-3</v>
      </c>
      <c r="G22" s="5">
        <f t="shared" si="3"/>
        <v>1.520778030962644E-2</v>
      </c>
      <c r="M22" s="39" t="s">
        <v>23</v>
      </c>
      <c r="N22" s="39" t="s">
        <v>16</v>
      </c>
      <c r="O22" s="39" t="s">
        <v>17</v>
      </c>
      <c r="P22" s="32" t="s">
        <v>47</v>
      </c>
      <c r="R22" s="6"/>
    </row>
    <row r="23" spans="1:23" ht="15" customHeight="1" x14ac:dyDescent="0.2">
      <c r="A23" s="11">
        <v>45322</v>
      </c>
      <c r="B23" s="4">
        <v>446.76</v>
      </c>
      <c r="C23" s="4">
        <v>292.72000000000003</v>
      </c>
      <c r="E23" s="5">
        <f t="shared" si="1"/>
        <v>-4.567009868842653E-2</v>
      </c>
      <c r="F23" s="5">
        <f t="shared" si="2"/>
        <v>-1.2782030960169832E-2</v>
      </c>
      <c r="G23" s="5">
        <f t="shared" si="3"/>
        <v>-2.9226064824298181E-2</v>
      </c>
      <c r="N23" s="36">
        <f>J21</f>
        <v>0.15999118131335427</v>
      </c>
      <c r="O23" s="36">
        <f>J16</f>
        <v>0.14791769227270235</v>
      </c>
      <c r="P23" s="40">
        <f t="shared" ref="P23:P44" si="4">(O23-$B$3)/N23</f>
        <v>0.66014696188687094</v>
      </c>
      <c r="T23" s="49" t="s">
        <v>54</v>
      </c>
      <c r="U23" s="49"/>
      <c r="V23" s="49"/>
    </row>
    <row r="24" spans="1:23" ht="15" customHeight="1" x14ac:dyDescent="0.2">
      <c r="A24" s="12">
        <v>45289</v>
      </c>
      <c r="B24" s="3">
        <v>468.14</v>
      </c>
      <c r="C24" s="3">
        <v>296.51</v>
      </c>
      <c r="E24" s="5">
        <f t="shared" si="1"/>
        <v>-1.4773970872969167E-2</v>
      </c>
      <c r="F24" s="5">
        <f t="shared" si="2"/>
        <v>5.2050808969628326E-2</v>
      </c>
      <c r="G24" s="5">
        <f t="shared" si="3"/>
        <v>1.863841904832958E-2</v>
      </c>
      <c r="M24" s="41">
        <v>0</v>
      </c>
      <c r="N24" s="42">
        <f t="dataTable" ref="N24:O44" dt2D="0" dtr="0" r1="B4"/>
        <v>0.17107731876815929</v>
      </c>
      <c r="O24" s="42">
        <v>0.14187353972425654</v>
      </c>
      <c r="P24" s="40">
        <f t="shared" si="4"/>
        <v>0.58203822950485151</v>
      </c>
      <c r="T24" t="s">
        <v>55</v>
      </c>
      <c r="U24" s="5" t="s">
        <v>56</v>
      </c>
      <c r="V24" s="6" t="s">
        <v>57</v>
      </c>
    </row>
    <row r="25" spans="1:23" ht="15" customHeight="1" x14ac:dyDescent="0.2">
      <c r="A25" s="11">
        <v>45260</v>
      </c>
      <c r="B25" s="4">
        <v>475.16</v>
      </c>
      <c r="C25" s="4">
        <v>281.83999999999997</v>
      </c>
      <c r="E25" s="5">
        <f t="shared" si="1"/>
        <v>7.9120972360691155E-3</v>
      </c>
      <c r="F25" s="5">
        <f t="shared" si="2"/>
        <v>7.5027653812411721E-2</v>
      </c>
      <c r="G25" s="5">
        <f t="shared" si="3"/>
        <v>4.1469875524240418E-2</v>
      </c>
      <c r="M25" s="41">
        <v>0.05</v>
      </c>
      <c r="N25" s="42">
        <v>0.16694741420059811</v>
      </c>
      <c r="O25" s="42">
        <v>0.14247663952728229</v>
      </c>
      <c r="P25" s="40">
        <f t="shared" si="4"/>
        <v>0.60004906339497766</v>
      </c>
      <c r="T25" s="13">
        <v>0</v>
      </c>
      <c r="U25" s="6">
        <f>(T25*$O$32)+((1-T25)*$B$3)</f>
        <v>4.2300000000000004E-2</v>
      </c>
      <c r="V25" s="6">
        <f t="shared" ref="V25:V36" si="5">T25*$N$45</f>
        <v>0</v>
      </c>
    </row>
    <row r="26" spans="1:23" ht="15" customHeight="1" x14ac:dyDescent="0.2">
      <c r="A26" s="12">
        <v>45230</v>
      </c>
      <c r="B26" s="3">
        <v>471.43</v>
      </c>
      <c r="C26" s="3">
        <v>262.17</v>
      </c>
      <c r="E26" s="5">
        <f t="shared" si="1"/>
        <v>7.0969354142529362E-2</v>
      </c>
      <c r="F26" s="5">
        <f t="shared" si="2"/>
        <v>-4.8208320680229733E-3</v>
      </c>
      <c r="G26" s="5">
        <f t="shared" si="3"/>
        <v>3.3074261037253194E-2</v>
      </c>
      <c r="M26" s="41">
        <v>0.1</v>
      </c>
      <c r="N26" s="42">
        <v>0.16341386741582395</v>
      </c>
      <c r="O26" s="42">
        <v>0.14308003131002933</v>
      </c>
      <c r="P26" s="40">
        <f t="shared" si="4"/>
        <v>0.61671651802710126</v>
      </c>
      <c r="T26" s="13">
        <v>0.1</v>
      </c>
      <c r="U26" s="6">
        <f t="shared" ref="U26:U36" si="6">(T26*$O$45)+((1-T26)*$B$3)</f>
        <v>5.2740652078024169E-2</v>
      </c>
      <c r="V26" s="6">
        <f t="shared" si="5"/>
        <v>1.5653092194349533E-2</v>
      </c>
    </row>
    <row r="27" spans="1:23" ht="15" customHeight="1" x14ac:dyDescent="0.2">
      <c r="A27" s="11">
        <v>45198</v>
      </c>
      <c r="B27" s="4">
        <v>440.19</v>
      </c>
      <c r="C27" s="4">
        <v>263.44</v>
      </c>
      <c r="E27" s="5">
        <f t="shared" si="1"/>
        <v>1.6393821145720411E-2</v>
      </c>
      <c r="F27" s="5">
        <f t="shared" si="2"/>
        <v>-6.2991285790503171E-2</v>
      </c>
      <c r="G27" s="5">
        <f t="shared" si="3"/>
        <v>-2.329873232239138E-2</v>
      </c>
      <c r="M27" s="41">
        <v>0.15</v>
      </c>
      <c r="N27" s="42">
        <v>0.1605160673063406</v>
      </c>
      <c r="O27" s="42">
        <v>0.14368371520099887</v>
      </c>
      <c r="P27" s="40">
        <f t="shared" si="4"/>
        <v>0.63161100880643162</v>
      </c>
      <c r="T27" s="13">
        <v>0.2</v>
      </c>
      <c r="U27" s="6">
        <f t="shared" si="6"/>
        <v>6.3181304156048321E-2</v>
      </c>
      <c r="V27" s="6">
        <f t="shared" si="5"/>
        <v>3.1306184388699067E-2</v>
      </c>
    </row>
    <row r="28" spans="1:23" ht="15" customHeight="1" x14ac:dyDescent="0.2">
      <c r="A28" s="12">
        <v>45169</v>
      </c>
      <c r="B28" s="3">
        <v>433.09</v>
      </c>
      <c r="C28" s="3">
        <v>281.14999999999998</v>
      </c>
      <c r="E28" s="5">
        <f t="shared" si="1"/>
        <v>-2.6764044943820231E-2</v>
      </c>
      <c r="F28" s="5">
        <f t="shared" si="2"/>
        <v>-4.1098226466575793E-2</v>
      </c>
      <c r="G28" s="5">
        <f t="shared" si="3"/>
        <v>-3.3931135705198012E-2</v>
      </c>
      <c r="M28" s="41">
        <v>0.2</v>
      </c>
      <c r="N28" s="42">
        <v>0.1582889336225296</v>
      </c>
      <c r="O28" s="42">
        <v>0.14428769132874053</v>
      </c>
      <c r="P28" s="40">
        <f t="shared" si="4"/>
        <v>0.64431346522271593</v>
      </c>
      <c r="T28" s="13">
        <v>0.3</v>
      </c>
      <c r="U28" s="6">
        <f t="shared" si="6"/>
        <v>7.3621956234072486E-2</v>
      </c>
      <c r="V28" s="6">
        <f t="shared" si="5"/>
        <v>4.6959276583048597E-2</v>
      </c>
    </row>
    <row r="29" spans="1:23" ht="15" customHeight="1" x14ac:dyDescent="0.2">
      <c r="A29" s="11">
        <v>45138</v>
      </c>
      <c r="B29" s="4">
        <v>445</v>
      </c>
      <c r="C29" s="4">
        <v>293.2</v>
      </c>
      <c r="E29" s="5">
        <f t="shared" si="1"/>
        <v>-2.3694602896007E-2</v>
      </c>
      <c r="F29" s="5">
        <f t="shared" si="2"/>
        <v>-1.7459200428940225E-2</v>
      </c>
      <c r="G29" s="5">
        <f t="shared" si="3"/>
        <v>-2.0576901662473612E-2</v>
      </c>
      <c r="M29" s="41">
        <v>0.25</v>
      </c>
      <c r="N29" s="42">
        <v>0.15676105382201352</v>
      </c>
      <c r="O29" s="42">
        <v>0.14489195982185743</v>
      </c>
      <c r="P29" s="40">
        <f t="shared" si="4"/>
        <v>0.65444801065410241</v>
      </c>
      <c r="T29" s="13">
        <v>0.4</v>
      </c>
      <c r="U29" s="6">
        <f t="shared" si="6"/>
        <v>8.4062608312096651E-2</v>
      </c>
      <c r="V29" s="6">
        <f t="shared" si="5"/>
        <v>6.2612368777398134E-2</v>
      </c>
    </row>
    <row r="30" spans="1:23" ht="15" customHeight="1" x14ac:dyDescent="0.2">
      <c r="A30" s="12">
        <v>45107</v>
      </c>
      <c r="B30" s="3">
        <v>455.8</v>
      </c>
      <c r="C30" s="3">
        <v>298.41000000000003</v>
      </c>
      <c r="E30" s="5">
        <f t="shared" si="1"/>
        <v>4.6637121403476645E-2</v>
      </c>
      <c r="F30" s="5">
        <f t="shared" si="2"/>
        <v>4.6648661919960865E-2</v>
      </c>
      <c r="G30" s="5">
        <f t="shared" si="3"/>
        <v>4.6642891661718755E-2</v>
      </c>
      <c r="M30" s="43">
        <v>0.3</v>
      </c>
      <c r="N30" s="44">
        <v>0.15595298114363068</v>
      </c>
      <c r="O30" s="44">
        <v>0.14549652080900133</v>
      </c>
      <c r="P30" s="45">
        <f t="shared" si="4"/>
        <v>0.66171560205032987</v>
      </c>
      <c r="T30" s="13">
        <v>0.5</v>
      </c>
      <c r="U30" s="6">
        <f t="shared" si="6"/>
        <v>9.4503260390120802E-2</v>
      </c>
      <c r="V30" s="6">
        <f t="shared" si="5"/>
        <v>7.8265460971747663E-2</v>
      </c>
    </row>
    <row r="31" spans="1:23" ht="15" customHeight="1" x14ac:dyDescent="0.2">
      <c r="A31" s="11">
        <v>45077</v>
      </c>
      <c r="B31" s="4">
        <v>435.49</v>
      </c>
      <c r="C31" s="4">
        <v>285.11</v>
      </c>
      <c r="E31" s="5">
        <f t="shared" si="1"/>
        <v>-5.5889175537104041E-2</v>
      </c>
      <c r="F31" s="5">
        <f t="shared" si="2"/>
        <v>-3.5976331360946689E-2</v>
      </c>
      <c r="G31" s="5">
        <f t="shared" si="3"/>
        <v>-4.5932753449025365E-2</v>
      </c>
      <c r="M31" s="43">
        <v>0.35</v>
      </c>
      <c r="N31" s="44">
        <v>0.15587591059541486</v>
      </c>
      <c r="O31" s="44">
        <v>0.14610137441887705</v>
      </c>
      <c r="P31" s="45">
        <f t="shared" si="4"/>
        <v>0.66592313092110589</v>
      </c>
      <c r="T31" s="13">
        <v>0.6</v>
      </c>
      <c r="U31" s="6">
        <f t="shared" si="6"/>
        <v>0.10494391246814497</v>
      </c>
      <c r="V31" s="6">
        <f t="shared" si="5"/>
        <v>9.3918553166097193E-2</v>
      </c>
    </row>
    <row r="32" spans="1:23" ht="15" customHeight="1" x14ac:dyDescent="0.2">
      <c r="A32" s="12">
        <v>45044</v>
      </c>
      <c r="B32" s="3">
        <v>461.27</v>
      </c>
      <c r="C32" s="3">
        <v>295.75</v>
      </c>
      <c r="E32" s="5">
        <f t="shared" si="1"/>
        <v>-9.7461665078413251E-4</v>
      </c>
      <c r="F32" s="5">
        <f t="shared" si="2"/>
        <v>5.7723257394227678E-2</v>
      </c>
      <c r="G32" s="5">
        <f t="shared" si="3"/>
        <v>2.8374320371721773E-2</v>
      </c>
      <c r="M32" s="43">
        <v>0.4</v>
      </c>
      <c r="N32" s="44">
        <v>0.15653092194349533</v>
      </c>
      <c r="O32" s="44">
        <v>0.1467065207802416</v>
      </c>
      <c r="P32" s="45">
        <f t="shared" si="4"/>
        <v>0.66700252885452471</v>
      </c>
      <c r="T32" s="13">
        <v>0.7</v>
      </c>
      <c r="U32" s="6">
        <f t="shared" si="6"/>
        <v>0.11538456454616912</v>
      </c>
      <c r="V32" s="6">
        <f t="shared" si="5"/>
        <v>0.10957164536044672</v>
      </c>
    </row>
    <row r="33" spans="1:22" ht="15" customHeight="1" x14ac:dyDescent="0.2">
      <c r="A33" s="11">
        <v>45016</v>
      </c>
      <c r="B33" s="4">
        <v>461.72</v>
      </c>
      <c r="C33" s="4">
        <v>279.61</v>
      </c>
      <c r="E33" s="5">
        <f t="shared" si="1"/>
        <v>-5.1496412488418741E-3</v>
      </c>
      <c r="F33" s="5">
        <f t="shared" si="2"/>
        <v>5.9489977643893743E-2</v>
      </c>
      <c r="G33" s="5">
        <f t="shared" si="3"/>
        <v>2.7170168197525935E-2</v>
      </c>
      <c r="M33" s="43">
        <v>0.45</v>
      </c>
      <c r="N33" s="44">
        <v>0.15790890535108607</v>
      </c>
      <c r="O33" s="44">
        <v>0.14731196002189906</v>
      </c>
      <c r="P33" s="45">
        <f t="shared" si="4"/>
        <v>0.66501607232613746</v>
      </c>
      <c r="T33" s="13">
        <v>0.8</v>
      </c>
      <c r="U33" s="6">
        <f t="shared" si="6"/>
        <v>0.1258252166241933</v>
      </c>
      <c r="V33" s="6">
        <f t="shared" si="5"/>
        <v>0.12522473755479627</v>
      </c>
    </row>
    <row r="34" spans="1:22" ht="15" customHeight="1" x14ac:dyDescent="0.2">
      <c r="A34" s="12">
        <v>44985</v>
      </c>
      <c r="B34" s="3">
        <v>464.11</v>
      </c>
      <c r="C34" s="3">
        <v>263.91000000000003</v>
      </c>
      <c r="E34" s="5">
        <f t="shared" si="1"/>
        <v>3.5867333273814861E-2</v>
      </c>
      <c r="F34" s="5">
        <f t="shared" si="2"/>
        <v>-1.3051608077785937E-2</v>
      </c>
      <c r="G34" s="5">
        <f t="shared" si="3"/>
        <v>1.1407862598014462E-2</v>
      </c>
      <c r="M34" s="43">
        <v>0.5</v>
      </c>
      <c r="N34" s="44">
        <v>0.15999118131335427</v>
      </c>
      <c r="O34" s="44">
        <v>0.14791769227270235</v>
      </c>
      <c r="P34" s="45">
        <f t="shared" si="4"/>
        <v>0.66014696188687094</v>
      </c>
      <c r="T34" s="13">
        <v>0.9</v>
      </c>
      <c r="U34" s="6">
        <f t="shared" si="6"/>
        <v>0.13626586870221746</v>
      </c>
      <c r="V34" s="6">
        <f t="shared" si="5"/>
        <v>0.14087782974914581</v>
      </c>
    </row>
    <row r="35" spans="1:22" ht="15" customHeight="1" x14ac:dyDescent="0.2">
      <c r="A35" s="11">
        <v>44957</v>
      </c>
      <c r="B35" s="4">
        <v>448.04</v>
      </c>
      <c r="C35" s="4">
        <v>267.39999999999998</v>
      </c>
      <c r="E35" s="5">
        <f t="shared" si="1"/>
        <v>-0.17882736753358619</v>
      </c>
      <c r="F35" s="5">
        <f t="shared" si="2"/>
        <v>1.4685235077600334E-2</v>
      </c>
      <c r="G35" s="5">
        <f t="shared" si="3"/>
        <v>-8.2071066227992928E-2</v>
      </c>
      <c r="M35" s="41">
        <v>0.55000000000000004</v>
      </c>
      <c r="N35" s="42">
        <v>0.1627507193565475</v>
      </c>
      <c r="O35" s="42">
        <v>0.14852371766156747</v>
      </c>
      <c r="P35" s="40">
        <f t="shared" si="4"/>
        <v>0.65267740801106366</v>
      </c>
      <c r="T35" s="13">
        <v>1</v>
      </c>
      <c r="U35" s="6">
        <f t="shared" si="6"/>
        <v>0.1467065207802416</v>
      </c>
      <c r="V35" s="6">
        <f t="shared" si="5"/>
        <v>0.15653092194349533</v>
      </c>
    </row>
    <row r="36" spans="1:22" ht="15" customHeight="1" x14ac:dyDescent="0.2">
      <c r="A36" s="12">
        <v>44925</v>
      </c>
      <c r="B36" s="3">
        <v>545.61</v>
      </c>
      <c r="C36" s="3">
        <v>263.52999999999997</v>
      </c>
      <c r="E36" s="5">
        <f t="shared" si="1"/>
        <v>2.3101877027508655E-2</v>
      </c>
      <c r="F36" s="5">
        <f t="shared" si="2"/>
        <v>-3.3945525862385195E-2</v>
      </c>
      <c r="G36" s="5">
        <f t="shared" si="3"/>
        <v>-5.4218244174382701E-3</v>
      </c>
      <c r="M36" s="41">
        <v>0.6</v>
      </c>
      <c r="N36" s="42">
        <v>0.16615377831476341</v>
      </c>
      <c r="O36" s="42">
        <v>0.14913003631744948</v>
      </c>
      <c r="P36" s="40">
        <f t="shared" si="4"/>
        <v>0.64295881442472869</v>
      </c>
      <c r="T36" s="13">
        <v>2</v>
      </c>
      <c r="U36" s="6">
        <f t="shared" si="6"/>
        <v>0.2511130415604832</v>
      </c>
      <c r="V36" s="6">
        <f t="shared" si="5"/>
        <v>0.31306184388699065</v>
      </c>
    </row>
    <row r="37" spans="1:22" ht="15" customHeight="1" x14ac:dyDescent="0.2">
      <c r="A37" s="11">
        <v>44895</v>
      </c>
      <c r="B37" s="4">
        <v>533.29</v>
      </c>
      <c r="C37" s="4">
        <v>272.79000000000002</v>
      </c>
      <c r="E37" s="5">
        <f t="shared" si="1"/>
        <v>-2.863335822662616E-2</v>
      </c>
      <c r="F37" s="5">
        <f t="shared" si="2"/>
        <v>4.7678427345410057E-4</v>
      </c>
      <c r="G37" s="5">
        <f t="shared" si="3"/>
        <v>-1.407828697658603E-2</v>
      </c>
      <c r="M37" s="41">
        <v>0.65</v>
      </c>
      <c r="N37" s="42">
        <v>0.17016175331030214</v>
      </c>
      <c r="O37" s="42">
        <v>0.14973664836935963</v>
      </c>
      <c r="P37" s="40">
        <f t="shared" si="4"/>
        <v>0.63137953317536166</v>
      </c>
    </row>
    <row r="38" spans="1:22" ht="15" customHeight="1" x14ac:dyDescent="0.2">
      <c r="A38" s="12">
        <v>44865</v>
      </c>
      <c r="B38" s="3">
        <v>549.01</v>
      </c>
      <c r="C38" s="3">
        <v>272.66000000000003</v>
      </c>
      <c r="E38" s="5">
        <f t="shared" si="1"/>
        <v>0.16731161762204461</v>
      </c>
      <c r="F38" s="5">
        <f t="shared" si="2"/>
        <v>0.18167634567045154</v>
      </c>
      <c r="G38" s="5">
        <f t="shared" si="3"/>
        <v>0.17449398164624808</v>
      </c>
      <c r="M38" s="41">
        <v>0.7</v>
      </c>
      <c r="N38" s="42">
        <v>0.17473302313863701</v>
      </c>
      <c r="O38" s="42">
        <v>0.15034355394635868</v>
      </c>
      <c r="P38" s="40">
        <f t="shared" si="4"/>
        <v>0.61833505771049668</v>
      </c>
    </row>
    <row r="39" spans="1:22" ht="15" customHeight="1" x14ac:dyDescent="0.2">
      <c r="A39" s="11">
        <v>44834</v>
      </c>
      <c r="B39" s="4">
        <v>470.32</v>
      </c>
      <c r="C39" s="4">
        <v>230.74</v>
      </c>
      <c r="E39" s="5">
        <f t="shared" si="1"/>
        <v>-1.6046360802527304E-2</v>
      </c>
      <c r="F39" s="5">
        <f t="shared" si="2"/>
        <v>-8.538132234025686E-2</v>
      </c>
      <c r="G39" s="5">
        <f t="shared" si="3"/>
        <v>-5.0713841571392082E-2</v>
      </c>
      <c r="M39" s="41">
        <v>0.75</v>
      </c>
      <c r="N39" s="42">
        <v>0.17982463486648737</v>
      </c>
      <c r="O39" s="42">
        <v>0.15095075317755824</v>
      </c>
      <c r="P39" s="40">
        <f t="shared" si="4"/>
        <v>0.60420394156911317</v>
      </c>
    </row>
    <row r="40" spans="1:22" ht="15" customHeight="1" x14ac:dyDescent="0.2">
      <c r="A40" s="12">
        <v>44804</v>
      </c>
      <c r="B40" s="3">
        <v>477.99</v>
      </c>
      <c r="C40" s="3">
        <v>252.28</v>
      </c>
      <c r="E40" s="5">
        <f t="shared" si="1"/>
        <v>-1.9001879306743685E-3</v>
      </c>
      <c r="F40" s="5">
        <f t="shared" si="2"/>
        <v>-4.2108060902912303E-2</v>
      </c>
      <c r="G40" s="5">
        <f t="shared" si="3"/>
        <v>-2.2004124416793336E-2</v>
      </c>
      <c r="M40" s="41">
        <v>0.8</v>
      </c>
      <c r="N40" s="42">
        <v>0.18539372178887367</v>
      </c>
      <c r="O40" s="42">
        <v>0.15155824619212255</v>
      </c>
      <c r="P40" s="40">
        <f t="shared" si="4"/>
        <v>0.58933088530660072</v>
      </c>
    </row>
    <row r="41" spans="1:22" ht="15" customHeight="1" x14ac:dyDescent="0.2">
      <c r="A41" s="11">
        <v>44771</v>
      </c>
      <c r="B41" s="4">
        <v>478.9</v>
      </c>
      <c r="C41" s="4">
        <v>263.37</v>
      </c>
      <c r="E41" s="5">
        <f t="shared" ref="E41:E72" si="7">B41/B42-1</f>
        <v>6.8955429717698635E-4</v>
      </c>
      <c r="F41" s="5">
        <f t="shared" ref="F41:F72" si="8">C41/C42-1</f>
        <v>6.679358392741408E-2</v>
      </c>
      <c r="G41" s="5">
        <f t="shared" si="3"/>
        <v>3.3741569112295533E-2</v>
      </c>
      <c r="M41" s="41">
        <v>0.85</v>
      </c>
      <c r="N41" s="42">
        <v>0.19139860944312487</v>
      </c>
      <c r="O41" s="42">
        <v>0.15216603311926535</v>
      </c>
      <c r="P41" s="40">
        <f t="shared" si="4"/>
        <v>0.57401688256210992</v>
      </c>
    </row>
    <row r="42" spans="1:22" ht="15" customHeight="1" x14ac:dyDescent="0.2">
      <c r="A42" s="12">
        <v>44742</v>
      </c>
      <c r="B42" s="3">
        <v>478.57</v>
      </c>
      <c r="C42" s="3">
        <v>246.88</v>
      </c>
      <c r="E42" s="5">
        <f t="shared" si="7"/>
        <v>2.2651024638331352E-2</v>
      </c>
      <c r="F42" s="5">
        <f t="shared" si="8"/>
        <v>-2.1133182665239336E-2</v>
      </c>
      <c r="G42" s="5">
        <f t="shared" si="3"/>
        <v>7.5892098654600781E-4</v>
      </c>
      <c r="M42" s="41">
        <v>0.9</v>
      </c>
      <c r="N42" s="42">
        <v>0.19779961111933494</v>
      </c>
      <c r="O42" s="42">
        <v>0.15277411408825303</v>
      </c>
      <c r="P42" s="40">
        <f t="shared" si="4"/>
        <v>0.55851532499526824</v>
      </c>
    </row>
    <row r="43" spans="1:22" ht="15" customHeight="1" x14ac:dyDescent="0.2">
      <c r="A43" s="11">
        <v>44712</v>
      </c>
      <c r="B43" s="4">
        <v>467.97</v>
      </c>
      <c r="C43" s="4">
        <v>252.21</v>
      </c>
      <c r="E43" s="5">
        <f t="shared" si="7"/>
        <v>6.5020482476103814E-2</v>
      </c>
      <c r="F43" s="5">
        <f t="shared" si="8"/>
        <v>1.2241130197463423E-2</v>
      </c>
      <c r="G43" s="5">
        <f t="shared" si="3"/>
        <v>3.8630806336783619E-2</v>
      </c>
      <c r="M43" s="41">
        <v>0.95</v>
      </c>
      <c r="N43" s="42">
        <v>0.20455954503597518</v>
      </c>
      <c r="O43" s="42">
        <v>0.15338248922839903</v>
      </c>
      <c r="P43" s="40">
        <f t="shared" si="4"/>
        <v>0.54303253954179131</v>
      </c>
    </row>
    <row r="44" spans="1:22" ht="15" customHeight="1" x14ac:dyDescent="0.2">
      <c r="A44" s="12">
        <v>44680</v>
      </c>
      <c r="B44" s="3">
        <v>439.4</v>
      </c>
      <c r="C44" s="3">
        <v>249.16</v>
      </c>
      <c r="E44" s="5">
        <f t="shared" si="7"/>
        <v>-1.7485801171682969E-2</v>
      </c>
      <c r="F44" s="5">
        <f t="shared" si="8"/>
        <v>7.6027175671302683E-3</v>
      </c>
      <c r="G44" s="5">
        <f t="shared" si="3"/>
        <v>-4.9415418022763502E-3</v>
      </c>
      <c r="M44" s="41">
        <v>1</v>
      </c>
      <c r="N44" s="42">
        <v>0.2116440209782855</v>
      </c>
      <c r="O44" s="42">
        <v>0.1539911586690772</v>
      </c>
      <c r="P44" s="40">
        <f t="shared" si="4"/>
        <v>0.52773122601245903</v>
      </c>
    </row>
    <row r="45" spans="1:22" ht="15" customHeight="1" x14ac:dyDescent="0.2">
      <c r="A45" s="11">
        <v>44651</v>
      </c>
      <c r="B45" s="4">
        <v>447.22</v>
      </c>
      <c r="C45" s="4">
        <v>247.28</v>
      </c>
      <c r="E45" s="5">
        <f t="shared" si="7"/>
        <v>1.1489573438277612E-2</v>
      </c>
      <c r="F45" s="5">
        <f t="shared" si="8"/>
        <v>1.0254524655799235E-2</v>
      </c>
      <c r="G45" s="5">
        <f t="shared" si="3"/>
        <v>1.0872049047038423E-2</v>
      </c>
      <c r="L45" t="s">
        <v>58</v>
      </c>
      <c r="M45" s="46">
        <f>INDEX(M24:M44,MATCH(MAX(P24:P44),P24:P44,0),1)</f>
        <v>0.4</v>
      </c>
      <c r="N45" s="46">
        <f>INDEX(N24:N44,MATCH(MAX(P24:P44),P24:P44,0),1)</f>
        <v>0.15653092194349533</v>
      </c>
      <c r="O45" s="46">
        <f>INDEX(O24:O44,MATCH(MAX(P24:P44),P24:P44,0),1)</f>
        <v>0.1467065207802416</v>
      </c>
      <c r="P45" s="47">
        <f>INDEX(P24:P44,MATCH(MAX(P24:P44),P24:P44,0),1)</f>
        <v>0.66700252885452471</v>
      </c>
    </row>
    <row r="46" spans="1:22" ht="15" customHeight="1" x14ac:dyDescent="0.2">
      <c r="A46" s="12">
        <v>44620</v>
      </c>
      <c r="B46" s="3">
        <v>442.14</v>
      </c>
      <c r="C46" s="3">
        <v>244.77</v>
      </c>
      <c r="E46" s="5">
        <f t="shared" si="7"/>
        <v>0.19529602595296036</v>
      </c>
      <c r="F46" s="5">
        <f t="shared" si="8"/>
        <v>-5.6581229523993026E-2</v>
      </c>
      <c r="G46" s="5">
        <f t="shared" si="3"/>
        <v>6.9357398214483668E-2</v>
      </c>
      <c r="L46" t="s">
        <v>64</v>
      </c>
      <c r="M46" s="46">
        <f>INDEX(M24:M44,MATCH(MIN(N24:N44),N24:N44,0),1)</f>
        <v>0.35</v>
      </c>
      <c r="N46" s="46">
        <f>MIN(N24:N44)</f>
        <v>0.15587591059541486</v>
      </c>
      <c r="O46" s="46">
        <f>INDEX(O24:O44,MATCH(MIN(N24:N44),N24:N44,0),1)</f>
        <v>0.14610137441887705</v>
      </c>
      <c r="P46" s="47">
        <f>INDEX(P24:P44,MATCH(MIN(N24:N44),N24:N44,0),1)</f>
        <v>0.66592313092110589</v>
      </c>
    </row>
    <row r="47" spans="1:22" ht="15" customHeight="1" x14ac:dyDescent="0.2">
      <c r="A47" s="11">
        <v>44592</v>
      </c>
      <c r="B47" s="4">
        <v>369.9</v>
      </c>
      <c r="C47" s="4">
        <v>259.45</v>
      </c>
      <c r="E47" s="5">
        <f t="shared" si="7"/>
        <v>-4.4358901490686442E-2</v>
      </c>
      <c r="F47" s="5">
        <f t="shared" si="8"/>
        <v>-3.2155780206662432E-2</v>
      </c>
      <c r="G47" s="5">
        <f t="shared" si="3"/>
        <v>-3.8257340848674437E-2</v>
      </c>
      <c r="U47" s="6"/>
    </row>
    <row r="48" spans="1:22" ht="15" customHeight="1" x14ac:dyDescent="0.2">
      <c r="A48" s="12">
        <v>44561</v>
      </c>
      <c r="B48" s="3">
        <v>387.07</v>
      </c>
      <c r="C48" s="3">
        <v>268.07</v>
      </c>
      <c r="E48" s="5">
        <f t="shared" si="7"/>
        <v>0.10971903669724759</v>
      </c>
      <c r="F48" s="5">
        <f t="shared" si="8"/>
        <v>9.5952575633687642E-2</v>
      </c>
      <c r="G48" s="5">
        <f t="shared" si="3"/>
        <v>0.10283580616546761</v>
      </c>
    </row>
    <row r="49" spans="1:7" ht="15" customHeight="1" x14ac:dyDescent="0.2">
      <c r="A49" s="11">
        <v>44530</v>
      </c>
      <c r="B49" s="4">
        <v>348.8</v>
      </c>
      <c r="C49" s="4">
        <v>244.6</v>
      </c>
      <c r="E49" s="5">
        <f t="shared" si="7"/>
        <v>-2.3570908683724356E-2</v>
      </c>
      <c r="F49" s="5">
        <f t="shared" si="8"/>
        <v>-3.8688658114437446E-3</v>
      </c>
      <c r="G49" s="5">
        <f t="shared" si="3"/>
        <v>-1.3719887247584051E-2</v>
      </c>
    </row>
    <row r="50" spans="1:7" ht="15" customHeight="1" x14ac:dyDescent="0.2">
      <c r="A50" s="12">
        <v>44498</v>
      </c>
      <c r="B50" s="3">
        <v>357.22</v>
      </c>
      <c r="C50" s="3">
        <v>245.55</v>
      </c>
      <c r="E50" s="5">
        <f t="shared" si="7"/>
        <v>-8.1354990975980312E-3</v>
      </c>
      <c r="F50" s="5">
        <f t="shared" si="8"/>
        <v>1.8414831404752974E-2</v>
      </c>
      <c r="G50" s="5">
        <f t="shared" si="3"/>
        <v>5.1396661535774713E-3</v>
      </c>
    </row>
    <row r="51" spans="1:7" ht="15" customHeight="1" x14ac:dyDescent="0.2">
      <c r="A51" s="11">
        <v>44469</v>
      </c>
      <c r="B51" s="4">
        <v>360.15</v>
      </c>
      <c r="C51" s="4">
        <v>241.11</v>
      </c>
      <c r="E51" s="5">
        <f t="shared" si="7"/>
        <v>-2.0533043241773186E-2</v>
      </c>
      <c r="F51" s="5">
        <f t="shared" si="8"/>
        <v>1.5371009854291184E-2</v>
      </c>
      <c r="G51" s="5">
        <f t="shared" si="3"/>
        <v>-2.5810166937410006E-3</v>
      </c>
    </row>
    <row r="52" spans="1:7" ht="15" customHeight="1" x14ac:dyDescent="0.2">
      <c r="A52" s="12">
        <v>44439</v>
      </c>
      <c r="B52" s="3">
        <v>367.7</v>
      </c>
      <c r="C52" s="3">
        <v>237.46</v>
      </c>
      <c r="E52" s="5">
        <f t="shared" si="7"/>
        <v>1.2891851688612288E-2</v>
      </c>
      <c r="F52" s="5">
        <f t="shared" si="8"/>
        <v>-2.1630752750195659E-2</v>
      </c>
      <c r="G52" s="5">
        <f t="shared" si="3"/>
        <v>-4.3694505307916853E-3</v>
      </c>
    </row>
    <row r="53" spans="1:7" ht="15" customHeight="1" x14ac:dyDescent="0.2">
      <c r="A53" s="11">
        <v>44407</v>
      </c>
      <c r="B53" s="4">
        <v>363.02</v>
      </c>
      <c r="C53" s="4">
        <v>242.71</v>
      </c>
      <c r="E53" s="5">
        <f t="shared" si="7"/>
        <v>-1.1281402195746359E-3</v>
      </c>
      <c r="F53" s="5">
        <f t="shared" si="8"/>
        <v>5.0738127191653382E-2</v>
      </c>
      <c r="G53" s="5">
        <f t="shared" si="3"/>
        <v>2.4804993486039373E-2</v>
      </c>
    </row>
    <row r="54" spans="1:7" ht="15" customHeight="1" x14ac:dyDescent="0.2">
      <c r="A54" s="12">
        <v>44377</v>
      </c>
      <c r="B54" s="3">
        <v>363.43</v>
      </c>
      <c r="C54" s="3">
        <v>230.99</v>
      </c>
      <c r="E54" s="5">
        <f t="shared" si="7"/>
        <v>-6.6690354497499493E-3</v>
      </c>
      <c r="F54" s="5">
        <f t="shared" si="8"/>
        <v>-1.2398990978665037E-2</v>
      </c>
      <c r="G54" s="5">
        <f t="shared" si="3"/>
        <v>-9.5340132142074929E-3</v>
      </c>
    </row>
    <row r="55" spans="1:7" ht="15" customHeight="1" x14ac:dyDescent="0.2">
      <c r="A55" s="11">
        <v>44344</v>
      </c>
      <c r="B55" s="4">
        <v>365.87</v>
      </c>
      <c r="C55" s="4">
        <v>233.89</v>
      </c>
      <c r="E55" s="5">
        <f t="shared" si="7"/>
        <v>3.2248053267125654E-2</v>
      </c>
      <c r="F55" s="5">
        <f t="shared" si="8"/>
        <v>-9.2765164351068519E-3</v>
      </c>
      <c r="G55" s="5">
        <f t="shared" si="3"/>
        <v>1.1485768416009401E-2</v>
      </c>
    </row>
    <row r="56" spans="1:7" ht="15" customHeight="1" x14ac:dyDescent="0.2">
      <c r="A56" s="12">
        <v>44316</v>
      </c>
      <c r="B56" s="3">
        <v>354.44</v>
      </c>
      <c r="C56" s="3">
        <v>236.08</v>
      </c>
      <c r="E56" s="5">
        <f t="shared" si="7"/>
        <v>9.5167470028426626E-2</v>
      </c>
      <c r="F56" s="5">
        <f t="shared" si="8"/>
        <v>5.3270277505130803E-2</v>
      </c>
      <c r="G56" s="5">
        <f t="shared" si="3"/>
        <v>7.4218873766778715E-2</v>
      </c>
    </row>
    <row r="57" spans="1:7" ht="15" customHeight="1" x14ac:dyDescent="0.2">
      <c r="A57" s="11">
        <v>44286</v>
      </c>
      <c r="B57" s="4">
        <v>323.64</v>
      </c>
      <c r="C57" s="4">
        <v>224.14</v>
      </c>
      <c r="E57" s="5">
        <f t="shared" si="7"/>
        <v>0.10964822053075474</v>
      </c>
      <c r="F57" s="5">
        <f t="shared" si="8"/>
        <v>8.7319297564761866E-2</v>
      </c>
      <c r="G57" s="5">
        <f t="shared" si="3"/>
        <v>9.8483759047758301E-2</v>
      </c>
    </row>
    <row r="58" spans="1:7" ht="15" customHeight="1" x14ac:dyDescent="0.2">
      <c r="A58" s="12">
        <v>44253</v>
      </c>
      <c r="B58" s="3">
        <v>291.66000000000003</v>
      </c>
      <c r="C58" s="3">
        <v>206.14</v>
      </c>
      <c r="E58" s="5">
        <f t="shared" si="7"/>
        <v>1.7619762045985921E-2</v>
      </c>
      <c r="F58" s="5">
        <f t="shared" si="8"/>
        <v>-8.1793687451886532E-3</v>
      </c>
      <c r="G58" s="5">
        <f t="shared" si="3"/>
        <v>4.7201966503986337E-3</v>
      </c>
    </row>
    <row r="59" spans="1:7" ht="15" customHeight="1" x14ac:dyDescent="0.2">
      <c r="A59" s="11">
        <v>44225</v>
      </c>
      <c r="B59" s="4">
        <v>286.61</v>
      </c>
      <c r="C59" s="4">
        <v>207.84</v>
      </c>
      <c r="E59" s="5">
        <f t="shared" si="7"/>
        <v>-5.9431609346285108E-2</v>
      </c>
      <c r="F59" s="5">
        <f t="shared" si="8"/>
        <v>-3.1410196663249179E-2</v>
      </c>
      <c r="G59" s="5">
        <f t="shared" si="3"/>
        <v>-4.5420903004767144E-2</v>
      </c>
    </row>
    <row r="60" spans="1:7" ht="15" customHeight="1" x14ac:dyDescent="0.2">
      <c r="A60" s="12">
        <v>44196</v>
      </c>
      <c r="B60" s="3">
        <v>304.72000000000003</v>
      </c>
      <c r="C60" s="3">
        <v>214.58</v>
      </c>
      <c r="E60" s="5">
        <f t="shared" si="7"/>
        <v>8.1386885462848557E-3</v>
      </c>
      <c r="F60" s="5">
        <f t="shared" si="8"/>
        <v>-1.3153053715967533E-2</v>
      </c>
      <c r="G60" s="5">
        <f t="shared" si="3"/>
        <v>-2.5071825848413387E-3</v>
      </c>
    </row>
    <row r="61" spans="1:7" ht="15" customHeight="1" x14ac:dyDescent="0.2">
      <c r="A61" s="11">
        <v>44165</v>
      </c>
      <c r="B61" s="4">
        <v>302.26</v>
      </c>
      <c r="C61" s="4">
        <v>217.44</v>
      </c>
      <c r="E61" s="5">
        <f t="shared" si="7"/>
        <v>4.2923193706438489E-2</v>
      </c>
      <c r="F61" s="5">
        <f t="shared" si="8"/>
        <v>2.0845070422535139E-2</v>
      </c>
      <c r="G61" s="5">
        <f t="shared" si="3"/>
        <v>3.1884132064486814E-2</v>
      </c>
    </row>
    <row r="62" spans="1:7" ht="15" customHeight="1" x14ac:dyDescent="0.2">
      <c r="A62" s="12">
        <v>44134</v>
      </c>
      <c r="B62" s="3">
        <v>289.82</v>
      </c>
      <c r="C62" s="3">
        <v>213</v>
      </c>
      <c r="E62" s="5">
        <f t="shared" si="7"/>
        <v>-8.1365494944372285E-2</v>
      </c>
      <c r="F62" s="5">
        <f t="shared" si="8"/>
        <v>-2.9568545264021195E-2</v>
      </c>
      <c r="G62" s="5">
        <f t="shared" si="3"/>
        <v>-5.546702010419674E-2</v>
      </c>
    </row>
    <row r="63" spans="1:7" ht="15" customHeight="1" x14ac:dyDescent="0.2">
      <c r="A63" s="11">
        <v>44104</v>
      </c>
      <c r="B63" s="4">
        <v>315.49</v>
      </c>
      <c r="C63" s="4">
        <v>219.49</v>
      </c>
      <c r="E63" s="5">
        <f t="shared" si="7"/>
        <v>-7.9157059046729539E-2</v>
      </c>
      <c r="F63" s="5">
        <f t="shared" si="8"/>
        <v>2.7959910078681149E-2</v>
      </c>
      <c r="G63" s="5">
        <f t="shared" si="3"/>
        <v>-2.5598574484024195E-2</v>
      </c>
    </row>
    <row r="64" spans="1:7" ht="15" customHeight="1" x14ac:dyDescent="0.2">
      <c r="A64" s="12">
        <v>44074</v>
      </c>
      <c r="B64" s="3">
        <v>342.61</v>
      </c>
      <c r="C64" s="3">
        <v>213.52</v>
      </c>
      <c r="E64" s="5">
        <f t="shared" si="7"/>
        <v>5.4152179932925204E-2</v>
      </c>
      <c r="F64" s="5">
        <f t="shared" si="8"/>
        <v>9.9032324480131884E-2</v>
      </c>
      <c r="G64" s="5">
        <f t="shared" si="3"/>
        <v>7.6592252206528544E-2</v>
      </c>
    </row>
    <row r="65" spans="1:16" ht="15" customHeight="1" x14ac:dyDescent="0.2">
      <c r="A65" s="11">
        <v>44043</v>
      </c>
      <c r="B65" s="4">
        <v>325.01</v>
      </c>
      <c r="C65" s="4">
        <v>194.28</v>
      </c>
      <c r="E65" s="5">
        <f t="shared" si="7"/>
        <v>5.7149362477231236E-2</v>
      </c>
      <c r="F65" s="5">
        <f t="shared" si="8"/>
        <v>5.3179378760774165E-2</v>
      </c>
      <c r="G65" s="5">
        <f t="shared" si="3"/>
        <v>5.5164370619002701E-2</v>
      </c>
      <c r="P65" s="5"/>
    </row>
    <row r="66" spans="1:16" ht="15" customHeight="1" x14ac:dyDescent="0.2">
      <c r="A66" s="12">
        <v>44012</v>
      </c>
      <c r="B66" s="3">
        <v>307.44</v>
      </c>
      <c r="C66" s="3">
        <v>184.47</v>
      </c>
      <c r="E66" s="5">
        <f t="shared" si="7"/>
        <v>-8.2816229116945084E-2</v>
      </c>
      <c r="F66" s="5">
        <f t="shared" si="8"/>
        <v>-9.9291541434091135E-3</v>
      </c>
      <c r="G66" s="5">
        <f t="shared" si="3"/>
        <v>-4.6372691630177099E-2</v>
      </c>
    </row>
    <row r="67" spans="1:16" ht="15" customHeight="1" x14ac:dyDescent="0.2">
      <c r="A67" s="11">
        <v>43980</v>
      </c>
      <c r="B67" s="4">
        <v>335.2</v>
      </c>
      <c r="C67" s="4">
        <v>186.32</v>
      </c>
      <c r="E67" s="5">
        <f t="shared" si="7"/>
        <v>1.3699458674811593E-2</v>
      </c>
      <c r="F67" s="5">
        <f t="shared" si="8"/>
        <v>-6.6112177436553621E-3</v>
      </c>
      <c r="G67" s="5">
        <f t="shared" si="3"/>
        <v>3.5441204655781156E-3</v>
      </c>
    </row>
    <row r="68" spans="1:16" ht="15" customHeight="1" x14ac:dyDescent="0.2">
      <c r="A68" s="12">
        <v>43951</v>
      </c>
      <c r="B68" s="3">
        <v>330.67</v>
      </c>
      <c r="C68" s="3">
        <v>187.56</v>
      </c>
      <c r="E68" s="5">
        <f t="shared" si="7"/>
        <v>9.2943315154520034E-2</v>
      </c>
      <c r="F68" s="5">
        <f t="shared" si="8"/>
        <v>0.13432113698215908</v>
      </c>
      <c r="G68" s="5">
        <f t="shared" si="3"/>
        <v>0.11363222606833956</v>
      </c>
    </row>
    <row r="69" spans="1:16" ht="15" customHeight="1" x14ac:dyDescent="0.2">
      <c r="A69" s="11">
        <v>43921</v>
      </c>
      <c r="B69" s="4">
        <v>302.55</v>
      </c>
      <c r="C69" s="4">
        <v>165.35</v>
      </c>
      <c r="E69" s="5">
        <f t="shared" si="7"/>
        <v>-7.9947694927624324E-2</v>
      </c>
      <c r="F69" s="5">
        <f t="shared" si="8"/>
        <v>-0.14842663645259302</v>
      </c>
      <c r="G69" s="5">
        <f t="shared" si="3"/>
        <v>-0.11418716569010867</v>
      </c>
    </row>
    <row r="70" spans="1:16" ht="15" customHeight="1" x14ac:dyDescent="0.2">
      <c r="A70" s="12">
        <v>43889</v>
      </c>
      <c r="B70" s="3">
        <v>328.84</v>
      </c>
      <c r="C70" s="3">
        <v>194.17</v>
      </c>
      <c r="E70" s="5">
        <f t="shared" si="7"/>
        <v>-0.12208665936941032</v>
      </c>
      <c r="F70" s="5">
        <f t="shared" si="8"/>
        <v>-9.2536336869654678E-2</v>
      </c>
      <c r="G70" s="5">
        <f t="shared" si="3"/>
        <v>-0.1073114981195325</v>
      </c>
    </row>
    <row r="71" spans="1:16" ht="15" customHeight="1" x14ac:dyDescent="0.2">
      <c r="A71" s="11">
        <v>43861</v>
      </c>
      <c r="B71" s="4">
        <v>374.57</v>
      </c>
      <c r="C71" s="4">
        <v>213.97</v>
      </c>
      <c r="E71" s="5">
        <f t="shared" si="7"/>
        <v>8.8961246620344658E-2</v>
      </c>
      <c r="F71" s="5">
        <f t="shared" si="8"/>
        <v>8.2789332523657722E-2</v>
      </c>
      <c r="G71" s="5">
        <f t="shared" si="3"/>
        <v>8.587528957200119E-2</v>
      </c>
    </row>
    <row r="72" spans="1:16" ht="15" customHeight="1" x14ac:dyDescent="0.2">
      <c r="A72" s="12">
        <v>43830</v>
      </c>
      <c r="B72" s="3">
        <v>343.97</v>
      </c>
      <c r="C72" s="3">
        <v>197.61</v>
      </c>
      <c r="E72" s="5">
        <f t="shared" si="7"/>
        <v>-2.2173579327401272E-2</v>
      </c>
      <c r="F72" s="5">
        <f t="shared" si="8"/>
        <v>1.6094199917729535E-2</v>
      </c>
      <c r="G72" s="5">
        <f t="shared" si="3"/>
        <v>-3.0396897048358684E-3</v>
      </c>
    </row>
    <row r="73" spans="1:16" ht="15" customHeight="1" x14ac:dyDescent="0.2">
      <c r="A73" s="11">
        <v>43798</v>
      </c>
      <c r="B73" s="4">
        <v>351.77</v>
      </c>
      <c r="C73" s="4">
        <v>194.48</v>
      </c>
      <c r="E73" s="5">
        <f t="shared" ref="E73:E83" si="9">B73/B74-1</f>
        <v>-2.0142986836133581E-3</v>
      </c>
      <c r="F73" s="5">
        <f t="shared" ref="F73:F83" si="10">C73/C74-1</f>
        <v>-1.1286222674123048E-2</v>
      </c>
      <c r="G73" s="5">
        <f t="shared" si="3"/>
        <v>-6.6502606788682028E-3</v>
      </c>
    </row>
    <row r="74" spans="1:16" ht="15" customHeight="1" x14ac:dyDescent="0.2">
      <c r="A74" s="12">
        <v>43769</v>
      </c>
      <c r="B74" s="3">
        <v>352.48</v>
      </c>
      <c r="C74" s="3">
        <v>196.7</v>
      </c>
      <c r="E74" s="5">
        <f t="shared" si="9"/>
        <v>-5.9526668267563143E-2</v>
      </c>
      <c r="F74" s="5">
        <f t="shared" si="10"/>
        <v>-8.3880583112104778E-2</v>
      </c>
      <c r="G74" s="5">
        <f t="shared" ref="G74:G126" si="11">E74*$B$4+F74*$B$5</f>
        <v>-7.1703625689833961E-2</v>
      </c>
    </row>
    <row r="75" spans="1:16" ht="15" customHeight="1" x14ac:dyDescent="0.2">
      <c r="A75" s="11">
        <v>43738</v>
      </c>
      <c r="B75" s="4">
        <v>374.79</v>
      </c>
      <c r="C75" s="4">
        <v>214.71</v>
      </c>
      <c r="E75" s="5">
        <f t="shared" si="9"/>
        <v>1.8810993013836486E-2</v>
      </c>
      <c r="F75" s="5">
        <f t="shared" si="10"/>
        <v>-1.4956186631187696E-2</v>
      </c>
      <c r="G75" s="5">
        <f t="shared" si="11"/>
        <v>1.927403191324395E-3</v>
      </c>
    </row>
    <row r="76" spans="1:16" ht="15" customHeight="1" x14ac:dyDescent="0.2">
      <c r="A76" s="12">
        <v>43707</v>
      </c>
      <c r="B76" s="3">
        <v>367.87</v>
      </c>
      <c r="C76" s="3">
        <v>217.97</v>
      </c>
      <c r="E76" s="5">
        <f t="shared" si="9"/>
        <v>6.4531064617877831E-2</v>
      </c>
      <c r="F76" s="5">
        <f t="shared" si="10"/>
        <v>3.4405846621108571E-2</v>
      </c>
      <c r="G76" s="5">
        <f t="shared" si="11"/>
        <v>4.9468455619493201E-2</v>
      </c>
    </row>
    <row r="77" spans="1:16" ht="15" customHeight="1" x14ac:dyDescent="0.2">
      <c r="A77" s="11">
        <v>43677</v>
      </c>
      <c r="B77" s="4">
        <v>345.57</v>
      </c>
      <c r="C77" s="4">
        <v>210.72</v>
      </c>
      <c r="E77" s="5">
        <f t="shared" si="9"/>
        <v>6.9511930921357878E-2</v>
      </c>
      <c r="F77" s="5">
        <f t="shared" si="10"/>
        <v>1.4735625541751007E-2</v>
      </c>
      <c r="G77" s="5">
        <f t="shared" si="11"/>
        <v>4.2123778231554443E-2</v>
      </c>
    </row>
    <row r="78" spans="1:16" ht="15" customHeight="1" x14ac:dyDescent="0.2">
      <c r="A78" s="12">
        <v>43644</v>
      </c>
      <c r="B78" s="3">
        <v>323.11</v>
      </c>
      <c r="C78" s="3">
        <v>207.66</v>
      </c>
      <c r="E78" s="5">
        <f t="shared" si="9"/>
        <v>6.5490519373454292E-2</v>
      </c>
      <c r="F78" s="5">
        <f t="shared" si="10"/>
        <v>4.73596610682403E-2</v>
      </c>
      <c r="G78" s="5">
        <f t="shared" si="11"/>
        <v>5.6425090220847296E-2</v>
      </c>
    </row>
    <row r="79" spans="1:16" ht="15" customHeight="1" x14ac:dyDescent="0.2">
      <c r="A79" s="11">
        <v>43616</v>
      </c>
      <c r="B79" s="4">
        <v>303.25</v>
      </c>
      <c r="C79" s="4">
        <v>198.27</v>
      </c>
      <c r="E79" s="5">
        <f t="shared" si="9"/>
        <v>4.6014280293884324E-2</v>
      </c>
      <c r="F79" s="5">
        <f t="shared" si="10"/>
        <v>3.543048033608498E-3</v>
      </c>
      <c r="G79" s="5">
        <f t="shared" si="11"/>
        <v>2.4778664163746411E-2</v>
      </c>
    </row>
    <row r="80" spans="1:16" ht="15" customHeight="1" x14ac:dyDescent="0.2">
      <c r="A80" s="12">
        <v>43585</v>
      </c>
      <c r="B80" s="3">
        <v>289.91000000000003</v>
      </c>
      <c r="C80" s="3">
        <v>197.57</v>
      </c>
      <c r="E80" s="5">
        <f t="shared" si="9"/>
        <v>7.5333827893174998E-2</v>
      </c>
      <c r="F80" s="5">
        <f t="shared" si="10"/>
        <v>4.0389678778304239E-2</v>
      </c>
      <c r="G80" s="5">
        <f t="shared" si="11"/>
        <v>5.7861753335739619E-2</v>
      </c>
    </row>
    <row r="81" spans="1:7" ht="15" customHeight="1" x14ac:dyDescent="0.2">
      <c r="A81" s="11">
        <v>43553</v>
      </c>
      <c r="B81" s="4">
        <v>269.60000000000002</v>
      </c>
      <c r="C81" s="4">
        <v>189.9</v>
      </c>
      <c r="E81" s="5">
        <f t="shared" si="9"/>
        <v>-7.021658159746158E-2</v>
      </c>
      <c r="F81" s="5">
        <f t="shared" si="10"/>
        <v>3.2963446475195779E-2</v>
      </c>
      <c r="G81" s="5">
        <f t="shared" si="11"/>
        <v>-1.8626567561132901E-2</v>
      </c>
    </row>
    <row r="82" spans="1:7" ht="15" customHeight="1" x14ac:dyDescent="0.2">
      <c r="A82" s="12">
        <v>43524</v>
      </c>
      <c r="B82" s="3">
        <v>289.95999999999998</v>
      </c>
      <c r="C82" s="3">
        <v>183.84</v>
      </c>
      <c r="E82" s="5">
        <f t="shared" si="9"/>
        <v>5.2295409181636554E-2</v>
      </c>
      <c r="F82" s="5">
        <f t="shared" si="10"/>
        <v>2.8302942163553002E-2</v>
      </c>
      <c r="G82" s="5">
        <f t="shared" si="11"/>
        <v>4.0299175672594778E-2</v>
      </c>
    </row>
    <row r="83" spans="1:7" ht="15" customHeight="1" x14ac:dyDescent="0.2">
      <c r="A83" s="11">
        <v>43496</v>
      </c>
      <c r="B83" s="4">
        <v>275.55</v>
      </c>
      <c r="C83" s="4">
        <v>178.78</v>
      </c>
      <c r="E83" s="5">
        <f t="shared" si="9"/>
        <v>0.12515312372396892</v>
      </c>
      <c r="F83" s="5">
        <f t="shared" si="10"/>
        <v>6.814214112744299E-3</v>
      </c>
      <c r="G83" s="5">
        <f t="shared" si="11"/>
        <v>6.5983668918356608E-2</v>
      </c>
    </row>
    <row r="84" spans="1:7" ht="15" customHeight="1" x14ac:dyDescent="0.2">
      <c r="A84" s="12">
        <v>43465</v>
      </c>
      <c r="B84" s="3">
        <v>244.9</v>
      </c>
      <c r="C84" s="3">
        <v>177.57</v>
      </c>
      <c r="E84" s="5">
        <f t="shared" ref="E84:E127" si="12">B84/B85-1</f>
        <v>-5.7641988610127703E-2</v>
      </c>
      <c r="F84" s="5">
        <f t="shared" ref="F84:F127" si="13">C84/C85-1</f>
        <v>-5.8034056548724178E-2</v>
      </c>
      <c r="G84" s="5">
        <f t="shared" si="11"/>
        <v>-5.7838022579425941E-2</v>
      </c>
    </row>
    <row r="85" spans="1:7" ht="15" customHeight="1" x14ac:dyDescent="0.2">
      <c r="A85" s="11">
        <v>43434</v>
      </c>
      <c r="B85" s="4">
        <v>259.88</v>
      </c>
      <c r="C85" s="4">
        <v>188.51</v>
      </c>
      <c r="E85" s="5">
        <f t="shared" si="12"/>
        <v>-7.9022714258446536E-3</v>
      </c>
      <c r="F85" s="5">
        <f t="shared" si="13"/>
        <v>6.5630299604296116E-2</v>
      </c>
      <c r="G85" s="5">
        <f t="shared" si="11"/>
        <v>2.8864014089225731E-2</v>
      </c>
    </row>
    <row r="86" spans="1:7" ht="15" customHeight="1" x14ac:dyDescent="0.2">
      <c r="A86" s="12">
        <v>43404</v>
      </c>
      <c r="B86" s="3">
        <v>261.95</v>
      </c>
      <c r="C86" s="3">
        <v>176.9</v>
      </c>
      <c r="E86" s="5">
        <f t="shared" si="12"/>
        <v>-0.17462268015250348</v>
      </c>
      <c r="F86" s="5">
        <f t="shared" si="13"/>
        <v>5.7445155119851821E-2</v>
      </c>
      <c r="G86" s="5">
        <f t="shared" si="11"/>
        <v>-5.8588762516325832E-2</v>
      </c>
    </row>
    <row r="87" spans="1:7" ht="15" customHeight="1" x14ac:dyDescent="0.2">
      <c r="A87" s="11">
        <v>43371</v>
      </c>
      <c r="B87" s="4">
        <v>317.37</v>
      </c>
      <c r="C87" s="4">
        <v>167.29</v>
      </c>
      <c r="E87" s="5">
        <f t="shared" si="12"/>
        <v>6.3251700224463026E-2</v>
      </c>
      <c r="F87" s="5">
        <f t="shared" si="13"/>
        <v>3.1190285397275419E-2</v>
      </c>
      <c r="G87" s="5">
        <f t="shared" si="11"/>
        <v>4.7220992810869222E-2</v>
      </c>
    </row>
    <row r="88" spans="1:7" ht="15" customHeight="1" x14ac:dyDescent="0.2">
      <c r="A88" s="12">
        <v>43343</v>
      </c>
      <c r="B88" s="3">
        <v>298.49</v>
      </c>
      <c r="C88" s="3">
        <v>162.22999999999999</v>
      </c>
      <c r="E88" s="5">
        <f t="shared" si="12"/>
        <v>-6.6557955339612285E-3</v>
      </c>
      <c r="F88" s="5">
        <f t="shared" si="13"/>
        <v>2.9770217087723649E-2</v>
      </c>
      <c r="G88" s="5">
        <f t="shared" si="11"/>
        <v>1.155721077688121E-2</v>
      </c>
    </row>
    <row r="89" spans="1:7" ht="15" customHeight="1" x14ac:dyDescent="0.2">
      <c r="A89" s="11">
        <v>43312</v>
      </c>
      <c r="B89" s="4">
        <v>300.49</v>
      </c>
      <c r="C89" s="4">
        <v>157.54</v>
      </c>
      <c r="E89" s="5">
        <f t="shared" si="12"/>
        <v>-2.3431914202144855E-2</v>
      </c>
      <c r="F89" s="5">
        <f t="shared" si="13"/>
        <v>5.4247239772799993E-3</v>
      </c>
      <c r="G89" s="5">
        <f t="shared" si="11"/>
        <v>-9.0035951124324276E-3</v>
      </c>
    </row>
    <row r="90" spans="1:7" ht="15" customHeight="1" x14ac:dyDescent="0.2">
      <c r="A90" s="12">
        <v>43280</v>
      </c>
      <c r="B90" s="3">
        <v>307.7</v>
      </c>
      <c r="C90" s="3">
        <v>156.69</v>
      </c>
      <c r="E90" s="5">
        <f t="shared" si="12"/>
        <v>-5.974025974025976E-2</v>
      </c>
      <c r="F90" s="5">
        <f t="shared" si="13"/>
        <v>-2.0748703206049601E-2</v>
      </c>
      <c r="G90" s="5">
        <f t="shared" si="11"/>
        <v>-4.0244481473154681E-2</v>
      </c>
    </row>
    <row r="91" spans="1:7" ht="15" customHeight="1" x14ac:dyDescent="0.2">
      <c r="A91" s="11">
        <v>43251</v>
      </c>
      <c r="B91" s="4">
        <v>327.25</v>
      </c>
      <c r="C91" s="4">
        <v>160.01</v>
      </c>
      <c r="E91" s="5">
        <f t="shared" si="12"/>
        <v>1.6178114519935338E-2</v>
      </c>
      <c r="F91" s="5">
        <f t="shared" si="13"/>
        <v>-4.4374104156712946E-2</v>
      </c>
      <c r="G91" s="5">
        <f t="shared" si="11"/>
        <v>-1.4097994818388804E-2</v>
      </c>
    </row>
    <row r="92" spans="1:7" ht="15" customHeight="1" x14ac:dyDescent="0.2">
      <c r="A92" s="12">
        <v>43220</v>
      </c>
      <c r="B92" s="3">
        <v>322.04000000000002</v>
      </c>
      <c r="C92" s="3">
        <v>167.44</v>
      </c>
      <c r="E92" s="5">
        <f t="shared" si="12"/>
        <v>-7.7566452795600371E-2</v>
      </c>
      <c r="F92" s="5">
        <f t="shared" si="13"/>
        <v>7.0725156669650957E-2</v>
      </c>
      <c r="G92" s="5">
        <f t="shared" si="11"/>
        <v>-3.4206480629747071E-3</v>
      </c>
    </row>
    <row r="93" spans="1:7" ht="15" customHeight="1" x14ac:dyDescent="0.2">
      <c r="A93" s="11">
        <v>43188</v>
      </c>
      <c r="B93" s="4">
        <v>349.12</v>
      </c>
      <c r="C93" s="4">
        <v>156.38</v>
      </c>
      <c r="E93" s="5">
        <f t="shared" si="12"/>
        <v>-2.6282710547366195E-3</v>
      </c>
      <c r="F93" s="5">
        <f t="shared" si="13"/>
        <v>-8.6217826803601794E-3</v>
      </c>
      <c r="G93" s="5">
        <f t="shared" si="11"/>
        <v>-5.6250268675483994E-3</v>
      </c>
    </row>
    <row r="94" spans="1:7" ht="15" customHeight="1" x14ac:dyDescent="0.2">
      <c r="A94" s="12">
        <v>43159</v>
      </c>
      <c r="B94" s="3">
        <v>350.04</v>
      </c>
      <c r="C94" s="3">
        <v>157.74</v>
      </c>
      <c r="E94" s="5">
        <f t="shared" si="12"/>
        <v>2.7927054885032332E-2</v>
      </c>
      <c r="F94" s="5">
        <f t="shared" si="13"/>
        <v>-7.8298469089634115E-2</v>
      </c>
      <c r="G94" s="5">
        <f t="shared" si="11"/>
        <v>-2.5185707102300892E-2</v>
      </c>
    </row>
    <row r="95" spans="1:7" ht="15" customHeight="1" x14ac:dyDescent="0.2">
      <c r="A95" s="11">
        <v>43131</v>
      </c>
      <c r="B95" s="4">
        <v>340.53</v>
      </c>
      <c r="C95" s="4">
        <v>171.14</v>
      </c>
      <c r="E95" s="5">
        <f t="shared" si="12"/>
        <v>0.1095435143853245</v>
      </c>
      <c r="F95" s="5">
        <f t="shared" si="13"/>
        <v>-5.6937020683245354E-3</v>
      </c>
      <c r="G95" s="5">
        <f t="shared" si="11"/>
        <v>5.1924906158499984E-2</v>
      </c>
    </row>
    <row r="96" spans="1:7" ht="15" customHeight="1" x14ac:dyDescent="0.2">
      <c r="A96" s="12">
        <v>43098</v>
      </c>
      <c r="B96" s="3">
        <v>306.91000000000003</v>
      </c>
      <c r="C96" s="3">
        <v>172.12</v>
      </c>
      <c r="E96" s="5">
        <f t="shared" si="12"/>
        <v>-1.5940143135977358E-3</v>
      </c>
      <c r="F96" s="5">
        <f t="shared" si="13"/>
        <v>8.7224515903949751E-4</v>
      </c>
      <c r="G96" s="5">
        <f t="shared" si="11"/>
        <v>-3.6088457727911916E-4</v>
      </c>
    </row>
    <row r="97" spans="1:7" ht="15" customHeight="1" x14ac:dyDescent="0.2">
      <c r="A97" s="11">
        <v>43069</v>
      </c>
      <c r="B97" s="4">
        <v>307.39999999999998</v>
      </c>
      <c r="C97" s="4">
        <v>171.97</v>
      </c>
      <c r="E97" s="5">
        <f t="shared" si="12"/>
        <v>4.0165127059858641E-2</v>
      </c>
      <c r="F97" s="5">
        <f t="shared" si="13"/>
        <v>3.0315739021029353E-2</v>
      </c>
      <c r="G97" s="5">
        <f t="shared" si="11"/>
        <v>3.5240433040443997E-2</v>
      </c>
    </row>
    <row r="98" spans="1:7" ht="15" customHeight="1" x14ac:dyDescent="0.2">
      <c r="A98" s="12">
        <v>43039</v>
      </c>
      <c r="B98" s="3">
        <v>295.52999999999997</v>
      </c>
      <c r="C98" s="3">
        <v>166.91</v>
      </c>
      <c r="E98" s="5">
        <f t="shared" si="12"/>
        <v>2.7144445989155885E-2</v>
      </c>
      <c r="F98" s="5">
        <f t="shared" si="13"/>
        <v>6.5292315547612834E-2</v>
      </c>
      <c r="G98" s="5">
        <f t="shared" si="11"/>
        <v>4.6218380768384359E-2</v>
      </c>
    </row>
    <row r="99" spans="1:7" ht="15" customHeight="1" x14ac:dyDescent="0.2">
      <c r="A99" s="11">
        <v>43007</v>
      </c>
      <c r="B99" s="4">
        <v>287.72000000000003</v>
      </c>
      <c r="C99" s="4">
        <v>156.68</v>
      </c>
      <c r="E99" s="5">
        <f t="shared" si="12"/>
        <v>5.6978068403071402E-2</v>
      </c>
      <c r="F99" s="5">
        <f t="shared" si="13"/>
        <v>-2.0566356191785928E-2</v>
      </c>
      <c r="G99" s="5">
        <f t="shared" si="11"/>
        <v>1.8205856105642737E-2</v>
      </c>
    </row>
    <row r="100" spans="1:7" ht="15" customHeight="1" x14ac:dyDescent="0.2">
      <c r="A100" s="12">
        <v>42978</v>
      </c>
      <c r="B100" s="3">
        <v>272.20999999999998</v>
      </c>
      <c r="C100" s="3">
        <v>159.97</v>
      </c>
      <c r="E100" s="5">
        <f t="shared" si="12"/>
        <v>3.4507657811728043E-2</v>
      </c>
      <c r="F100" s="5">
        <f t="shared" si="13"/>
        <v>3.1133170039963964E-2</v>
      </c>
      <c r="G100" s="5">
        <f t="shared" si="11"/>
        <v>3.2820413925846004E-2</v>
      </c>
    </row>
    <row r="101" spans="1:7" ht="15" customHeight="1" x14ac:dyDescent="0.2">
      <c r="A101" s="11">
        <v>42947</v>
      </c>
      <c r="B101" s="4">
        <v>263.13</v>
      </c>
      <c r="C101" s="4">
        <v>155.13999999999999</v>
      </c>
      <c r="E101" s="5">
        <f t="shared" si="12"/>
        <v>2.500876475400271E-2</v>
      </c>
      <c r="F101" s="5">
        <f t="shared" si="13"/>
        <v>1.2927657351788913E-2</v>
      </c>
      <c r="G101" s="5">
        <f t="shared" si="11"/>
        <v>1.8968211052895811E-2</v>
      </c>
    </row>
    <row r="102" spans="1:7" ht="15" customHeight="1" x14ac:dyDescent="0.2">
      <c r="A102" s="12">
        <v>42916</v>
      </c>
      <c r="B102" s="3">
        <v>256.70999999999998</v>
      </c>
      <c r="C102" s="3">
        <v>153.16</v>
      </c>
      <c r="E102" s="5">
        <f t="shared" si="12"/>
        <v>-9.6828948383613778E-3</v>
      </c>
      <c r="F102" s="5">
        <f t="shared" si="13"/>
        <v>1.5044071840413675E-2</v>
      </c>
      <c r="G102" s="5">
        <f t="shared" si="11"/>
        <v>2.6805885010261488E-3</v>
      </c>
    </row>
    <row r="103" spans="1:7" ht="15" customHeight="1" x14ac:dyDescent="0.2">
      <c r="A103" s="11">
        <v>42886</v>
      </c>
      <c r="B103" s="4">
        <v>259.22000000000003</v>
      </c>
      <c r="C103" s="4">
        <v>150.88999999999999</v>
      </c>
      <c r="E103" s="5">
        <f t="shared" si="12"/>
        <v>5.3911205073995827E-2</v>
      </c>
      <c r="F103" s="5">
        <f t="shared" si="13"/>
        <v>7.8324876724076065E-2</v>
      </c>
      <c r="G103" s="5">
        <f t="shared" si="11"/>
        <v>6.6118040899035946E-2</v>
      </c>
    </row>
    <row r="104" spans="1:7" ht="15" customHeight="1" x14ac:dyDescent="0.2">
      <c r="A104" s="12">
        <v>42853</v>
      </c>
      <c r="B104" s="3">
        <v>245.96</v>
      </c>
      <c r="C104" s="3">
        <v>139.93</v>
      </c>
      <c r="E104" s="5">
        <f t="shared" si="12"/>
        <v>3.4140598721829729E-2</v>
      </c>
      <c r="F104" s="5">
        <f t="shared" si="13"/>
        <v>7.962348584214185E-2</v>
      </c>
      <c r="G104" s="5">
        <f t="shared" si="11"/>
        <v>5.688204228198579E-2</v>
      </c>
    </row>
    <row r="105" spans="1:7" ht="15" customHeight="1" x14ac:dyDescent="0.2">
      <c r="A105" s="11">
        <v>42825</v>
      </c>
      <c r="B105" s="4">
        <v>237.84</v>
      </c>
      <c r="C105" s="4">
        <v>129.61000000000001</v>
      </c>
      <c r="E105" s="5">
        <f t="shared" si="12"/>
        <v>-3.7435752155085211E-2</v>
      </c>
      <c r="F105" s="5">
        <f t="shared" si="13"/>
        <v>1.5354484919702482E-2</v>
      </c>
      <c r="G105" s="5">
        <f t="shared" si="11"/>
        <v>-1.1040633617691364E-2</v>
      </c>
    </row>
    <row r="106" spans="1:7" ht="15" customHeight="1" x14ac:dyDescent="0.2">
      <c r="A106" s="12">
        <v>42794</v>
      </c>
      <c r="B106" s="3">
        <v>247.09</v>
      </c>
      <c r="C106" s="3">
        <v>127.65</v>
      </c>
      <c r="E106" s="5">
        <f t="shared" si="12"/>
        <v>7.8618823118561165E-2</v>
      </c>
      <c r="F106" s="5">
        <f t="shared" si="13"/>
        <v>4.1445704495390423E-2</v>
      </c>
      <c r="G106" s="5">
        <f t="shared" si="11"/>
        <v>6.0032263806975794E-2</v>
      </c>
    </row>
    <row r="107" spans="1:7" ht="15" customHeight="1" x14ac:dyDescent="0.2">
      <c r="A107" s="11">
        <v>42766</v>
      </c>
      <c r="B107" s="4">
        <v>229.08</v>
      </c>
      <c r="C107" s="4">
        <v>122.57</v>
      </c>
      <c r="E107" s="5">
        <f t="shared" si="12"/>
        <v>-1.5048585432969275E-2</v>
      </c>
      <c r="F107" s="5">
        <f t="shared" si="13"/>
        <v>6.9832402234637492E-3</v>
      </c>
      <c r="G107" s="5">
        <f t="shared" si="11"/>
        <v>-4.0326726047527628E-3</v>
      </c>
    </row>
    <row r="108" spans="1:7" ht="15" customHeight="1" x14ac:dyDescent="0.2">
      <c r="A108" s="12">
        <v>42734</v>
      </c>
      <c r="B108" s="3">
        <v>232.58</v>
      </c>
      <c r="C108" s="3">
        <v>121.72</v>
      </c>
      <c r="E108" s="5">
        <f t="shared" si="12"/>
        <v>-6.8375726016422944E-2</v>
      </c>
      <c r="F108" s="5">
        <f t="shared" si="13"/>
        <v>2.0541628238450516E-2</v>
      </c>
      <c r="G108" s="5">
        <f t="shared" si="11"/>
        <v>-2.3917048888986214E-2</v>
      </c>
    </row>
    <row r="109" spans="1:7" ht="15" customHeight="1" x14ac:dyDescent="0.2">
      <c r="A109" s="11">
        <v>42704</v>
      </c>
      <c r="B109" s="4">
        <v>249.65</v>
      </c>
      <c r="C109" s="4">
        <v>119.27</v>
      </c>
      <c r="E109" s="5">
        <f t="shared" si="12"/>
        <v>9.0174672489083063E-2</v>
      </c>
      <c r="F109" s="5">
        <f t="shared" si="13"/>
        <v>5.9518521808652469E-2</v>
      </c>
      <c r="G109" s="5">
        <f t="shared" si="11"/>
        <v>7.4846597148867766E-2</v>
      </c>
    </row>
    <row r="110" spans="1:7" ht="15" customHeight="1" x14ac:dyDescent="0.2">
      <c r="A110" s="12">
        <v>42674</v>
      </c>
      <c r="B110" s="3">
        <v>229</v>
      </c>
      <c r="C110" s="3">
        <v>112.57</v>
      </c>
      <c r="E110" s="5">
        <f t="shared" si="12"/>
        <v>7.0343538209862277E-2</v>
      </c>
      <c r="F110" s="5">
        <f t="shared" si="13"/>
        <v>-2.4185159500693554E-2</v>
      </c>
      <c r="G110" s="5">
        <f t="shared" si="11"/>
        <v>2.3079189354584362E-2</v>
      </c>
    </row>
    <row r="111" spans="1:7" ht="15" customHeight="1" x14ac:dyDescent="0.2">
      <c r="A111" s="11">
        <v>42643</v>
      </c>
      <c r="B111" s="4">
        <v>213.95</v>
      </c>
      <c r="C111" s="4">
        <v>115.36</v>
      </c>
      <c r="E111" s="5">
        <f t="shared" si="12"/>
        <v>8.8649974065166948E-3</v>
      </c>
      <c r="F111" s="5">
        <f t="shared" si="13"/>
        <v>-2.5938094414663659E-3</v>
      </c>
      <c r="G111" s="5">
        <f t="shared" si="11"/>
        <v>3.1355939825251644E-3</v>
      </c>
    </row>
    <row r="112" spans="1:7" ht="15" customHeight="1" x14ac:dyDescent="0.2">
      <c r="A112" s="12">
        <v>42613</v>
      </c>
      <c r="B112" s="3">
        <v>212.07</v>
      </c>
      <c r="C112" s="3">
        <v>115.66</v>
      </c>
      <c r="E112" s="5">
        <f t="shared" si="12"/>
        <v>-2.1049716105802529E-2</v>
      </c>
      <c r="F112" s="5">
        <f t="shared" si="13"/>
        <v>-1.6914577135571651E-2</v>
      </c>
      <c r="G112" s="5">
        <f t="shared" si="11"/>
        <v>-1.898214662068709E-2</v>
      </c>
    </row>
    <row r="113" spans="1:7" ht="15" customHeight="1" x14ac:dyDescent="0.2">
      <c r="A113" s="11">
        <v>42580</v>
      </c>
      <c r="B113" s="4">
        <v>216.63</v>
      </c>
      <c r="C113" s="4">
        <v>117.65</v>
      </c>
      <c r="E113" s="5">
        <f t="shared" si="12"/>
        <v>-2.5418391218283265E-2</v>
      </c>
      <c r="F113" s="5">
        <f t="shared" si="13"/>
        <v>-2.2353332225361511E-2</v>
      </c>
      <c r="G113" s="5">
        <f t="shared" si="11"/>
        <v>-2.3885861721822388E-2</v>
      </c>
    </row>
    <row r="114" spans="1:7" ht="15" customHeight="1" x14ac:dyDescent="0.2">
      <c r="A114" s="12">
        <v>42551</v>
      </c>
      <c r="B114" s="3">
        <v>222.28</v>
      </c>
      <c r="C114" s="3">
        <v>120.34</v>
      </c>
      <c r="E114" s="5">
        <f t="shared" si="12"/>
        <v>4.5187379508158321E-2</v>
      </c>
      <c r="F114" s="5">
        <f t="shared" si="13"/>
        <v>-1.4091430444043929E-2</v>
      </c>
      <c r="G114" s="5">
        <f t="shared" si="11"/>
        <v>1.5547974532057196E-2</v>
      </c>
    </row>
    <row r="115" spans="1:7" ht="15" customHeight="1" x14ac:dyDescent="0.2">
      <c r="A115" s="11">
        <v>42521</v>
      </c>
      <c r="B115" s="4">
        <v>212.67</v>
      </c>
      <c r="C115" s="4">
        <v>122.06</v>
      </c>
      <c r="E115" s="5">
        <f t="shared" si="12"/>
        <v>3.1077281101522303E-2</v>
      </c>
      <c r="F115" s="5">
        <f t="shared" si="13"/>
        <v>-3.502253142540912E-2</v>
      </c>
      <c r="G115" s="5">
        <f t="shared" si="11"/>
        <v>-1.9726251619434088E-3</v>
      </c>
    </row>
    <row r="116" spans="1:7" ht="15" customHeight="1" x14ac:dyDescent="0.2">
      <c r="A116" s="12">
        <v>42489</v>
      </c>
      <c r="B116" s="3">
        <v>206.26</v>
      </c>
      <c r="C116" s="3">
        <v>126.49</v>
      </c>
      <c r="E116" s="5">
        <f t="shared" si="12"/>
        <v>4.224355735219798E-2</v>
      </c>
      <c r="F116" s="5">
        <f t="shared" si="13"/>
        <v>6.4449395289623013E-3</v>
      </c>
      <c r="G116" s="5">
        <f t="shared" si="11"/>
        <v>2.4344248440580141E-2</v>
      </c>
    </row>
    <row r="117" spans="1:7" ht="15" customHeight="1" x14ac:dyDescent="0.2">
      <c r="A117" s="11">
        <v>42460</v>
      </c>
      <c r="B117" s="4">
        <v>197.9</v>
      </c>
      <c r="C117" s="4">
        <v>125.68</v>
      </c>
      <c r="E117" s="5">
        <f t="shared" si="12"/>
        <v>2.9549474560399469E-2</v>
      </c>
      <c r="F117" s="5">
        <f t="shared" si="13"/>
        <v>7.2446454475638022E-2</v>
      </c>
      <c r="G117" s="5">
        <f t="shared" si="11"/>
        <v>5.0997964518018746E-2</v>
      </c>
    </row>
    <row r="118" spans="1:7" ht="15" customHeight="1" x14ac:dyDescent="0.2">
      <c r="A118" s="12">
        <v>42429</v>
      </c>
      <c r="B118" s="3">
        <v>192.22</v>
      </c>
      <c r="C118" s="3">
        <v>117.19</v>
      </c>
      <c r="E118" s="5">
        <f t="shared" si="12"/>
        <v>3.8690154544472E-2</v>
      </c>
      <c r="F118" s="5">
        <f t="shared" si="13"/>
        <v>-5.3239618678300182E-2</v>
      </c>
      <c r="G118" s="5">
        <f t="shared" si="11"/>
        <v>-7.2747320669140914E-3</v>
      </c>
    </row>
    <row r="119" spans="1:7" ht="15" customHeight="1" x14ac:dyDescent="0.2">
      <c r="A119" s="11">
        <v>42398</v>
      </c>
      <c r="B119" s="4">
        <v>185.06</v>
      </c>
      <c r="C119" s="4">
        <v>123.78</v>
      </c>
      <c r="E119" s="5">
        <f t="shared" si="12"/>
        <v>-1.9861236163338791E-2</v>
      </c>
      <c r="F119" s="5">
        <f t="shared" si="13"/>
        <v>4.7739969527679005E-2</v>
      </c>
      <c r="G119" s="5">
        <f t="shared" si="11"/>
        <v>1.3939366682170107E-2</v>
      </c>
    </row>
    <row r="120" spans="1:7" ht="15" customHeight="1" x14ac:dyDescent="0.2">
      <c r="A120" s="12">
        <v>42369</v>
      </c>
      <c r="B120" s="3">
        <v>188.81</v>
      </c>
      <c r="C120" s="3">
        <v>118.14</v>
      </c>
      <c r="E120" s="5">
        <f t="shared" si="12"/>
        <v>1.3146597982399699E-2</v>
      </c>
      <c r="F120" s="5">
        <f t="shared" si="13"/>
        <v>3.48633496846531E-2</v>
      </c>
      <c r="G120" s="5">
        <f t="shared" si="11"/>
        <v>2.40049738335264E-2</v>
      </c>
    </row>
    <row r="121" spans="1:7" ht="15" customHeight="1" x14ac:dyDescent="0.2">
      <c r="A121" s="11">
        <v>42338</v>
      </c>
      <c r="B121" s="4">
        <v>186.36</v>
      </c>
      <c r="C121" s="4">
        <v>114.16</v>
      </c>
      <c r="E121" s="5">
        <f t="shared" si="12"/>
        <v>-7.4034620505991633E-3</v>
      </c>
      <c r="F121" s="5">
        <f t="shared" si="13"/>
        <v>1.7015590200445407E-2</v>
      </c>
      <c r="G121" s="5">
        <f t="shared" si="11"/>
        <v>4.806064074923122E-3</v>
      </c>
    </row>
    <row r="122" spans="1:7" ht="15" customHeight="1" x14ac:dyDescent="0.2">
      <c r="A122" s="12">
        <v>42307</v>
      </c>
      <c r="B122" s="3">
        <v>187.75</v>
      </c>
      <c r="C122" s="3">
        <v>112.25</v>
      </c>
      <c r="E122" s="5">
        <f t="shared" si="12"/>
        <v>0.13136486893642663</v>
      </c>
      <c r="F122" s="5">
        <f t="shared" si="13"/>
        <v>0.1392469298690755</v>
      </c>
      <c r="G122" s="5">
        <f t="shared" si="11"/>
        <v>0.13530589940275106</v>
      </c>
    </row>
    <row r="123" spans="1:7" ht="15" customHeight="1" x14ac:dyDescent="0.2">
      <c r="A123" s="11">
        <v>42277</v>
      </c>
      <c r="B123" s="4">
        <v>165.95</v>
      </c>
      <c r="C123" s="4">
        <v>98.53</v>
      </c>
      <c r="E123" s="5">
        <f t="shared" si="12"/>
        <v>1.3497007450836485E-2</v>
      </c>
      <c r="F123" s="5">
        <f t="shared" si="13"/>
        <v>3.6939591664912674E-2</v>
      </c>
      <c r="G123" s="5">
        <f t="shared" si="11"/>
        <v>2.5218299557874579E-2</v>
      </c>
    </row>
    <row r="124" spans="1:7" ht="15" customHeight="1" x14ac:dyDescent="0.2">
      <c r="A124" s="12">
        <v>42247</v>
      </c>
      <c r="B124" s="3">
        <v>163.74</v>
      </c>
      <c r="C124" s="3">
        <v>95.02</v>
      </c>
      <c r="E124" s="5">
        <f t="shared" si="12"/>
        <v>-5.3580717877579231E-2</v>
      </c>
      <c r="F124" s="5">
        <f t="shared" si="13"/>
        <v>-4.8467854996995796E-2</v>
      </c>
      <c r="G124" s="5">
        <f t="shared" si="11"/>
        <v>-5.1024286437287514E-2</v>
      </c>
    </row>
    <row r="125" spans="1:7" ht="15" customHeight="1" x14ac:dyDescent="0.2">
      <c r="A125" s="11">
        <v>42216</v>
      </c>
      <c r="B125" s="4">
        <v>173.01</v>
      </c>
      <c r="C125" s="4">
        <v>99.86</v>
      </c>
      <c r="E125" s="5">
        <f t="shared" si="12"/>
        <v>9.0651200907772678E-2</v>
      </c>
      <c r="F125" s="5">
        <f t="shared" si="13"/>
        <v>5.0383927632271064E-2</v>
      </c>
      <c r="G125" s="5">
        <f t="shared" si="11"/>
        <v>7.0517564270021871E-2</v>
      </c>
    </row>
    <row r="126" spans="1:7" ht="15" customHeight="1" x14ac:dyDescent="0.2">
      <c r="A126" s="12">
        <v>42185</v>
      </c>
      <c r="B126" s="3">
        <v>158.63</v>
      </c>
      <c r="C126" s="3">
        <v>95.07</v>
      </c>
      <c r="E126" s="5">
        <f t="shared" si="12"/>
        <v>-3.4552079406960923E-3</v>
      </c>
      <c r="F126" s="5">
        <f t="shared" si="13"/>
        <v>-8.9648702178672934E-3</v>
      </c>
      <c r="G126" s="5">
        <f t="shared" si="11"/>
        <v>-6.2100390792816929E-3</v>
      </c>
    </row>
    <row r="127" spans="1:7" ht="15" customHeight="1" x14ac:dyDescent="0.2">
      <c r="A127" s="11">
        <v>42153</v>
      </c>
      <c r="B127" s="4">
        <v>159.18</v>
      </c>
      <c r="C127" s="4">
        <v>95.93</v>
      </c>
      <c r="E127" s="5">
        <f t="shared" si="12"/>
        <v>3.3367956374967589E-2</v>
      </c>
      <c r="F127" s="5">
        <f t="shared" si="13"/>
        <v>-6.4215432418435192E-3</v>
      </c>
      <c r="G127" s="5">
        <f>E127*$B$4+F127*$B$5</f>
        <v>1.3473206566562035E-2</v>
      </c>
    </row>
    <row r="128" spans="1:7" ht="15" customHeight="1" x14ac:dyDescent="0.25">
      <c r="A128" s="12">
        <v>42124</v>
      </c>
      <c r="B128" s="3">
        <v>154.04</v>
      </c>
      <c r="C128" s="3">
        <v>96.55</v>
      </c>
      <c r="G128" s="20"/>
    </row>
    <row r="129" spans="7:7" ht="15" customHeight="1" x14ac:dyDescent="0.25">
      <c r="G129" s="20"/>
    </row>
  </sheetData>
  <mergeCells count="7">
    <mergeCell ref="M21:P21"/>
    <mergeCell ref="T23:V23"/>
    <mergeCell ref="T7:W7"/>
    <mergeCell ref="U13:W13"/>
    <mergeCell ref="U14:W14"/>
    <mergeCell ref="U15:W15"/>
    <mergeCell ref="U16:W1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CBEC-E0BC-4C3A-9729-D1EA8B9ECE6A}">
  <sheetPr>
    <outlinePr summaryBelow="0" summaryRight="0"/>
  </sheetPr>
  <dimension ref="A1:T123"/>
  <sheetViews>
    <sheetView tabSelected="1" zoomScale="85" zoomScaleNormal="85" workbookViewId="0">
      <selection activeCell="R45" sqref="R45"/>
    </sheetView>
  </sheetViews>
  <sheetFormatPr defaultColWidth="9.140625" defaultRowHeight="15" customHeight="1" x14ac:dyDescent="0.2"/>
  <cols>
    <col min="1" max="1" width="9.85546875" bestFit="1" customWidth="1"/>
    <col min="2" max="2" width="9.42578125" bestFit="1" customWidth="1"/>
    <col min="3" max="5" width="11.28515625" customWidth="1"/>
    <col min="6" max="6" width="8.85546875" bestFit="1" customWidth="1"/>
    <col min="7" max="8" width="11.28515625" bestFit="1" customWidth="1"/>
    <col min="9" max="9" width="11" bestFit="1" customWidth="1"/>
    <col min="12" max="12" width="10.85546875" bestFit="1" customWidth="1"/>
    <col min="13" max="14" width="11.28515625" bestFit="1" customWidth="1"/>
    <col min="15" max="15" width="11" bestFit="1" customWidth="1"/>
    <col min="16" max="16" width="10" bestFit="1" customWidth="1"/>
    <col min="17" max="17" width="10.5703125" bestFit="1" customWidth="1"/>
    <col min="18" max="18" width="11" bestFit="1" customWidth="1"/>
  </cols>
  <sheetData>
    <row r="1" spans="1:20" ht="15" customHeight="1" x14ac:dyDescent="0.2">
      <c r="A1" s="1" t="s">
        <v>27</v>
      </c>
    </row>
    <row r="3" spans="1:20" ht="15" customHeight="1" x14ac:dyDescent="0.2">
      <c r="A3" s="2" t="s">
        <v>0</v>
      </c>
      <c r="B3" s="2" t="s">
        <v>50</v>
      </c>
      <c r="C3" s="2" t="s">
        <v>20</v>
      </c>
      <c r="D3" s="2" t="s">
        <v>3</v>
      </c>
      <c r="F3" s="2" t="s">
        <v>49</v>
      </c>
      <c r="G3" s="2" t="s">
        <v>21</v>
      </c>
      <c r="H3" s="2" t="s">
        <v>4</v>
      </c>
      <c r="L3" s="7" t="s">
        <v>22</v>
      </c>
      <c r="M3" s="7" t="s">
        <v>5</v>
      </c>
      <c r="T3" s="5"/>
    </row>
    <row r="4" spans="1:20" ht="15" customHeight="1" x14ac:dyDescent="0.2">
      <c r="A4" s="11">
        <v>45747</v>
      </c>
      <c r="B4" s="4">
        <v>559.39</v>
      </c>
      <c r="C4" s="4">
        <v>512.01</v>
      </c>
      <c r="D4" s="4">
        <v>312.37</v>
      </c>
      <c r="F4" s="5">
        <f>B4/B5-1</f>
        <v>-5.8551280756673041E-2</v>
      </c>
      <c r="G4" s="5">
        <f>C4/C5-1</f>
        <v>0.10887079308701852</v>
      </c>
      <c r="H4" s="5">
        <f>D4/D5-1</f>
        <v>1.310284435507425E-2</v>
      </c>
      <c r="K4" t="s">
        <v>29</v>
      </c>
      <c r="L4" s="14">
        <f>INTERCEPT(G4:G122,$F$4:$F$122)</f>
        <v>7.8783028537143286E-3</v>
      </c>
      <c r="M4" s="14">
        <f>INTERCEPT(H4:H122,$F$4:$F$122)</f>
        <v>5.4283078314213166E-3</v>
      </c>
      <c r="R4" s="6"/>
    </row>
    <row r="5" spans="1:20" ht="15" customHeight="1" x14ac:dyDescent="0.2">
      <c r="A5" s="12">
        <v>45716</v>
      </c>
      <c r="B5" s="3">
        <v>594.17999999999995</v>
      </c>
      <c r="C5" s="3">
        <v>461.74</v>
      </c>
      <c r="D5" s="3">
        <v>308.33</v>
      </c>
      <c r="F5" s="5">
        <f>B5/B6-1</f>
        <v>-1.2694825695390821E-2</v>
      </c>
      <c r="G5" s="5">
        <f t="shared" ref="G5:G68" si="0">C5/C6-1</f>
        <v>-5.2393949966137776E-2</v>
      </c>
      <c r="H5" s="5">
        <f>D5/D6-1</f>
        <v>6.7994457914790418E-2</v>
      </c>
      <c r="K5" t="s">
        <v>28</v>
      </c>
      <c r="L5" s="15">
        <f>SLOPE(G4:G122,$F$4:$F$122)</f>
        <v>0.44226710608825737</v>
      </c>
      <c r="M5" s="15">
        <f>SLOPE(H4:H122,$F$4:$F$122)</f>
        <v>0.60938812365315675</v>
      </c>
    </row>
    <row r="6" spans="1:20" ht="15" customHeight="1" x14ac:dyDescent="0.2">
      <c r="A6" s="11">
        <v>45688</v>
      </c>
      <c r="B6" s="4">
        <v>601.82000000000005</v>
      </c>
      <c r="C6" s="4">
        <v>487.27</v>
      </c>
      <c r="D6" s="4">
        <v>288.7</v>
      </c>
      <c r="F6" s="5">
        <f>B6/B7-1</f>
        <v>2.6856401856401924E-2</v>
      </c>
      <c r="G6" s="5">
        <f t="shared" si="0"/>
        <v>3.8313196530929572E-2</v>
      </c>
      <c r="H6" s="5">
        <f>D6/D7-1</f>
        <v>-4.1050053468556502E-3</v>
      </c>
      <c r="K6" t="s">
        <v>30</v>
      </c>
      <c r="L6" s="5">
        <f>RSQ(G4:G122,$F$4:$F$122)</f>
        <v>0.10489527227462109</v>
      </c>
      <c r="M6" s="5">
        <f>RSQ(H4:H122,$F$4:$F$122)</f>
        <v>0.30479072373305222</v>
      </c>
    </row>
    <row r="7" spans="1:20" ht="15" customHeight="1" x14ac:dyDescent="0.2">
      <c r="A7" s="12">
        <v>45657</v>
      </c>
      <c r="B7" s="3">
        <v>586.08000000000004</v>
      </c>
      <c r="C7" s="3">
        <v>469.29</v>
      </c>
      <c r="D7" s="3">
        <v>289.89</v>
      </c>
      <c r="F7" s="5">
        <f>B7/B8-1</f>
        <v>-2.7333831217326243E-2</v>
      </c>
      <c r="G7" s="5">
        <f t="shared" si="0"/>
        <v>-4.1580720923108272E-2</v>
      </c>
      <c r="H7" s="5">
        <f>D7/D8-1</f>
        <v>-2.0674977196716293E-2</v>
      </c>
    </row>
    <row r="8" spans="1:20" ht="15" customHeight="1" x14ac:dyDescent="0.2">
      <c r="A8" s="11">
        <v>45625</v>
      </c>
      <c r="B8" s="4">
        <v>602.54999999999995</v>
      </c>
      <c r="C8" s="4">
        <v>489.65</v>
      </c>
      <c r="D8" s="4">
        <v>296.01</v>
      </c>
      <c r="F8" s="5">
        <f>B8/B9-1</f>
        <v>5.9633511536297146E-2</v>
      </c>
      <c r="G8" s="5">
        <f t="shared" si="0"/>
        <v>-3.8053514596675941E-2</v>
      </c>
      <c r="H8" s="5">
        <f>D8/D9-1</f>
        <v>1.3351134846461887E-2</v>
      </c>
    </row>
    <row r="9" spans="1:20" ht="15" customHeight="1" x14ac:dyDescent="0.2">
      <c r="A9" s="12">
        <v>45596</v>
      </c>
      <c r="B9" s="3">
        <v>568.64</v>
      </c>
      <c r="C9" s="3">
        <v>509.02</v>
      </c>
      <c r="D9" s="3">
        <v>292.11</v>
      </c>
      <c r="F9" s="5">
        <f>B9/B10-1</f>
        <v>-8.9235917456776948E-3</v>
      </c>
      <c r="G9" s="5">
        <f t="shared" si="0"/>
        <v>-3.6074762815535899E-2</v>
      </c>
      <c r="H9" s="5">
        <f>D9/D10-1</f>
        <v>-4.0721158582640915E-2</v>
      </c>
    </row>
    <row r="10" spans="1:20" ht="15" customHeight="1" x14ac:dyDescent="0.2">
      <c r="A10" s="11">
        <v>45565</v>
      </c>
      <c r="B10" s="4">
        <v>573.76</v>
      </c>
      <c r="C10" s="4">
        <v>528.07000000000005</v>
      </c>
      <c r="D10" s="4">
        <v>304.51</v>
      </c>
      <c r="F10" s="5">
        <f>B10/B11-1</f>
        <v>1.7882486517172946E-2</v>
      </c>
      <c r="G10" s="5">
        <f t="shared" si="0"/>
        <v>9.2888132872077644E-3</v>
      </c>
      <c r="H10" s="5">
        <f>D10/D11-1</f>
        <v>5.4908889350793189E-2</v>
      </c>
    </row>
    <row r="11" spans="1:20" ht="15" customHeight="1" x14ac:dyDescent="0.2">
      <c r="A11" s="12">
        <v>45534</v>
      </c>
      <c r="B11" s="3">
        <v>563.67999999999995</v>
      </c>
      <c r="C11" s="3">
        <v>523.21</v>
      </c>
      <c r="D11" s="3">
        <v>288.66000000000003</v>
      </c>
      <c r="F11" s="5">
        <f>B11/B12-1</f>
        <v>2.3365588860042585E-2</v>
      </c>
      <c r="G11" s="5">
        <f t="shared" si="0"/>
        <v>8.0298149983482059E-2</v>
      </c>
      <c r="H11" s="5">
        <f>D11/D12-1</f>
        <v>8.7641296156744763E-2</v>
      </c>
    </row>
    <row r="12" spans="1:20" ht="15" customHeight="1" x14ac:dyDescent="0.2">
      <c r="A12" s="11">
        <v>45504</v>
      </c>
      <c r="B12" s="4">
        <v>550.80999999999995</v>
      </c>
      <c r="C12" s="4">
        <v>484.32</v>
      </c>
      <c r="D12" s="4">
        <v>265.39999999999998</v>
      </c>
      <c r="F12" s="5">
        <f>B12/B13-1</f>
        <v>1.2109073536437309E-2</v>
      </c>
      <c r="G12" s="5">
        <f t="shared" si="0"/>
        <v>0.1109530909507972</v>
      </c>
      <c r="H12" s="5">
        <f>D12/D13-1</f>
        <v>4.143776487207651E-2</v>
      </c>
    </row>
    <row r="13" spans="1:20" ht="15" customHeight="1" x14ac:dyDescent="0.2">
      <c r="A13" s="12">
        <v>45471</v>
      </c>
      <c r="B13" s="3">
        <v>544.22</v>
      </c>
      <c r="C13" s="3">
        <v>435.95</v>
      </c>
      <c r="D13" s="3">
        <v>254.84</v>
      </c>
      <c r="F13" s="5">
        <f>B13/B14-1</f>
        <v>3.1951002142708296E-2</v>
      </c>
      <c r="G13" s="5">
        <f t="shared" si="0"/>
        <v>-3.287707700157505E-2</v>
      </c>
      <c r="H13" s="5">
        <f>D13/D14-1</f>
        <v>-1.5643709683649365E-2</v>
      </c>
    </row>
    <row r="14" spans="1:20" ht="15" customHeight="1" x14ac:dyDescent="0.2">
      <c r="A14" s="11">
        <v>45443</v>
      </c>
      <c r="B14" s="4">
        <v>527.37</v>
      </c>
      <c r="C14" s="4">
        <v>450.77</v>
      </c>
      <c r="D14" s="4">
        <v>258.89</v>
      </c>
      <c r="F14" s="5">
        <f>B14/B15-1</f>
        <v>5.0579704370691925E-2</v>
      </c>
      <c r="G14" s="5">
        <f t="shared" si="0"/>
        <v>-7.0634806094468372E-2</v>
      </c>
      <c r="H14" s="5">
        <f>D14/D15-1</f>
        <v>-5.1823908584822886E-2</v>
      </c>
    </row>
    <row r="15" spans="1:20" ht="15" customHeight="1" x14ac:dyDescent="0.2">
      <c r="A15" s="12">
        <v>45412</v>
      </c>
      <c r="B15" s="3">
        <v>501.98</v>
      </c>
      <c r="C15" s="3">
        <v>485.03</v>
      </c>
      <c r="D15" s="3">
        <v>273.04000000000002</v>
      </c>
      <c r="F15" s="5">
        <f>B15/B16-1</f>
        <v>-4.0319651289502434E-2</v>
      </c>
      <c r="G15" s="5">
        <f t="shared" si="0"/>
        <v>1.3307984790874361E-2</v>
      </c>
      <c r="H15" s="5">
        <f>D15/D16-1</f>
        <v>-3.160134775669432E-2</v>
      </c>
    </row>
    <row r="16" spans="1:20" ht="15" customHeight="1" x14ac:dyDescent="0.2">
      <c r="A16" s="11">
        <v>45379</v>
      </c>
      <c r="B16" s="4">
        <v>523.07000000000005</v>
      </c>
      <c r="C16" s="4">
        <v>478.66</v>
      </c>
      <c r="D16" s="4">
        <v>281.95</v>
      </c>
      <c r="F16" s="5">
        <f>B16/B17-1</f>
        <v>2.9503227838135748E-2</v>
      </c>
      <c r="G16" s="5">
        <f t="shared" si="0"/>
        <v>3.8262982083206998E-2</v>
      </c>
      <c r="H16" s="5">
        <f>D16/D17-1</f>
        <v>-3.5342821951553249E-2</v>
      </c>
    </row>
    <row r="17" spans="1:8" ht="15" customHeight="1" x14ac:dyDescent="0.2">
      <c r="A17" s="12">
        <v>45351</v>
      </c>
      <c r="B17" s="3">
        <v>508.08</v>
      </c>
      <c r="C17" s="3">
        <v>461.02</v>
      </c>
      <c r="D17" s="3">
        <v>292.27999999999997</v>
      </c>
      <c r="F17" s="5">
        <f>B17/B18-1</f>
        <v>5.2186878727634278E-2</v>
      </c>
      <c r="G17" s="5">
        <f t="shared" si="0"/>
        <v>3.1918703554481231E-2</v>
      </c>
      <c r="H17" s="5">
        <f>D17/D18-1</f>
        <v>-1.5031429352283521E-3</v>
      </c>
    </row>
    <row r="18" spans="1:8" ht="15" customHeight="1" x14ac:dyDescent="0.2">
      <c r="A18" s="11">
        <v>45322</v>
      </c>
      <c r="B18" s="4">
        <v>482.88</v>
      </c>
      <c r="C18" s="4">
        <v>446.76</v>
      </c>
      <c r="D18" s="4">
        <v>292.72000000000003</v>
      </c>
      <c r="F18" s="5">
        <f>B18/B19-1</f>
        <v>1.592644800235643E-2</v>
      </c>
      <c r="G18" s="5">
        <f t="shared" si="0"/>
        <v>-4.567009868842653E-2</v>
      </c>
      <c r="H18" s="5">
        <f>D18/D19-1</f>
        <v>-1.2782030960169832E-2</v>
      </c>
    </row>
    <row r="19" spans="1:8" ht="15" customHeight="1" x14ac:dyDescent="0.2">
      <c r="A19" s="12">
        <v>45289</v>
      </c>
      <c r="B19" s="3">
        <v>475.31</v>
      </c>
      <c r="C19" s="3">
        <v>468.14</v>
      </c>
      <c r="D19" s="3">
        <v>296.51</v>
      </c>
      <c r="F19" s="5">
        <f>B19/B20-1</f>
        <v>4.1432953549517926E-2</v>
      </c>
      <c r="G19" s="5">
        <f t="shared" si="0"/>
        <v>-1.4773970872969167E-2</v>
      </c>
      <c r="H19" s="5">
        <f>D19/D20-1</f>
        <v>5.2050808969628326E-2</v>
      </c>
    </row>
    <row r="20" spans="1:8" ht="15" customHeight="1" x14ac:dyDescent="0.2">
      <c r="A20" s="11">
        <v>45260</v>
      </c>
      <c r="B20" s="4">
        <v>456.4</v>
      </c>
      <c r="C20" s="4">
        <v>475.16</v>
      </c>
      <c r="D20" s="4">
        <v>281.83999999999997</v>
      </c>
      <c r="F20" s="5">
        <f>B20/B21-1</f>
        <v>9.1343854615016706E-2</v>
      </c>
      <c r="G20" s="5">
        <f t="shared" si="0"/>
        <v>7.9120972360691155E-3</v>
      </c>
      <c r="H20" s="5">
        <f>D20/D21-1</f>
        <v>7.5027653812411721E-2</v>
      </c>
    </row>
    <row r="21" spans="1:8" ht="15" customHeight="1" x14ac:dyDescent="0.2">
      <c r="A21" s="12">
        <v>45230</v>
      </c>
      <c r="B21" s="3">
        <v>418.2</v>
      </c>
      <c r="C21" s="3">
        <v>471.43</v>
      </c>
      <c r="D21" s="3">
        <v>262.17</v>
      </c>
      <c r="F21" s="5">
        <f>B21/B22-1</f>
        <v>-2.1708617947038489E-2</v>
      </c>
      <c r="G21" s="5">
        <f t="shared" si="0"/>
        <v>7.0969354142529362E-2</v>
      </c>
      <c r="H21" s="5">
        <f>D21/D22-1</f>
        <v>-4.8208320680229733E-3</v>
      </c>
    </row>
    <row r="22" spans="1:8" ht="15" customHeight="1" x14ac:dyDescent="0.2">
      <c r="A22" s="11">
        <v>45198</v>
      </c>
      <c r="B22" s="4">
        <v>427.48</v>
      </c>
      <c r="C22" s="4">
        <v>440.19</v>
      </c>
      <c r="D22" s="4">
        <v>263.44</v>
      </c>
      <c r="F22" s="5">
        <f>B22/B23-1</f>
        <v>-5.0782724547574154E-2</v>
      </c>
      <c r="G22" s="5">
        <f t="shared" si="0"/>
        <v>1.6393821145720411E-2</v>
      </c>
      <c r="H22" s="5">
        <f>D22/D23-1</f>
        <v>-6.2991285790503171E-2</v>
      </c>
    </row>
    <row r="23" spans="1:8" ht="15" customHeight="1" x14ac:dyDescent="0.2">
      <c r="A23" s="12">
        <v>45169</v>
      </c>
      <c r="B23" s="3">
        <v>450.35</v>
      </c>
      <c r="C23" s="3">
        <v>433.09</v>
      </c>
      <c r="D23" s="3">
        <v>281.14999999999998</v>
      </c>
      <c r="F23" s="5">
        <f>B23/B24-1</f>
        <v>-1.6251993272024312E-2</v>
      </c>
      <c r="G23" s="5">
        <f t="shared" si="0"/>
        <v>-2.6764044943820231E-2</v>
      </c>
      <c r="H23" s="5">
        <f>D23/D24-1</f>
        <v>-4.1098226466575793E-2</v>
      </c>
    </row>
    <row r="24" spans="1:8" ht="15" customHeight="1" x14ac:dyDescent="0.2">
      <c r="A24" s="11">
        <v>45138</v>
      </c>
      <c r="B24" s="4">
        <v>457.79</v>
      </c>
      <c r="C24" s="4">
        <v>445</v>
      </c>
      <c r="D24" s="4">
        <v>293.2</v>
      </c>
      <c r="F24" s="5">
        <f>B24/B25-1</f>
        <v>3.2733261144197945E-2</v>
      </c>
      <c r="G24" s="5">
        <f t="shared" si="0"/>
        <v>-2.3694602896007E-2</v>
      </c>
      <c r="H24" s="5">
        <f>D24/D25-1</f>
        <v>-1.7459200428940225E-2</v>
      </c>
    </row>
    <row r="25" spans="1:8" ht="15" customHeight="1" x14ac:dyDescent="0.2">
      <c r="A25" s="12">
        <v>45107</v>
      </c>
      <c r="B25" s="3">
        <v>443.28</v>
      </c>
      <c r="C25" s="3">
        <v>455.8</v>
      </c>
      <c r="D25" s="3">
        <v>298.41000000000003</v>
      </c>
      <c r="F25" s="5">
        <f>B25/B26-1</f>
        <v>6.0859159985640732E-2</v>
      </c>
      <c r="G25" s="5">
        <f t="shared" si="0"/>
        <v>4.6637121403476645E-2</v>
      </c>
      <c r="H25" s="5">
        <f>D25/D26-1</f>
        <v>4.6648661919960865E-2</v>
      </c>
    </row>
    <row r="26" spans="1:8" ht="15" customHeight="1" x14ac:dyDescent="0.2">
      <c r="A26" s="11">
        <v>45077</v>
      </c>
      <c r="B26" s="4">
        <v>417.85</v>
      </c>
      <c r="C26" s="4">
        <v>435.49</v>
      </c>
      <c r="D26" s="4">
        <v>285.11</v>
      </c>
      <c r="F26" s="5">
        <f>B26/B27-1</f>
        <v>4.6161613733080031E-3</v>
      </c>
      <c r="G26" s="5">
        <f t="shared" si="0"/>
        <v>-5.5889175537104041E-2</v>
      </c>
      <c r="H26" s="5">
        <f>D26/D27-1</f>
        <v>-3.5976331360946689E-2</v>
      </c>
    </row>
    <row r="27" spans="1:8" ht="15" customHeight="1" x14ac:dyDescent="0.2">
      <c r="A27" s="12">
        <v>45044</v>
      </c>
      <c r="B27" s="3">
        <v>415.93</v>
      </c>
      <c r="C27" s="3">
        <v>461.27</v>
      </c>
      <c r="D27" s="3">
        <v>295.75</v>
      </c>
      <c r="F27" s="5">
        <f>B27/B28-1</f>
        <v>1.5974987176042399E-2</v>
      </c>
      <c r="G27" s="5">
        <f t="shared" si="0"/>
        <v>-9.7461665078413251E-4</v>
      </c>
      <c r="H27" s="5">
        <f>D27/D28-1</f>
        <v>5.7723257394227678E-2</v>
      </c>
    </row>
    <row r="28" spans="1:8" ht="15" customHeight="1" x14ac:dyDescent="0.2">
      <c r="A28" s="11">
        <v>45016</v>
      </c>
      <c r="B28" s="4">
        <v>409.39</v>
      </c>
      <c r="C28" s="4">
        <v>461.72</v>
      </c>
      <c r="D28" s="4">
        <v>279.61</v>
      </c>
      <c r="F28" s="5">
        <f>B28/B29-1</f>
        <v>3.3134810477968957E-2</v>
      </c>
      <c r="G28" s="5">
        <f t="shared" si="0"/>
        <v>-5.1496412488418741E-3</v>
      </c>
      <c r="H28" s="5">
        <f>D28/D29-1</f>
        <v>5.9489977643893743E-2</v>
      </c>
    </row>
    <row r="29" spans="1:8" ht="15" customHeight="1" x14ac:dyDescent="0.2">
      <c r="A29" s="12">
        <v>44985</v>
      </c>
      <c r="B29" s="3">
        <v>396.26</v>
      </c>
      <c r="C29" s="3">
        <v>464.11</v>
      </c>
      <c r="D29" s="3">
        <v>263.91000000000003</v>
      </c>
      <c r="F29" s="5">
        <f>B29/B30-1</f>
        <v>-2.514268844715617E-2</v>
      </c>
      <c r="G29" s="5">
        <f t="shared" si="0"/>
        <v>3.5867333273814861E-2</v>
      </c>
      <c r="H29" s="5">
        <f>D29/D30-1</f>
        <v>-1.3051608077785937E-2</v>
      </c>
    </row>
    <row r="30" spans="1:8" ht="15" customHeight="1" x14ac:dyDescent="0.2">
      <c r="A30" s="11">
        <v>44957</v>
      </c>
      <c r="B30" s="4">
        <v>406.48</v>
      </c>
      <c r="C30" s="4">
        <v>448.04</v>
      </c>
      <c r="D30" s="4">
        <v>267.39999999999998</v>
      </c>
      <c r="F30" s="5">
        <f>B30/B31-1</f>
        <v>6.2887325785111026E-2</v>
      </c>
      <c r="G30" s="5">
        <f t="shared" si="0"/>
        <v>-0.17882736753358619</v>
      </c>
      <c r="H30" s="5">
        <f>D30/D31-1</f>
        <v>1.4685235077600334E-2</v>
      </c>
    </row>
    <row r="31" spans="1:8" ht="15" customHeight="1" x14ac:dyDescent="0.2">
      <c r="A31" s="12">
        <v>44925</v>
      </c>
      <c r="B31" s="3">
        <v>382.43</v>
      </c>
      <c r="C31" s="3">
        <v>545.61</v>
      </c>
      <c r="D31" s="3">
        <v>263.52999999999997</v>
      </c>
      <c r="F31" s="5">
        <f>B31/B32-1</f>
        <v>-6.1935832025117765E-2</v>
      </c>
      <c r="G31" s="5">
        <f t="shared" si="0"/>
        <v>2.3101877027508655E-2</v>
      </c>
      <c r="H31" s="5">
        <f>D31/D32-1</f>
        <v>-3.3945525862385195E-2</v>
      </c>
    </row>
    <row r="32" spans="1:8" ht="15" customHeight="1" x14ac:dyDescent="0.2">
      <c r="A32" s="11">
        <v>44895</v>
      </c>
      <c r="B32" s="4">
        <v>407.68</v>
      </c>
      <c r="C32" s="4">
        <v>533.29</v>
      </c>
      <c r="D32" s="4">
        <v>272.79000000000002</v>
      </c>
      <c r="F32" s="5">
        <f>B32/B33-1</f>
        <v>5.5591517568162496E-2</v>
      </c>
      <c r="G32" s="5">
        <f t="shared" si="0"/>
        <v>-2.863335822662616E-2</v>
      </c>
      <c r="H32" s="5">
        <f>D32/D33-1</f>
        <v>4.7678427345410057E-4</v>
      </c>
    </row>
    <row r="33" spans="1:14" ht="15" customHeight="1" x14ac:dyDescent="0.2">
      <c r="A33" s="12">
        <v>44865</v>
      </c>
      <c r="B33" s="3">
        <v>386.21</v>
      </c>
      <c r="C33" s="3">
        <v>549.01</v>
      </c>
      <c r="D33" s="3">
        <v>272.66000000000003</v>
      </c>
      <c r="F33" s="5">
        <f>B33/B34-1</f>
        <v>8.1275547343076182E-2</v>
      </c>
      <c r="G33" s="5">
        <f t="shared" si="0"/>
        <v>0.16731161762204461</v>
      </c>
      <c r="H33" s="5">
        <f>D33/D34-1</f>
        <v>0.18167634567045154</v>
      </c>
    </row>
    <row r="34" spans="1:14" ht="15" customHeight="1" x14ac:dyDescent="0.2">
      <c r="A34" s="11">
        <v>44834</v>
      </c>
      <c r="B34" s="4">
        <v>357.18</v>
      </c>
      <c r="C34" s="4">
        <v>470.32</v>
      </c>
      <c r="D34" s="4">
        <v>230.74</v>
      </c>
      <c r="F34" s="5">
        <f>B34/B35-1</f>
        <v>-9.6158712485449716E-2</v>
      </c>
      <c r="G34" s="5">
        <f t="shared" si="0"/>
        <v>-1.6046360802527304E-2</v>
      </c>
      <c r="H34" s="5">
        <f>D34/D35-1</f>
        <v>-8.538132234025686E-2</v>
      </c>
    </row>
    <row r="35" spans="1:14" ht="15" customHeight="1" x14ac:dyDescent="0.2">
      <c r="A35" s="12">
        <v>44804</v>
      </c>
      <c r="B35" s="3">
        <v>395.18</v>
      </c>
      <c r="C35" s="3">
        <v>477.99</v>
      </c>
      <c r="D35" s="3">
        <v>252.28</v>
      </c>
      <c r="F35" s="5">
        <f>B35/B36-1</f>
        <v>-4.0801961212650784E-2</v>
      </c>
      <c r="G35" s="5">
        <f t="shared" si="0"/>
        <v>-1.9001879306743685E-3</v>
      </c>
      <c r="H35" s="5">
        <f>D35/D36-1</f>
        <v>-4.2108060902912303E-2</v>
      </c>
    </row>
    <row r="36" spans="1:14" ht="15" customHeight="1" x14ac:dyDescent="0.2">
      <c r="A36" s="11">
        <v>44771</v>
      </c>
      <c r="B36" s="4">
        <v>411.99</v>
      </c>
      <c r="C36" s="4">
        <v>478.9</v>
      </c>
      <c r="D36" s="4">
        <v>263.37</v>
      </c>
      <c r="F36" s="5">
        <f>B36/B37-1</f>
        <v>9.2087475149105424E-2</v>
      </c>
      <c r="G36" s="5">
        <f t="shared" si="0"/>
        <v>6.8955429717698635E-4</v>
      </c>
      <c r="H36" s="5">
        <f>D36/D37-1</f>
        <v>6.679358392741408E-2</v>
      </c>
    </row>
    <row r="37" spans="1:14" ht="15" customHeight="1" x14ac:dyDescent="0.2">
      <c r="A37" s="12">
        <v>44742</v>
      </c>
      <c r="B37" s="3">
        <v>377.25</v>
      </c>
      <c r="C37" s="3">
        <v>478.57</v>
      </c>
      <c r="D37" s="3">
        <v>246.88</v>
      </c>
      <c r="F37" s="5">
        <f>B37/B38-1</f>
        <v>-8.6406897052769271E-2</v>
      </c>
      <c r="G37" s="5">
        <f t="shared" si="0"/>
        <v>2.2651024638331352E-2</v>
      </c>
      <c r="H37" s="5">
        <f>D37/D38-1</f>
        <v>-2.1133182665239336E-2</v>
      </c>
    </row>
    <row r="38" spans="1:14" ht="15" customHeight="1" x14ac:dyDescent="0.2">
      <c r="A38" s="11">
        <v>44712</v>
      </c>
      <c r="B38" s="4">
        <v>412.93</v>
      </c>
      <c r="C38" s="4">
        <v>467.97</v>
      </c>
      <c r="D38" s="4">
        <v>252.21</v>
      </c>
      <c r="F38" s="5">
        <f>B38/B39-1</f>
        <v>2.257281553398105E-3</v>
      </c>
      <c r="G38" s="5">
        <f t="shared" si="0"/>
        <v>6.5020482476103814E-2</v>
      </c>
      <c r="H38" s="5">
        <f>D38/D39-1</f>
        <v>1.2241130197463423E-2</v>
      </c>
    </row>
    <row r="39" spans="1:14" ht="15" customHeight="1" x14ac:dyDescent="0.2">
      <c r="A39" s="12">
        <v>44680</v>
      </c>
      <c r="B39" s="3">
        <v>412</v>
      </c>
      <c r="C39" s="3">
        <v>439.4</v>
      </c>
      <c r="D39" s="3">
        <v>249.16</v>
      </c>
      <c r="F39" s="5">
        <f>B39/B40-1</f>
        <v>-8.776901957311134E-2</v>
      </c>
      <c r="G39" s="5">
        <f t="shared" si="0"/>
        <v>-1.7485801171682969E-2</v>
      </c>
      <c r="H39" s="5">
        <f>D39/D40-1</f>
        <v>7.6027175671302683E-3</v>
      </c>
    </row>
    <row r="40" spans="1:14" ht="15" customHeight="1" x14ac:dyDescent="0.2">
      <c r="A40" s="11">
        <v>44651</v>
      </c>
      <c r="B40" s="4">
        <v>451.64</v>
      </c>
      <c r="C40" s="4">
        <v>447.22</v>
      </c>
      <c r="D40" s="4">
        <v>247.28</v>
      </c>
      <c r="F40" s="5">
        <f>B40/B41-1</f>
        <v>3.4376932414172057E-2</v>
      </c>
      <c r="G40" s="5">
        <f t="shared" si="0"/>
        <v>1.1489573438277612E-2</v>
      </c>
      <c r="H40" s="5">
        <f>D40/D41-1</f>
        <v>1.0254524655799235E-2</v>
      </c>
    </row>
    <row r="41" spans="1:14" ht="15" customHeight="1" x14ac:dyDescent="0.2">
      <c r="A41" s="12">
        <v>44620</v>
      </c>
      <c r="B41" s="3">
        <v>436.63</v>
      </c>
      <c r="C41" s="3">
        <v>442.14</v>
      </c>
      <c r="D41" s="3">
        <v>244.77</v>
      </c>
      <c r="F41" s="5">
        <f>B41/B42-1</f>
        <v>-2.9517014514014006E-2</v>
      </c>
      <c r="G41" s="5">
        <f t="shared" si="0"/>
        <v>0.19529602595296036</v>
      </c>
      <c r="H41" s="5">
        <f>D41/D42-1</f>
        <v>-5.6581229523993026E-2</v>
      </c>
      <c r="J41" t="s">
        <v>51</v>
      </c>
    </row>
    <row r="42" spans="1:14" ht="15" customHeight="1" x14ac:dyDescent="0.2">
      <c r="A42" s="11">
        <v>44592</v>
      </c>
      <c r="B42" s="4">
        <v>449.91</v>
      </c>
      <c r="C42" s="4">
        <v>369.9</v>
      </c>
      <c r="D42" s="4">
        <v>259.45</v>
      </c>
      <c r="F42" s="5">
        <f>B42/B43-1</f>
        <v>-5.2741283476503198E-2</v>
      </c>
      <c r="G42" s="5">
        <f t="shared" si="0"/>
        <v>-4.4358901490686442E-2</v>
      </c>
      <c r="H42" s="5">
        <f>D42/D43-1</f>
        <v>-3.2155780206662432E-2</v>
      </c>
      <c r="L42" s="7" t="s">
        <v>49</v>
      </c>
      <c r="M42" s="7" t="s">
        <v>21</v>
      </c>
      <c r="N42" s="7" t="s">
        <v>4</v>
      </c>
    </row>
    <row r="43" spans="1:14" ht="15" customHeight="1" x14ac:dyDescent="0.2">
      <c r="A43" s="12">
        <v>44561</v>
      </c>
      <c r="B43" s="3">
        <v>474.96</v>
      </c>
      <c r="C43" s="3">
        <v>387.07</v>
      </c>
      <c r="D43" s="3">
        <v>268.07</v>
      </c>
      <c r="F43" s="5">
        <f>B43/B44-1</f>
        <v>4.2584950390727849E-2</v>
      </c>
      <c r="G43" s="5">
        <f t="shared" si="0"/>
        <v>0.10971903669724759</v>
      </c>
      <c r="H43" s="5">
        <f>D43/D44-1</f>
        <v>9.5952575633687642E-2</v>
      </c>
      <c r="K43" s="2" t="s">
        <v>49</v>
      </c>
      <c r="L43" s="22">
        <f>CORREL($F$4:$F$122,F4:F122)</f>
        <v>1</v>
      </c>
      <c r="M43" s="21">
        <f>CORREL($F$4:$F$122,G4:G122)</f>
        <v>0.32387539621684924</v>
      </c>
      <c r="N43" s="21">
        <f>CORREL($F$4:$F$122,H4:H122)</f>
        <v>0.5520785485173757</v>
      </c>
    </row>
    <row r="44" spans="1:14" ht="15" customHeight="1" x14ac:dyDescent="0.2">
      <c r="A44" s="11">
        <v>44530</v>
      </c>
      <c r="B44" s="4">
        <v>455.56</v>
      </c>
      <c r="C44" s="4">
        <v>348.8</v>
      </c>
      <c r="D44" s="4">
        <v>244.6</v>
      </c>
      <c r="F44" s="5">
        <f>B44/B45-1</f>
        <v>-8.0348394120849376E-3</v>
      </c>
      <c r="G44" s="5">
        <f t="shared" si="0"/>
        <v>-2.3570908683724356E-2</v>
      </c>
      <c r="H44" s="5">
        <f>D44/D45-1</f>
        <v>-3.8688658114437446E-3</v>
      </c>
      <c r="K44" s="2" t="s">
        <v>21</v>
      </c>
      <c r="L44" s="21">
        <f>CORREL($G$4:$G$122,F4:F122)</f>
        <v>0.32387539621684924</v>
      </c>
      <c r="M44" s="22">
        <f>CORREL($G$4:$G$122,G4:G122)</f>
        <v>1</v>
      </c>
      <c r="N44" s="21">
        <f>CORREL($G$4:$G$122,H4:H122)</f>
        <v>0.39119075216928628</v>
      </c>
    </row>
    <row r="45" spans="1:14" ht="15" customHeight="1" x14ac:dyDescent="0.2">
      <c r="A45" s="12">
        <v>44498</v>
      </c>
      <c r="B45" s="3">
        <v>459.25</v>
      </c>
      <c r="C45" s="3">
        <v>357.22</v>
      </c>
      <c r="D45" s="3">
        <v>245.55</v>
      </c>
      <c r="F45" s="5">
        <f>B45/B46-1</f>
        <v>7.016358297991343E-2</v>
      </c>
      <c r="G45" s="5">
        <f t="shared" si="0"/>
        <v>-8.1354990975980312E-3</v>
      </c>
      <c r="H45" s="5">
        <f>D45/D46-1</f>
        <v>1.8414831404752974E-2</v>
      </c>
      <c r="K45" s="2" t="s">
        <v>4</v>
      </c>
      <c r="L45" s="21">
        <f>CORREL($H$4:$H$122,F4:F122)</f>
        <v>0.5520785485173757</v>
      </c>
      <c r="M45" s="21">
        <f>CORREL($H$4:$H$122,G4:G122)</f>
        <v>0.39119075216928628</v>
      </c>
      <c r="N45" s="22">
        <f>CORREL($H$4:$H$122,H4:H122)</f>
        <v>1</v>
      </c>
    </row>
    <row r="46" spans="1:14" ht="15" customHeight="1" x14ac:dyDescent="0.2">
      <c r="A46" s="11">
        <v>44469</v>
      </c>
      <c r="B46" s="4">
        <v>429.14</v>
      </c>
      <c r="C46" s="4">
        <v>360.15</v>
      </c>
      <c r="D46" s="4">
        <v>241.11</v>
      </c>
      <c r="F46" s="5">
        <f>B46/B47-1</f>
        <v>-4.9650101869076146E-2</v>
      </c>
      <c r="G46" s="5">
        <f t="shared" si="0"/>
        <v>-2.0533043241773186E-2</v>
      </c>
      <c r="H46" s="5">
        <f>D46/D47-1</f>
        <v>1.5371009854291184E-2</v>
      </c>
    </row>
    <row r="47" spans="1:14" ht="15" customHeight="1" x14ac:dyDescent="0.2">
      <c r="A47" s="12">
        <v>44439</v>
      </c>
      <c r="B47" s="3">
        <v>451.56</v>
      </c>
      <c r="C47" s="3">
        <v>367.7</v>
      </c>
      <c r="D47" s="3">
        <v>237.46</v>
      </c>
      <c r="F47" s="5">
        <f>B47/B48-1</f>
        <v>2.9759868646097143E-2</v>
      </c>
      <c r="G47" s="5">
        <f t="shared" si="0"/>
        <v>1.2891851688612288E-2</v>
      </c>
      <c r="H47" s="5">
        <f>D47/D48-1</f>
        <v>-2.1630752750195659E-2</v>
      </c>
    </row>
    <row r="48" spans="1:14" ht="15" customHeight="1" x14ac:dyDescent="0.2">
      <c r="A48" s="11">
        <v>44407</v>
      </c>
      <c r="B48" s="4">
        <v>438.51</v>
      </c>
      <c r="C48" s="4">
        <v>363.02</v>
      </c>
      <c r="D48" s="4">
        <v>242.71</v>
      </c>
      <c r="F48" s="5">
        <f>B48/B49-1</f>
        <v>2.4412465542213768E-2</v>
      </c>
      <c r="G48" s="5">
        <f t="shared" si="0"/>
        <v>-1.1281402195746359E-3</v>
      </c>
      <c r="H48" s="5">
        <f>D48/D49-1</f>
        <v>5.0738127191653382E-2</v>
      </c>
      <c r="J48" t="s">
        <v>52</v>
      </c>
    </row>
    <row r="49" spans="1:14" ht="15" customHeight="1" x14ac:dyDescent="0.2">
      <c r="A49" s="12">
        <v>44377</v>
      </c>
      <c r="B49" s="3">
        <v>428.06</v>
      </c>
      <c r="C49" s="3">
        <v>363.43</v>
      </c>
      <c r="D49" s="3">
        <v>230.99</v>
      </c>
      <c r="F49" s="5">
        <f>B49/B50-1</f>
        <v>1.9093419674316658E-2</v>
      </c>
      <c r="G49" s="5">
        <f t="shared" si="0"/>
        <v>-6.6690354497499493E-3</v>
      </c>
      <c r="H49" s="5">
        <f>D49/D50-1</f>
        <v>-1.2398990978665037E-2</v>
      </c>
      <c r="L49" s="7" t="s">
        <v>49</v>
      </c>
      <c r="M49" s="7" t="s">
        <v>21</v>
      </c>
      <c r="N49" s="7" t="s">
        <v>4</v>
      </c>
    </row>
    <row r="50" spans="1:14" ht="15" customHeight="1" x14ac:dyDescent="0.2">
      <c r="A50" s="11">
        <v>44344</v>
      </c>
      <c r="B50" s="4">
        <v>420.04</v>
      </c>
      <c r="C50" s="4">
        <v>365.87</v>
      </c>
      <c r="D50" s="4">
        <v>233.89</v>
      </c>
      <c r="F50" s="5">
        <f>B50/B51-1</f>
        <v>6.5660196501318158E-3</v>
      </c>
      <c r="G50" s="5">
        <f t="shared" si="0"/>
        <v>3.2248053267125654E-2</v>
      </c>
      <c r="H50" s="5">
        <f>D50/D51-1</f>
        <v>-9.2765164351068519E-3</v>
      </c>
      <c r="K50" s="2" t="s">
        <v>49</v>
      </c>
      <c r="L50" s="26">
        <f>_xlfn.COVARIANCE.P($F$4:$F$122,F4:F122)</f>
        <v>2.0017848463674951E-3</v>
      </c>
      <c r="M50" s="25">
        <f>_xlfn.COVARIANCE.P($F$4:$F$122,G4:G122)</f>
        <v>8.8532359101427889E-4</v>
      </c>
      <c r="N50" s="25">
        <f>_xlfn.COVARIANCE.P($F$4:$F$122,H4:H122)</f>
        <v>1.2198639114852105E-3</v>
      </c>
    </row>
    <row r="51" spans="1:14" ht="15" customHeight="1" x14ac:dyDescent="0.2">
      <c r="A51" s="12">
        <v>44316</v>
      </c>
      <c r="B51" s="3">
        <v>417.3</v>
      </c>
      <c r="C51" s="3">
        <v>354.44</v>
      </c>
      <c r="D51" s="3">
        <v>236.08</v>
      </c>
      <c r="F51" s="5">
        <f>B51/B52-1</f>
        <v>5.2910453410037084E-2</v>
      </c>
      <c r="G51" s="5">
        <f t="shared" si="0"/>
        <v>9.5167470028426626E-2</v>
      </c>
      <c r="H51" s="5">
        <f>D51/D52-1</f>
        <v>5.3270277505130803E-2</v>
      </c>
      <c r="K51" s="2" t="s">
        <v>21</v>
      </c>
      <c r="L51" s="25">
        <f>_xlfn.COVARIANCE.P($G$4:$G$122,F4:F122)</f>
        <v>8.8532359101427889E-4</v>
      </c>
      <c r="M51" s="26">
        <f>_xlfn.COVARIANCE.P($G$4:$G$122,G4:G122)</f>
        <v>3.7327659679880789E-3</v>
      </c>
      <c r="N51" s="25">
        <f>_xlfn.COVARIANCE.P($G$4:$G$122,H4:H122)</f>
        <v>1.1803363241421284E-3</v>
      </c>
    </row>
    <row r="52" spans="1:14" ht="15" customHeight="1" x14ac:dyDescent="0.2">
      <c r="A52" s="11">
        <v>44286</v>
      </c>
      <c r="B52" s="4">
        <v>396.33</v>
      </c>
      <c r="C52" s="4">
        <v>323.64</v>
      </c>
      <c r="D52" s="4">
        <v>224.14</v>
      </c>
      <c r="F52" s="5">
        <f>B52/B53-1</f>
        <v>4.1986539068251005E-2</v>
      </c>
      <c r="G52" s="5">
        <f t="shared" si="0"/>
        <v>0.10964822053075474</v>
      </c>
      <c r="H52" s="5">
        <f>D52/D53-1</f>
        <v>8.7319297564761866E-2</v>
      </c>
      <c r="K52" s="2" t="s">
        <v>4</v>
      </c>
      <c r="L52" s="25">
        <f>_xlfn.COVARIANCE.P($H$4:$H$122,F4:F122)</f>
        <v>1.2198639114852105E-3</v>
      </c>
      <c r="M52" s="25">
        <f>_xlfn.COVARIANCE.P($H$4:$H$122,G4:G122)</f>
        <v>1.1803363241421284E-3</v>
      </c>
      <c r="N52" s="26">
        <f>_xlfn.COVARIANCE.P($H$4:$H$122,H4:H122)</f>
        <v>2.4389540830751996E-3</v>
      </c>
    </row>
    <row r="53" spans="1:14" ht="15" customHeight="1" x14ac:dyDescent="0.2">
      <c r="A53" s="12">
        <v>44253</v>
      </c>
      <c r="B53" s="3">
        <v>380.36</v>
      </c>
      <c r="C53" s="3">
        <v>291.66000000000003</v>
      </c>
      <c r="D53" s="3">
        <v>206.14</v>
      </c>
      <c r="F53" s="5">
        <f>B53/B54-1</f>
        <v>2.7805550301294391E-2</v>
      </c>
      <c r="G53" s="5">
        <f t="shared" si="0"/>
        <v>1.7619762045985921E-2</v>
      </c>
      <c r="H53" s="5">
        <f>D53/D54-1</f>
        <v>-8.1793687451886532E-3</v>
      </c>
    </row>
    <row r="54" spans="1:14" ht="15" customHeight="1" x14ac:dyDescent="0.2">
      <c r="A54" s="11">
        <v>44225</v>
      </c>
      <c r="B54" s="4">
        <v>370.07</v>
      </c>
      <c r="C54" s="4">
        <v>286.61</v>
      </c>
      <c r="D54" s="4">
        <v>207.84</v>
      </c>
      <c r="F54" s="5">
        <f>B54/B55-1</f>
        <v>-1.0190435433829026E-2</v>
      </c>
      <c r="G54" s="5">
        <f t="shared" si="0"/>
        <v>-5.9431609346285108E-2</v>
      </c>
      <c r="H54" s="5">
        <f>D54/D55-1</f>
        <v>-3.1410196663249179E-2</v>
      </c>
    </row>
    <row r="55" spans="1:14" ht="15" customHeight="1" x14ac:dyDescent="0.2">
      <c r="A55" s="12">
        <v>44196</v>
      </c>
      <c r="B55" s="3">
        <v>373.88</v>
      </c>
      <c r="C55" s="3">
        <v>304.72000000000003</v>
      </c>
      <c r="D55" s="3">
        <v>214.58</v>
      </c>
      <c r="F55" s="5">
        <f>B55/B56-1</f>
        <v>3.2646522675799483E-2</v>
      </c>
      <c r="G55" s="5">
        <f t="shared" si="0"/>
        <v>8.1386885462848557E-3</v>
      </c>
      <c r="H55" s="5">
        <f>D55/D56-1</f>
        <v>-1.3153053715967533E-2</v>
      </c>
    </row>
    <row r="56" spans="1:14" ht="15" customHeight="1" x14ac:dyDescent="0.2">
      <c r="A56" s="11">
        <v>44165</v>
      </c>
      <c r="B56" s="4">
        <v>362.06</v>
      </c>
      <c r="C56" s="4">
        <v>302.26</v>
      </c>
      <c r="D56" s="4">
        <v>217.44</v>
      </c>
      <c r="F56" s="5">
        <f>B56/B57-1</f>
        <v>0.10877687266491076</v>
      </c>
      <c r="G56" s="5">
        <f t="shared" si="0"/>
        <v>4.2923193706438489E-2</v>
      </c>
      <c r="H56" s="5">
        <f>D56/D57-1</f>
        <v>2.0845070422535139E-2</v>
      </c>
    </row>
    <row r="57" spans="1:14" ht="15" customHeight="1" x14ac:dyDescent="0.2">
      <c r="A57" s="12">
        <v>44134</v>
      </c>
      <c r="B57" s="3">
        <v>326.54000000000002</v>
      </c>
      <c r="C57" s="3">
        <v>289.82</v>
      </c>
      <c r="D57" s="3">
        <v>213</v>
      </c>
      <c r="F57" s="5">
        <f>B57/B58-1</f>
        <v>-2.4933560273522559E-2</v>
      </c>
      <c r="G57" s="5">
        <f t="shared" si="0"/>
        <v>-8.1365494944372285E-2</v>
      </c>
      <c r="H57" s="5">
        <f>D57/D58-1</f>
        <v>-2.9568545264021195E-2</v>
      </c>
    </row>
    <row r="58" spans="1:14" ht="15" customHeight="1" x14ac:dyDescent="0.2">
      <c r="A58" s="11">
        <v>44104</v>
      </c>
      <c r="B58" s="4">
        <v>334.89</v>
      </c>
      <c r="C58" s="4">
        <v>315.49</v>
      </c>
      <c r="D58" s="4">
        <v>219.49</v>
      </c>
      <c r="F58" s="5">
        <f>B58/B59-1</f>
        <v>-4.1281383298502838E-2</v>
      </c>
      <c r="G58" s="5">
        <f t="shared" si="0"/>
        <v>-7.9157059046729539E-2</v>
      </c>
      <c r="H58" s="5">
        <f>D58/D59-1</f>
        <v>2.7959910078681149E-2</v>
      </c>
    </row>
    <row r="59" spans="1:14" ht="15" customHeight="1" x14ac:dyDescent="0.2">
      <c r="A59" s="12">
        <v>44074</v>
      </c>
      <c r="B59" s="3">
        <v>349.31</v>
      </c>
      <c r="C59" s="3">
        <v>342.61</v>
      </c>
      <c r="D59" s="3">
        <v>213.52</v>
      </c>
      <c r="F59" s="5">
        <f>B59/B60-1</f>
        <v>6.9796643390910296E-2</v>
      </c>
      <c r="G59" s="5">
        <f t="shared" si="0"/>
        <v>5.4152179932925204E-2</v>
      </c>
      <c r="H59" s="5">
        <f>D59/D60-1</f>
        <v>9.9032324480131884E-2</v>
      </c>
    </row>
    <row r="60" spans="1:14" ht="15" customHeight="1" x14ac:dyDescent="0.2">
      <c r="A60" s="11">
        <v>44043</v>
      </c>
      <c r="B60" s="4">
        <v>326.52</v>
      </c>
      <c r="C60" s="4">
        <v>325.01</v>
      </c>
      <c r="D60" s="4">
        <v>194.28</v>
      </c>
      <c r="F60" s="5">
        <f>B60/B61-1</f>
        <v>5.8892203917498831E-2</v>
      </c>
      <c r="G60" s="5">
        <f t="shared" si="0"/>
        <v>5.7149362477231236E-2</v>
      </c>
      <c r="H60" s="5">
        <f>D60/D61-1</f>
        <v>5.3179378760774165E-2</v>
      </c>
    </row>
    <row r="61" spans="1:14" ht="15" customHeight="1" x14ac:dyDescent="0.2">
      <c r="A61" s="12">
        <v>44012</v>
      </c>
      <c r="B61" s="3">
        <v>308.36</v>
      </c>
      <c r="C61" s="3">
        <v>307.44</v>
      </c>
      <c r="D61" s="3">
        <v>184.47</v>
      </c>
      <c r="F61" s="5">
        <f>B61/B62-1</f>
        <v>1.3275499474237673E-2</v>
      </c>
      <c r="G61" s="5">
        <f t="shared" si="0"/>
        <v>-8.2816229116945084E-2</v>
      </c>
      <c r="H61" s="5">
        <f>D61/D62-1</f>
        <v>-9.9291541434091135E-3</v>
      </c>
    </row>
    <row r="62" spans="1:14" ht="15" customHeight="1" x14ac:dyDescent="0.2">
      <c r="A62" s="11">
        <v>43980</v>
      </c>
      <c r="B62" s="4">
        <v>304.32</v>
      </c>
      <c r="C62" s="4">
        <v>335.2</v>
      </c>
      <c r="D62" s="4">
        <v>186.32</v>
      </c>
      <c r="F62" s="5">
        <f>B62/B63-1</f>
        <v>4.7645276783255142E-2</v>
      </c>
      <c r="G62" s="5">
        <f t="shared" si="0"/>
        <v>1.3699458674811593E-2</v>
      </c>
      <c r="H62" s="5">
        <f>D62/D63-1</f>
        <v>-6.6112177436553621E-3</v>
      </c>
    </row>
    <row r="63" spans="1:14" ht="15" customHeight="1" x14ac:dyDescent="0.2">
      <c r="A63" s="12">
        <v>43951</v>
      </c>
      <c r="B63" s="3">
        <v>290.48</v>
      </c>
      <c r="C63" s="3">
        <v>330.67</v>
      </c>
      <c r="D63" s="3">
        <v>187.56</v>
      </c>
      <c r="F63" s="5">
        <f>B63/B64-1</f>
        <v>0.12698351115421924</v>
      </c>
      <c r="G63" s="5">
        <f t="shared" si="0"/>
        <v>9.2943315154520034E-2</v>
      </c>
      <c r="H63" s="5">
        <f>D63/D64-1</f>
        <v>0.13432113698215908</v>
      </c>
    </row>
    <row r="64" spans="1:14" ht="15" customHeight="1" x14ac:dyDescent="0.2">
      <c r="A64" s="11">
        <v>43921</v>
      </c>
      <c r="B64" s="4">
        <v>257.75</v>
      </c>
      <c r="C64" s="4">
        <v>302.55</v>
      </c>
      <c r="D64" s="4">
        <v>165.35</v>
      </c>
      <c r="F64" s="29">
        <f>B64/B65-1</f>
        <v>-0.129987173428745</v>
      </c>
      <c r="G64" s="5">
        <f t="shared" si="0"/>
        <v>-7.9947694927624324E-2</v>
      </c>
      <c r="H64" s="28">
        <f>D64/D65-1</f>
        <v>-0.14842663645259302</v>
      </c>
    </row>
    <row r="65" spans="1:8" ht="15" customHeight="1" x14ac:dyDescent="0.2">
      <c r="A65" s="12">
        <v>43889</v>
      </c>
      <c r="B65" s="3">
        <v>296.26</v>
      </c>
      <c r="C65" s="3">
        <v>328.84</v>
      </c>
      <c r="D65" s="3">
        <v>194.17</v>
      </c>
      <c r="F65" s="5">
        <f>B65/B66-1</f>
        <v>-7.9165760109408567E-2</v>
      </c>
      <c r="G65" s="5">
        <f t="shared" si="0"/>
        <v>-0.12208665936941032</v>
      </c>
      <c r="H65" s="5">
        <f>D65/D66-1</f>
        <v>-9.2536336869654678E-2</v>
      </c>
    </row>
    <row r="66" spans="1:8" ht="15" customHeight="1" x14ac:dyDescent="0.2">
      <c r="A66" s="11">
        <v>43861</v>
      </c>
      <c r="B66" s="4">
        <v>321.73</v>
      </c>
      <c r="C66" s="4">
        <v>374.57</v>
      </c>
      <c r="D66" s="4">
        <v>213.97</v>
      </c>
      <c r="F66" s="5">
        <f>B66/B67-1</f>
        <v>-4.0390231777787111E-4</v>
      </c>
      <c r="G66" s="5">
        <f t="shared" si="0"/>
        <v>8.8961246620344658E-2</v>
      </c>
      <c r="H66" s="5">
        <f>D66/D67-1</f>
        <v>8.2789332523657722E-2</v>
      </c>
    </row>
    <row r="67" spans="1:8" ht="15" customHeight="1" x14ac:dyDescent="0.2">
      <c r="A67" s="12">
        <v>43830</v>
      </c>
      <c r="B67" s="3">
        <v>321.86</v>
      </c>
      <c r="C67" s="3">
        <v>343.97</v>
      </c>
      <c r="D67" s="3">
        <v>197.61</v>
      </c>
      <c r="F67" s="5">
        <f>B67/B68-1</f>
        <v>2.4020871114504905E-2</v>
      </c>
      <c r="G67" s="5">
        <f t="shared" si="0"/>
        <v>-2.2173579327401272E-2</v>
      </c>
      <c r="H67" s="5">
        <f>D67/D68-1</f>
        <v>1.6094199917729535E-2</v>
      </c>
    </row>
    <row r="68" spans="1:8" ht="15" customHeight="1" x14ac:dyDescent="0.2">
      <c r="A68" s="11">
        <v>43798</v>
      </c>
      <c r="B68" s="4">
        <v>314.31</v>
      </c>
      <c r="C68" s="4">
        <v>351.77</v>
      </c>
      <c r="D68" s="4">
        <v>194.48</v>
      </c>
      <c r="F68" s="5">
        <f>B68/B69-1</f>
        <v>3.619819998021967E-2</v>
      </c>
      <c r="G68" s="5">
        <f t="shared" si="0"/>
        <v>-2.0142986836133581E-3</v>
      </c>
      <c r="H68" s="5">
        <f>D68/D69-1</f>
        <v>-1.1286222674123048E-2</v>
      </c>
    </row>
    <row r="69" spans="1:8" ht="15" customHeight="1" x14ac:dyDescent="0.2">
      <c r="A69" s="12">
        <v>43769</v>
      </c>
      <c r="B69" s="3">
        <v>303.33</v>
      </c>
      <c r="C69" s="3">
        <v>352.48</v>
      </c>
      <c r="D69" s="3">
        <v>196.7</v>
      </c>
      <c r="F69" s="5">
        <f t="shared" ref="F69:F122" si="1">B69/B70-1</f>
        <v>2.2104660174546042E-2</v>
      </c>
      <c r="G69" s="5">
        <f t="shared" ref="G69:G122" si="2">C69/C70-1</f>
        <v>-5.9526668267563143E-2</v>
      </c>
      <c r="H69" s="5">
        <f t="shared" ref="H69:H122" si="3">D69/D70-1</f>
        <v>-8.3880583112104778E-2</v>
      </c>
    </row>
    <row r="70" spans="1:8" ht="15" customHeight="1" x14ac:dyDescent="0.2">
      <c r="A70" s="11">
        <v>43738</v>
      </c>
      <c r="B70" s="4">
        <v>296.77</v>
      </c>
      <c r="C70" s="4">
        <v>374.79</v>
      </c>
      <c r="D70" s="4">
        <v>214.71</v>
      </c>
      <c r="F70" s="5">
        <f t="shared" si="1"/>
        <v>1.4771755855701896E-2</v>
      </c>
      <c r="G70" s="5">
        <f t="shared" si="2"/>
        <v>1.8810993013836486E-2</v>
      </c>
      <c r="H70" s="5">
        <f t="shared" si="3"/>
        <v>-1.4956186631187696E-2</v>
      </c>
    </row>
    <row r="71" spans="1:8" ht="15" customHeight="1" x14ac:dyDescent="0.2">
      <c r="A71" s="12">
        <v>43707</v>
      </c>
      <c r="B71" s="3">
        <v>292.45</v>
      </c>
      <c r="C71" s="3">
        <v>367.87</v>
      </c>
      <c r="D71" s="3">
        <v>217.97</v>
      </c>
      <c r="F71" s="5">
        <f t="shared" si="1"/>
        <v>-1.6743435430185305E-2</v>
      </c>
      <c r="G71" s="5">
        <f t="shared" si="2"/>
        <v>6.4531064617877831E-2</v>
      </c>
      <c r="H71" s="5">
        <f t="shared" si="3"/>
        <v>3.4405846621108571E-2</v>
      </c>
    </row>
    <row r="72" spans="1:8" ht="15" customHeight="1" x14ac:dyDescent="0.2">
      <c r="A72" s="11">
        <v>43677</v>
      </c>
      <c r="B72" s="4">
        <v>297.43</v>
      </c>
      <c r="C72" s="4">
        <v>345.57</v>
      </c>
      <c r="D72" s="4">
        <v>210.72</v>
      </c>
      <c r="F72" s="5">
        <f t="shared" si="1"/>
        <v>1.511945392491465E-2</v>
      </c>
      <c r="G72" s="5">
        <f t="shared" si="2"/>
        <v>6.9511930921357878E-2</v>
      </c>
      <c r="H72" s="5">
        <f t="shared" si="3"/>
        <v>1.4735625541751007E-2</v>
      </c>
    </row>
    <row r="73" spans="1:8" ht="15" customHeight="1" x14ac:dyDescent="0.2">
      <c r="A73" s="12">
        <v>43644</v>
      </c>
      <c r="B73" s="3">
        <v>293</v>
      </c>
      <c r="C73" s="3">
        <v>323.11</v>
      </c>
      <c r="D73" s="3">
        <v>207.66</v>
      </c>
      <c r="F73" s="5">
        <f t="shared" si="1"/>
        <v>6.4409488865477593E-2</v>
      </c>
      <c r="G73" s="5">
        <f t="shared" si="2"/>
        <v>6.5490519373454292E-2</v>
      </c>
      <c r="H73" s="5">
        <f t="shared" si="3"/>
        <v>4.73596610682403E-2</v>
      </c>
    </row>
    <row r="74" spans="1:8" ht="15" customHeight="1" x14ac:dyDescent="0.2">
      <c r="A74" s="11">
        <v>43616</v>
      </c>
      <c r="B74" s="4">
        <v>275.27</v>
      </c>
      <c r="C74" s="4">
        <v>303.25</v>
      </c>
      <c r="D74" s="4">
        <v>198.27</v>
      </c>
      <c r="F74" s="5">
        <f t="shared" si="1"/>
        <v>-6.3771172029113643E-2</v>
      </c>
      <c r="G74" s="5">
        <f t="shared" si="2"/>
        <v>4.6014280293884324E-2</v>
      </c>
      <c r="H74" s="5">
        <f t="shared" si="3"/>
        <v>3.543048033608498E-3</v>
      </c>
    </row>
    <row r="75" spans="1:8" ht="15" customHeight="1" x14ac:dyDescent="0.2">
      <c r="A75" s="12">
        <v>43585</v>
      </c>
      <c r="B75" s="3">
        <v>294.02</v>
      </c>
      <c r="C75" s="3">
        <v>289.91000000000003</v>
      </c>
      <c r="D75" s="3">
        <v>197.57</v>
      </c>
      <c r="F75" s="5">
        <f t="shared" si="1"/>
        <v>4.0852449730954365E-2</v>
      </c>
      <c r="G75" s="5">
        <f t="shared" si="2"/>
        <v>7.5333827893174998E-2</v>
      </c>
      <c r="H75" s="5">
        <f t="shared" si="3"/>
        <v>4.0389678778304239E-2</v>
      </c>
    </row>
    <row r="76" spans="1:8" ht="15" customHeight="1" x14ac:dyDescent="0.2">
      <c r="A76" s="11">
        <v>43553</v>
      </c>
      <c r="B76" s="4">
        <v>282.48</v>
      </c>
      <c r="C76" s="4">
        <v>269.60000000000002</v>
      </c>
      <c r="D76" s="4">
        <v>189.9</v>
      </c>
      <c r="F76" s="5">
        <f t="shared" si="1"/>
        <v>1.3635711209990076E-2</v>
      </c>
      <c r="G76" s="5">
        <f t="shared" si="2"/>
        <v>-7.021658159746158E-2</v>
      </c>
      <c r="H76" s="5">
        <f t="shared" si="3"/>
        <v>3.2963446475195779E-2</v>
      </c>
    </row>
    <row r="77" spans="1:8" ht="15" customHeight="1" x14ac:dyDescent="0.2">
      <c r="A77" s="12">
        <v>43524</v>
      </c>
      <c r="B77" s="3">
        <v>278.68</v>
      </c>
      <c r="C77" s="3">
        <v>289.95999999999998</v>
      </c>
      <c r="D77" s="3">
        <v>183.84</v>
      </c>
      <c r="F77" s="5">
        <f t="shared" si="1"/>
        <v>3.241581150668682E-2</v>
      </c>
      <c r="G77" s="5">
        <f t="shared" si="2"/>
        <v>5.2295409181636554E-2</v>
      </c>
      <c r="H77" s="5">
        <f t="shared" si="3"/>
        <v>2.8302942163553002E-2</v>
      </c>
    </row>
    <row r="78" spans="1:8" ht="15" customHeight="1" x14ac:dyDescent="0.2">
      <c r="A78" s="11">
        <v>43496</v>
      </c>
      <c r="B78" s="4">
        <v>269.93</v>
      </c>
      <c r="C78" s="4">
        <v>275.55</v>
      </c>
      <c r="D78" s="4">
        <v>178.78</v>
      </c>
      <c r="F78" s="5">
        <f t="shared" si="1"/>
        <v>8.0065620998719611E-2</v>
      </c>
      <c r="G78" s="5">
        <f t="shared" si="2"/>
        <v>0.12515312372396892</v>
      </c>
      <c r="H78" s="5">
        <f t="shared" si="3"/>
        <v>6.814214112744299E-3</v>
      </c>
    </row>
    <row r="79" spans="1:8" ht="15" customHeight="1" x14ac:dyDescent="0.2">
      <c r="A79" s="12">
        <v>43465</v>
      </c>
      <c r="B79" s="3">
        <v>249.92</v>
      </c>
      <c r="C79" s="3">
        <v>244.9</v>
      </c>
      <c r="D79" s="3">
        <v>177.57</v>
      </c>
      <c r="F79" s="5">
        <f t="shared" si="1"/>
        <v>-9.3343007436967107E-2</v>
      </c>
      <c r="G79" s="5">
        <f t="shared" si="2"/>
        <v>-5.7641988610127703E-2</v>
      </c>
      <c r="H79" s="5">
        <f t="shared" si="3"/>
        <v>-5.8034056548724178E-2</v>
      </c>
    </row>
    <row r="80" spans="1:8" ht="15" customHeight="1" x14ac:dyDescent="0.2">
      <c r="A80" s="11">
        <v>43434</v>
      </c>
      <c r="B80" s="4">
        <v>275.64999999999998</v>
      </c>
      <c r="C80" s="4">
        <v>259.88</v>
      </c>
      <c r="D80" s="4">
        <v>188.51</v>
      </c>
      <c r="F80" s="5">
        <f t="shared" si="1"/>
        <v>1.8549310867235658E-2</v>
      </c>
      <c r="G80" s="5">
        <f t="shared" si="2"/>
        <v>-7.9022714258446536E-3</v>
      </c>
      <c r="H80" s="5">
        <f t="shared" si="3"/>
        <v>6.5630299604296116E-2</v>
      </c>
    </row>
    <row r="81" spans="1:8" ht="15" customHeight="1" x14ac:dyDescent="0.2">
      <c r="A81" s="12">
        <v>43404</v>
      </c>
      <c r="B81" s="3">
        <v>270.63</v>
      </c>
      <c r="C81" s="3">
        <v>261.95</v>
      </c>
      <c r="D81" s="3">
        <v>176.9</v>
      </c>
      <c r="F81" s="5">
        <f t="shared" si="1"/>
        <v>-6.9104292790313826E-2</v>
      </c>
      <c r="G81" s="5">
        <f t="shared" si="2"/>
        <v>-0.17462268015250348</v>
      </c>
      <c r="H81" s="5">
        <f t="shared" si="3"/>
        <v>5.7445155119851821E-2</v>
      </c>
    </row>
    <row r="82" spans="1:8" ht="15" customHeight="1" x14ac:dyDescent="0.2">
      <c r="A82" s="11">
        <v>43371</v>
      </c>
      <c r="B82" s="4">
        <v>290.72000000000003</v>
      </c>
      <c r="C82" s="4">
        <v>317.37</v>
      </c>
      <c r="D82" s="4">
        <v>167.29</v>
      </c>
      <c r="F82" s="5">
        <f t="shared" si="1"/>
        <v>1.4122834211705015E-3</v>
      </c>
      <c r="G82" s="5">
        <f t="shared" si="2"/>
        <v>6.3251700224463026E-2</v>
      </c>
      <c r="H82" s="5">
        <f t="shared" si="3"/>
        <v>3.1190285397275419E-2</v>
      </c>
    </row>
    <row r="83" spans="1:8" ht="15" customHeight="1" x14ac:dyDescent="0.2">
      <c r="A83" s="12">
        <v>43343</v>
      </c>
      <c r="B83" s="3">
        <v>290.31</v>
      </c>
      <c r="C83" s="3">
        <v>298.49</v>
      </c>
      <c r="D83" s="3">
        <v>162.22999999999999</v>
      </c>
      <c r="F83" s="5">
        <f t="shared" si="1"/>
        <v>3.1919809476415706E-2</v>
      </c>
      <c r="G83" s="5">
        <f t="shared" si="2"/>
        <v>-6.6557955339612285E-3</v>
      </c>
      <c r="H83" s="5">
        <f t="shared" si="3"/>
        <v>2.9770217087723649E-2</v>
      </c>
    </row>
    <row r="84" spans="1:8" ht="15" customHeight="1" x14ac:dyDescent="0.2">
      <c r="A84" s="11">
        <v>43312</v>
      </c>
      <c r="B84" s="4">
        <v>281.33</v>
      </c>
      <c r="C84" s="4">
        <v>300.49</v>
      </c>
      <c r="D84" s="4">
        <v>157.54</v>
      </c>
      <c r="F84" s="5">
        <f t="shared" si="1"/>
        <v>3.7046593925095905E-2</v>
      </c>
      <c r="G84" s="5">
        <f t="shared" si="2"/>
        <v>-2.3431914202144855E-2</v>
      </c>
      <c r="H84" s="5">
        <f t="shared" si="3"/>
        <v>5.4247239772799993E-3</v>
      </c>
    </row>
    <row r="85" spans="1:8" ht="15" customHeight="1" x14ac:dyDescent="0.2">
      <c r="A85" s="12">
        <v>43280</v>
      </c>
      <c r="B85" s="3">
        <v>271.27999999999997</v>
      </c>
      <c r="C85" s="3">
        <v>307.7</v>
      </c>
      <c r="D85" s="3">
        <v>156.69</v>
      </c>
      <c r="F85" s="5">
        <f t="shared" si="1"/>
        <v>1.2548903816342882E-3</v>
      </c>
      <c r="G85" s="5">
        <f t="shared" si="2"/>
        <v>-5.974025974025976E-2</v>
      </c>
      <c r="H85" s="5">
        <f t="shared" si="3"/>
        <v>-2.0748703206049601E-2</v>
      </c>
    </row>
    <row r="86" spans="1:8" ht="15" customHeight="1" x14ac:dyDescent="0.2">
      <c r="A86" s="11">
        <v>43251</v>
      </c>
      <c r="B86" s="4">
        <v>270.94</v>
      </c>
      <c r="C86" s="4">
        <v>327.25</v>
      </c>
      <c r="D86" s="4">
        <v>160.01</v>
      </c>
      <c r="F86" s="5">
        <f t="shared" si="1"/>
        <v>2.4309099844996407E-2</v>
      </c>
      <c r="G86" s="5">
        <f t="shared" si="2"/>
        <v>1.6178114519935338E-2</v>
      </c>
      <c r="H86" s="5">
        <f t="shared" si="3"/>
        <v>-4.4374104156712946E-2</v>
      </c>
    </row>
    <row r="87" spans="1:8" ht="15" customHeight="1" x14ac:dyDescent="0.2">
      <c r="A87" s="12">
        <v>43220</v>
      </c>
      <c r="B87" s="3">
        <v>264.51</v>
      </c>
      <c r="C87" s="3">
        <v>322.04000000000002</v>
      </c>
      <c r="D87" s="3">
        <v>167.44</v>
      </c>
      <c r="F87" s="5">
        <f t="shared" si="1"/>
        <v>5.1681550446514013E-3</v>
      </c>
      <c r="G87" s="5">
        <f t="shared" si="2"/>
        <v>-7.7566452795600371E-2</v>
      </c>
      <c r="H87" s="5">
        <f t="shared" si="3"/>
        <v>7.0725156669650957E-2</v>
      </c>
    </row>
    <row r="88" spans="1:8" ht="15" customHeight="1" x14ac:dyDescent="0.2">
      <c r="A88" s="11">
        <v>43188</v>
      </c>
      <c r="B88" s="4">
        <v>263.14999999999998</v>
      </c>
      <c r="C88" s="4">
        <v>349.12</v>
      </c>
      <c r="D88" s="4">
        <v>156.38</v>
      </c>
      <c r="F88" s="5">
        <f t="shared" si="1"/>
        <v>-3.1290263206331659E-2</v>
      </c>
      <c r="G88" s="5">
        <f t="shared" si="2"/>
        <v>-2.6282710547366195E-3</v>
      </c>
      <c r="H88" s="5">
        <f t="shared" si="3"/>
        <v>-8.6217826803601794E-3</v>
      </c>
    </row>
    <row r="89" spans="1:8" ht="15" customHeight="1" x14ac:dyDescent="0.2">
      <c r="A89" s="12">
        <v>43159</v>
      </c>
      <c r="B89" s="3">
        <v>271.64999999999998</v>
      </c>
      <c r="C89" s="3">
        <v>350.04</v>
      </c>
      <c r="D89" s="3">
        <v>157.74</v>
      </c>
      <c r="F89" s="5">
        <f t="shared" si="1"/>
        <v>-3.6360411493437383E-2</v>
      </c>
      <c r="G89" s="5">
        <f t="shared" si="2"/>
        <v>2.7927054885032332E-2</v>
      </c>
      <c r="H89" s="5">
        <f t="shared" si="3"/>
        <v>-7.8298469089634115E-2</v>
      </c>
    </row>
    <row r="90" spans="1:8" ht="15" customHeight="1" x14ac:dyDescent="0.2">
      <c r="A90" s="11">
        <v>43131</v>
      </c>
      <c r="B90" s="4">
        <v>281.89999999999998</v>
      </c>
      <c r="C90" s="4">
        <v>340.53</v>
      </c>
      <c r="D90" s="4">
        <v>171.14</v>
      </c>
      <c r="F90" s="5">
        <f t="shared" si="1"/>
        <v>5.6359139623772592E-2</v>
      </c>
      <c r="G90" s="5">
        <f t="shared" si="2"/>
        <v>0.1095435143853245</v>
      </c>
      <c r="H90" s="5">
        <f t="shared" si="3"/>
        <v>-5.6937020683245354E-3</v>
      </c>
    </row>
    <row r="91" spans="1:8" ht="15" customHeight="1" x14ac:dyDescent="0.2">
      <c r="A91" s="12">
        <v>43098</v>
      </c>
      <c r="B91" s="3">
        <v>266.86</v>
      </c>
      <c r="C91" s="3">
        <v>306.91000000000003</v>
      </c>
      <c r="D91" s="3">
        <v>172.12</v>
      </c>
      <c r="F91" s="5">
        <f t="shared" si="1"/>
        <v>6.9808686464662983E-3</v>
      </c>
      <c r="G91" s="5">
        <f t="shared" si="2"/>
        <v>-1.5940143135977358E-3</v>
      </c>
      <c r="H91" s="5">
        <f t="shared" si="3"/>
        <v>8.7224515903949751E-4</v>
      </c>
    </row>
    <row r="92" spans="1:8" ht="15" customHeight="1" x14ac:dyDescent="0.2">
      <c r="A92" s="11">
        <v>43069</v>
      </c>
      <c r="B92" s="4">
        <v>265.01</v>
      </c>
      <c r="C92" s="4">
        <v>307.39999999999998</v>
      </c>
      <c r="D92" s="4">
        <v>171.97</v>
      </c>
      <c r="F92" s="5">
        <f t="shared" si="1"/>
        <v>3.0565817616177382E-2</v>
      </c>
      <c r="G92" s="5">
        <f t="shared" si="2"/>
        <v>4.0165127059858641E-2</v>
      </c>
      <c r="H92" s="5">
        <f t="shared" si="3"/>
        <v>3.0315739021029353E-2</v>
      </c>
    </row>
    <row r="93" spans="1:8" ht="15" customHeight="1" x14ac:dyDescent="0.2">
      <c r="A93" s="12">
        <v>43039</v>
      </c>
      <c r="B93" s="3">
        <v>257.14999999999998</v>
      </c>
      <c r="C93" s="3">
        <v>295.52999999999997</v>
      </c>
      <c r="D93" s="3">
        <v>166.91</v>
      </c>
      <c r="F93" s="5">
        <f t="shared" si="1"/>
        <v>2.356406480117812E-2</v>
      </c>
      <c r="G93" s="5">
        <f t="shared" si="2"/>
        <v>2.7144445989155885E-2</v>
      </c>
      <c r="H93" s="5">
        <f t="shared" si="3"/>
        <v>6.5292315547612834E-2</v>
      </c>
    </row>
    <row r="94" spans="1:8" ht="15" customHeight="1" x14ac:dyDescent="0.2">
      <c r="A94" s="11">
        <v>43007</v>
      </c>
      <c r="B94" s="4">
        <v>251.23</v>
      </c>
      <c r="C94" s="4">
        <v>287.72000000000003</v>
      </c>
      <c r="D94" s="4">
        <v>156.68</v>
      </c>
      <c r="F94" s="5">
        <f t="shared" si="1"/>
        <v>1.5111721685724611E-2</v>
      </c>
      <c r="G94" s="5">
        <f t="shared" si="2"/>
        <v>5.6978068403071402E-2</v>
      </c>
      <c r="H94" s="5">
        <f t="shared" si="3"/>
        <v>-2.0566356191785928E-2</v>
      </c>
    </row>
    <row r="95" spans="1:8" ht="15" customHeight="1" x14ac:dyDescent="0.2">
      <c r="A95" s="12">
        <v>42978</v>
      </c>
      <c r="B95" s="3">
        <v>247.49</v>
      </c>
      <c r="C95" s="3">
        <v>272.20999999999998</v>
      </c>
      <c r="D95" s="3">
        <v>159.97</v>
      </c>
      <c r="F95" s="5">
        <f t="shared" si="1"/>
        <v>2.9176966405966009E-3</v>
      </c>
      <c r="G95" s="5">
        <f t="shared" si="2"/>
        <v>3.4507657811728043E-2</v>
      </c>
      <c r="H95" s="5">
        <f t="shared" si="3"/>
        <v>3.1133170039963964E-2</v>
      </c>
    </row>
    <row r="96" spans="1:8" ht="15" customHeight="1" x14ac:dyDescent="0.2">
      <c r="A96" s="11">
        <v>42947</v>
      </c>
      <c r="B96" s="4">
        <v>246.77</v>
      </c>
      <c r="C96" s="4">
        <v>263.13</v>
      </c>
      <c r="D96" s="4">
        <v>155.13999999999999</v>
      </c>
      <c r="F96" s="5">
        <f t="shared" si="1"/>
        <v>2.0554177005789986E-2</v>
      </c>
      <c r="G96" s="5">
        <f t="shared" si="2"/>
        <v>2.500876475400271E-2</v>
      </c>
      <c r="H96" s="5">
        <f t="shared" si="3"/>
        <v>1.2927657351788913E-2</v>
      </c>
    </row>
    <row r="97" spans="1:8" ht="15" customHeight="1" x14ac:dyDescent="0.2">
      <c r="A97" s="12">
        <v>42916</v>
      </c>
      <c r="B97" s="3">
        <v>241.8</v>
      </c>
      <c r="C97" s="3">
        <v>256.70999999999998</v>
      </c>
      <c r="D97" s="3">
        <v>153.16</v>
      </c>
      <c r="F97" s="5">
        <f t="shared" si="1"/>
        <v>1.4910536779324524E-3</v>
      </c>
      <c r="G97" s="5">
        <f t="shared" si="2"/>
        <v>-9.6828948383613778E-3</v>
      </c>
      <c r="H97" s="5">
        <f t="shared" si="3"/>
        <v>1.5044071840413675E-2</v>
      </c>
    </row>
    <row r="98" spans="1:8" ht="15" customHeight="1" x14ac:dyDescent="0.2">
      <c r="A98" s="11">
        <v>42886</v>
      </c>
      <c r="B98" s="4">
        <v>241.44</v>
      </c>
      <c r="C98" s="4">
        <v>259.22000000000003</v>
      </c>
      <c r="D98" s="4">
        <v>150.88999999999999</v>
      </c>
      <c r="F98" s="5">
        <f t="shared" si="1"/>
        <v>1.4112903225806495E-2</v>
      </c>
      <c r="G98" s="5">
        <f t="shared" si="2"/>
        <v>5.3911205073995827E-2</v>
      </c>
      <c r="H98" s="5">
        <f t="shared" si="3"/>
        <v>7.8324876724076065E-2</v>
      </c>
    </row>
    <row r="99" spans="1:8" ht="15" customHeight="1" x14ac:dyDescent="0.2">
      <c r="A99" s="12">
        <v>42853</v>
      </c>
      <c r="B99" s="3">
        <v>238.08</v>
      </c>
      <c r="C99" s="3">
        <v>245.96</v>
      </c>
      <c r="D99" s="3">
        <v>139.93</v>
      </c>
      <c r="F99" s="5">
        <f t="shared" si="1"/>
        <v>9.9261898701958895E-3</v>
      </c>
      <c r="G99" s="5">
        <f t="shared" si="2"/>
        <v>3.4140598721829729E-2</v>
      </c>
      <c r="H99" s="5">
        <f t="shared" si="3"/>
        <v>7.962348584214185E-2</v>
      </c>
    </row>
    <row r="100" spans="1:8" ht="15" customHeight="1" x14ac:dyDescent="0.2">
      <c r="A100" s="11">
        <v>42825</v>
      </c>
      <c r="B100" s="4">
        <v>235.74</v>
      </c>
      <c r="C100" s="4">
        <v>237.84</v>
      </c>
      <c r="D100" s="4">
        <v>129.61000000000001</v>
      </c>
      <c r="F100" s="5">
        <f t="shared" si="1"/>
        <v>-3.0870723559013324E-3</v>
      </c>
      <c r="G100" s="5">
        <f t="shared" si="2"/>
        <v>-3.7435752155085211E-2</v>
      </c>
      <c r="H100" s="5">
        <f t="shared" si="3"/>
        <v>1.5354484919702482E-2</v>
      </c>
    </row>
    <row r="101" spans="1:8" ht="15" customHeight="1" x14ac:dyDescent="0.2">
      <c r="A101" s="12">
        <v>42794</v>
      </c>
      <c r="B101" s="3">
        <v>236.47</v>
      </c>
      <c r="C101" s="3">
        <v>247.09</v>
      </c>
      <c r="D101" s="3">
        <v>127.65</v>
      </c>
      <c r="F101" s="5">
        <f t="shared" si="1"/>
        <v>3.9291521997099288E-2</v>
      </c>
      <c r="G101" s="5">
        <f t="shared" si="2"/>
        <v>7.8618823118561165E-2</v>
      </c>
      <c r="H101" s="5">
        <f t="shared" si="3"/>
        <v>4.1445704495390423E-2</v>
      </c>
    </row>
    <row r="102" spans="1:8" ht="15" customHeight="1" x14ac:dyDescent="0.2">
      <c r="A102" s="11">
        <v>42766</v>
      </c>
      <c r="B102" s="4">
        <v>227.53</v>
      </c>
      <c r="C102" s="4">
        <v>229.08</v>
      </c>
      <c r="D102" s="4">
        <v>122.57</v>
      </c>
      <c r="F102" s="5">
        <f t="shared" si="1"/>
        <v>1.7894689750816539E-2</v>
      </c>
      <c r="G102" s="5">
        <f t="shared" si="2"/>
        <v>-1.5048585432969275E-2</v>
      </c>
      <c r="H102" s="5">
        <f t="shared" si="3"/>
        <v>6.9832402234637492E-3</v>
      </c>
    </row>
    <row r="103" spans="1:8" ht="15" customHeight="1" x14ac:dyDescent="0.2">
      <c r="A103" s="12">
        <v>42734</v>
      </c>
      <c r="B103" s="3">
        <v>223.53</v>
      </c>
      <c r="C103" s="3">
        <v>232.58</v>
      </c>
      <c r="D103" s="3">
        <v>121.72</v>
      </c>
      <c r="F103" s="5">
        <f t="shared" si="1"/>
        <v>1.4293493057446316E-2</v>
      </c>
      <c r="G103" s="5">
        <f t="shared" si="2"/>
        <v>-6.8375726016422944E-2</v>
      </c>
      <c r="H103" s="5">
        <f t="shared" si="3"/>
        <v>2.0541628238450516E-2</v>
      </c>
    </row>
    <row r="104" spans="1:8" ht="15" customHeight="1" x14ac:dyDescent="0.2">
      <c r="A104" s="11">
        <v>42704</v>
      </c>
      <c r="B104" s="4">
        <v>220.38</v>
      </c>
      <c r="C104" s="4">
        <v>249.65</v>
      </c>
      <c r="D104" s="4">
        <v>119.27</v>
      </c>
      <c r="F104" s="5">
        <f t="shared" si="1"/>
        <v>3.683839096683128E-2</v>
      </c>
      <c r="G104" s="5">
        <f t="shared" si="2"/>
        <v>9.0174672489083063E-2</v>
      </c>
      <c r="H104" s="5">
        <f t="shared" si="3"/>
        <v>5.9518521808652469E-2</v>
      </c>
    </row>
    <row r="105" spans="1:8" ht="15" customHeight="1" x14ac:dyDescent="0.2">
      <c r="A105" s="12">
        <v>42674</v>
      </c>
      <c r="B105" s="3">
        <v>212.55</v>
      </c>
      <c r="C105" s="3">
        <v>229</v>
      </c>
      <c r="D105" s="3">
        <v>112.57</v>
      </c>
      <c r="F105" s="5">
        <f t="shared" si="1"/>
        <v>-1.7337031900138689E-2</v>
      </c>
      <c r="G105" s="5">
        <f t="shared" si="2"/>
        <v>7.0343538209862277E-2</v>
      </c>
      <c r="H105" s="5">
        <f t="shared" si="3"/>
        <v>-2.4185159500693554E-2</v>
      </c>
    </row>
    <row r="106" spans="1:8" ht="15" customHeight="1" x14ac:dyDescent="0.2">
      <c r="A106" s="11">
        <v>42643</v>
      </c>
      <c r="B106" s="4">
        <v>216.3</v>
      </c>
      <c r="C106" s="4">
        <v>213.95</v>
      </c>
      <c r="D106" s="4">
        <v>115.36</v>
      </c>
      <c r="F106" s="5">
        <f t="shared" si="1"/>
        <v>-4.9682583494341515E-3</v>
      </c>
      <c r="G106" s="5">
        <f t="shared" si="2"/>
        <v>8.8649974065166948E-3</v>
      </c>
      <c r="H106" s="5">
        <f t="shared" si="3"/>
        <v>-2.5938094414663659E-3</v>
      </c>
    </row>
    <row r="107" spans="1:8" ht="15" customHeight="1" x14ac:dyDescent="0.2">
      <c r="A107" s="12">
        <v>42613</v>
      </c>
      <c r="B107" s="3">
        <v>217.38</v>
      </c>
      <c r="C107" s="3">
        <v>212.07</v>
      </c>
      <c r="D107" s="3">
        <v>115.66</v>
      </c>
      <c r="F107" s="5">
        <f t="shared" si="1"/>
        <v>1.1974944731023562E-3</v>
      </c>
      <c r="G107" s="5">
        <f t="shared" si="2"/>
        <v>-2.1049716105802529E-2</v>
      </c>
      <c r="H107" s="5">
        <f t="shared" si="3"/>
        <v>-1.6914577135571651E-2</v>
      </c>
    </row>
    <row r="108" spans="1:8" ht="15" customHeight="1" x14ac:dyDescent="0.2">
      <c r="A108" s="11">
        <v>42580</v>
      </c>
      <c r="B108" s="4">
        <v>217.12</v>
      </c>
      <c r="C108" s="4">
        <v>216.63</v>
      </c>
      <c r="D108" s="4">
        <v>117.65</v>
      </c>
      <c r="F108" s="5">
        <f t="shared" si="1"/>
        <v>3.6496001909535725E-2</v>
      </c>
      <c r="G108" s="5">
        <f t="shared" si="2"/>
        <v>-2.5418391218283265E-2</v>
      </c>
      <c r="H108" s="5">
        <f t="shared" si="3"/>
        <v>-2.2353332225361511E-2</v>
      </c>
    </row>
    <row r="109" spans="1:8" ht="15" customHeight="1" x14ac:dyDescent="0.2">
      <c r="A109" s="12">
        <v>42551</v>
      </c>
      <c r="B109" s="3">
        <v>209.47499999999999</v>
      </c>
      <c r="C109" s="3">
        <v>222.28</v>
      </c>
      <c r="D109" s="3">
        <v>120.34</v>
      </c>
      <c r="F109" s="5">
        <f t="shared" si="1"/>
        <v>-1.7394205108655081E-3</v>
      </c>
      <c r="G109" s="5">
        <f t="shared" si="2"/>
        <v>4.5187379508158321E-2</v>
      </c>
      <c r="H109" s="5">
        <f t="shared" si="3"/>
        <v>-1.4091430444043929E-2</v>
      </c>
    </row>
    <row r="110" spans="1:8" ht="15" customHeight="1" x14ac:dyDescent="0.2">
      <c r="A110" s="11">
        <v>42521</v>
      </c>
      <c r="B110" s="4">
        <v>209.84</v>
      </c>
      <c r="C110" s="4">
        <v>212.67</v>
      </c>
      <c r="D110" s="4">
        <v>122.06</v>
      </c>
      <c r="F110" s="5">
        <f t="shared" si="1"/>
        <v>1.7007640158425152E-2</v>
      </c>
      <c r="G110" s="5">
        <f t="shared" si="2"/>
        <v>3.1077281101522303E-2</v>
      </c>
      <c r="H110" s="5">
        <f t="shared" si="3"/>
        <v>-3.502253142540912E-2</v>
      </c>
    </row>
    <row r="111" spans="1:8" ht="15" customHeight="1" x14ac:dyDescent="0.2">
      <c r="A111" s="12">
        <v>42489</v>
      </c>
      <c r="B111" s="3">
        <v>206.33080000000001</v>
      </c>
      <c r="C111" s="3">
        <v>206.26</v>
      </c>
      <c r="D111" s="3">
        <v>126.49</v>
      </c>
      <c r="F111" s="5">
        <f t="shared" si="1"/>
        <v>3.9451148306735018E-3</v>
      </c>
      <c r="G111" s="5">
        <f t="shared" si="2"/>
        <v>4.224355735219798E-2</v>
      </c>
      <c r="H111" s="5">
        <f t="shared" si="3"/>
        <v>6.4449395289623013E-3</v>
      </c>
    </row>
    <row r="112" spans="1:8" ht="15" customHeight="1" x14ac:dyDescent="0.2">
      <c r="A112" s="11">
        <v>42460</v>
      </c>
      <c r="B112" s="4">
        <v>205.52</v>
      </c>
      <c r="C112" s="4">
        <v>197.9</v>
      </c>
      <c r="D112" s="4">
        <v>125.68</v>
      </c>
      <c r="F112" s="5">
        <f t="shared" si="1"/>
        <v>6.1789625955775973E-2</v>
      </c>
      <c r="G112" s="5">
        <f t="shared" si="2"/>
        <v>2.9549474560399469E-2</v>
      </c>
      <c r="H112" s="5">
        <f t="shared" si="3"/>
        <v>7.2446454475638022E-2</v>
      </c>
    </row>
    <row r="113" spans="1:8" ht="15" customHeight="1" x14ac:dyDescent="0.2">
      <c r="A113" s="12">
        <v>42429</v>
      </c>
      <c r="B113" s="3">
        <v>193.56</v>
      </c>
      <c r="C113" s="3">
        <v>192.22</v>
      </c>
      <c r="D113" s="3">
        <v>117.19</v>
      </c>
      <c r="F113" s="5">
        <f t="shared" si="1"/>
        <v>-8.3006058203349831E-4</v>
      </c>
      <c r="G113" s="5">
        <f t="shared" si="2"/>
        <v>3.8690154544472E-2</v>
      </c>
      <c r="H113" s="5">
        <f t="shared" si="3"/>
        <v>-5.3239618678300182E-2</v>
      </c>
    </row>
    <row r="114" spans="1:8" ht="15" customHeight="1" x14ac:dyDescent="0.2">
      <c r="A114" s="11">
        <v>42398</v>
      </c>
      <c r="B114" s="4">
        <v>193.7208</v>
      </c>
      <c r="C114" s="4">
        <v>185.06</v>
      </c>
      <c r="D114" s="4">
        <v>123.78</v>
      </c>
      <c r="F114" s="5">
        <f t="shared" si="1"/>
        <v>-4.9782704664737332E-2</v>
      </c>
      <c r="G114" s="5">
        <f t="shared" si="2"/>
        <v>-1.9861236163338791E-2</v>
      </c>
      <c r="H114" s="5">
        <f t="shared" si="3"/>
        <v>4.7739969527679005E-2</v>
      </c>
    </row>
    <row r="115" spans="1:8" ht="15" customHeight="1" x14ac:dyDescent="0.2">
      <c r="A115" s="12">
        <v>42369</v>
      </c>
      <c r="B115" s="3">
        <v>203.87</v>
      </c>
      <c r="C115" s="3">
        <v>188.81</v>
      </c>
      <c r="D115" s="3">
        <v>118.14</v>
      </c>
      <c r="F115" s="5">
        <f t="shared" si="1"/>
        <v>-2.3096458862427505E-2</v>
      </c>
      <c r="G115" s="5">
        <f t="shared" si="2"/>
        <v>1.3146597982399699E-2</v>
      </c>
      <c r="H115" s="5">
        <f t="shared" si="3"/>
        <v>3.48633496846531E-2</v>
      </c>
    </row>
    <row r="116" spans="1:8" ht="15" customHeight="1" x14ac:dyDescent="0.2">
      <c r="A116" s="11">
        <v>42338</v>
      </c>
      <c r="B116" s="4">
        <v>208.69</v>
      </c>
      <c r="C116" s="4">
        <v>186.36</v>
      </c>
      <c r="D116" s="4">
        <v>114.16</v>
      </c>
      <c r="F116" s="5">
        <f t="shared" si="1"/>
        <v>3.655076227576437E-3</v>
      </c>
      <c r="G116" s="5">
        <f t="shared" si="2"/>
        <v>-7.4034620505991633E-3</v>
      </c>
      <c r="H116" s="5">
        <f t="shared" si="3"/>
        <v>1.7015590200445407E-2</v>
      </c>
    </row>
    <row r="117" spans="1:8" ht="15" customHeight="1" x14ac:dyDescent="0.2">
      <c r="A117" s="12">
        <v>42307</v>
      </c>
      <c r="B117" s="3">
        <v>207.93</v>
      </c>
      <c r="C117" s="3">
        <v>187.75</v>
      </c>
      <c r="D117" s="3">
        <v>112.25</v>
      </c>
      <c r="F117" s="5">
        <f t="shared" si="1"/>
        <v>8.5059750560976921E-2</v>
      </c>
      <c r="G117" s="5">
        <f t="shared" si="2"/>
        <v>0.13136486893642663</v>
      </c>
      <c r="H117" s="5">
        <f t="shared" si="3"/>
        <v>0.1392469298690755</v>
      </c>
    </row>
    <row r="118" spans="1:8" ht="15" customHeight="1" x14ac:dyDescent="0.2">
      <c r="A118" s="11">
        <v>42277</v>
      </c>
      <c r="B118" s="4">
        <v>191.63</v>
      </c>
      <c r="C118" s="4">
        <v>165.95</v>
      </c>
      <c r="D118" s="4">
        <v>98.53</v>
      </c>
      <c r="F118" s="5">
        <f t="shared" si="1"/>
        <v>-3.0555977133606471E-2</v>
      </c>
      <c r="G118" s="5">
        <f t="shared" si="2"/>
        <v>1.3497007450836485E-2</v>
      </c>
      <c r="H118" s="5">
        <f t="shared" si="3"/>
        <v>3.6939591664912674E-2</v>
      </c>
    </row>
    <row r="119" spans="1:8" ht="15" customHeight="1" x14ac:dyDescent="0.2">
      <c r="A119" s="12">
        <v>42247</v>
      </c>
      <c r="B119" s="3">
        <v>197.67</v>
      </c>
      <c r="C119" s="3">
        <v>163.74</v>
      </c>
      <c r="D119" s="3">
        <v>95.02</v>
      </c>
      <c r="F119" s="5">
        <f t="shared" si="1"/>
        <v>-6.0950118764845684E-2</v>
      </c>
      <c r="G119" s="5">
        <f t="shared" si="2"/>
        <v>-5.3580717877579231E-2</v>
      </c>
      <c r="H119" s="5">
        <f t="shared" si="3"/>
        <v>-4.8467854996995796E-2</v>
      </c>
    </row>
    <row r="120" spans="1:8" ht="15" customHeight="1" x14ac:dyDescent="0.2">
      <c r="A120" s="11">
        <v>42216</v>
      </c>
      <c r="B120" s="4">
        <v>210.5</v>
      </c>
      <c r="C120" s="4">
        <v>173.01</v>
      </c>
      <c r="D120" s="4">
        <v>99.86</v>
      </c>
      <c r="F120" s="5">
        <f t="shared" si="1"/>
        <v>2.2589264027204292E-2</v>
      </c>
      <c r="G120" s="5">
        <f t="shared" si="2"/>
        <v>9.0651200907772678E-2</v>
      </c>
      <c r="H120" s="5">
        <f t="shared" si="3"/>
        <v>5.0383927632271064E-2</v>
      </c>
    </row>
    <row r="121" spans="1:8" ht="15" customHeight="1" x14ac:dyDescent="0.2">
      <c r="A121" s="12">
        <v>42185</v>
      </c>
      <c r="B121" s="3">
        <v>205.85</v>
      </c>
      <c r="C121" s="3">
        <v>158.63</v>
      </c>
      <c r="D121" s="3">
        <v>95.07</v>
      </c>
      <c r="F121" s="5">
        <f t="shared" si="1"/>
        <v>-2.5054466230936767E-2</v>
      </c>
      <c r="G121" s="5">
        <f t="shared" si="2"/>
        <v>-3.4552079406960923E-3</v>
      </c>
      <c r="H121" s="5">
        <f t="shared" si="3"/>
        <v>-8.9648702178672934E-3</v>
      </c>
    </row>
    <row r="122" spans="1:8" ht="15" customHeight="1" x14ac:dyDescent="0.2">
      <c r="A122" s="11">
        <v>42153</v>
      </c>
      <c r="B122" s="4">
        <v>211.14</v>
      </c>
      <c r="C122" s="4">
        <v>159.18</v>
      </c>
      <c r="D122" s="4">
        <v>95.93</v>
      </c>
      <c r="F122" s="5">
        <f t="shared" si="1"/>
        <v>1.2856183440468127E-2</v>
      </c>
      <c r="G122" s="5">
        <f t="shared" si="2"/>
        <v>3.3367956374967589E-2</v>
      </c>
      <c r="H122" s="5">
        <f t="shared" si="3"/>
        <v>-6.4215432418435192E-3</v>
      </c>
    </row>
    <row r="123" spans="1:8" ht="15" customHeight="1" x14ac:dyDescent="0.2">
      <c r="A123" s="12">
        <v>42124</v>
      </c>
      <c r="B123" s="3">
        <v>208.46</v>
      </c>
      <c r="C123" s="3">
        <v>154.04</v>
      </c>
      <c r="D123" s="3">
        <v>96.55</v>
      </c>
      <c r="F123" s="5"/>
      <c r="G123" s="5"/>
      <c r="H123" s="5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8D5E-9468-45DD-BC87-238FF0D9B9AE}">
  <dimension ref="A1:N2623"/>
  <sheetViews>
    <sheetView zoomScale="115" zoomScaleNormal="115" workbookViewId="0">
      <selection activeCell="C12" sqref="C12:D2623"/>
    </sheetView>
  </sheetViews>
  <sheetFormatPr defaultColWidth="9" defaultRowHeight="15" x14ac:dyDescent="0.25"/>
  <cols>
    <col min="1" max="1" width="19.5703125" style="16" bestFit="1" customWidth="1"/>
    <col min="2" max="2" width="6.5703125" style="17" bestFit="1" customWidth="1"/>
    <col min="3" max="3" width="17.5703125" style="16" bestFit="1" customWidth="1"/>
    <col min="4" max="4" width="15.140625" style="16" bestFit="1" customWidth="1"/>
    <col min="5" max="6" width="9" style="16"/>
    <col min="7" max="7" width="15.28515625" style="16" bestFit="1" customWidth="1"/>
    <col min="8" max="11" width="9" style="16"/>
    <col min="12" max="12" width="18.28515625" style="16" bestFit="1" customWidth="1"/>
    <col min="13" max="13" width="10.28515625" style="16" bestFit="1" customWidth="1"/>
    <col min="14" max="16384" width="9" style="16"/>
  </cols>
  <sheetData>
    <row r="1" spans="1:14" x14ac:dyDescent="0.25">
      <c r="A1" s="16" t="s">
        <v>39</v>
      </c>
    </row>
    <row r="2" spans="1:14" x14ac:dyDescent="0.25">
      <c r="A2" s="16" t="s">
        <v>38</v>
      </c>
    </row>
    <row r="3" spans="1:14" x14ac:dyDescent="0.25">
      <c r="A3" s="16" t="s">
        <v>37</v>
      </c>
    </row>
    <row r="4" spans="1:14" x14ac:dyDescent="0.25">
      <c r="A4" s="16" t="s">
        <v>36</v>
      </c>
    </row>
    <row r="5" spans="1:14" x14ac:dyDescent="0.25">
      <c r="A5" s="16" t="s">
        <v>35</v>
      </c>
    </row>
    <row r="6" spans="1:14" x14ac:dyDescent="0.25">
      <c r="A6" s="16" t="s">
        <v>34</v>
      </c>
    </row>
    <row r="8" spans="1:14" x14ac:dyDescent="0.25">
      <c r="A8" s="16" t="s">
        <v>33</v>
      </c>
      <c r="B8" s="17" t="s">
        <v>32</v>
      </c>
      <c r="C8" s="16" t="s">
        <v>31</v>
      </c>
    </row>
    <row r="10" spans="1:14" x14ac:dyDescent="0.25">
      <c r="A10" s="16" t="s">
        <v>42</v>
      </c>
      <c r="B10" s="17" t="s">
        <v>43</v>
      </c>
    </row>
    <row r="11" spans="1:14" x14ac:dyDescent="0.25">
      <c r="L11"/>
      <c r="M11"/>
      <c r="N11"/>
    </row>
    <row r="12" spans="1:14" x14ac:dyDescent="0.25">
      <c r="A12" s="55" t="s">
        <v>41</v>
      </c>
      <c r="B12" s="55"/>
      <c r="C12"/>
      <c r="D12"/>
      <c r="L12"/>
      <c r="M12"/>
      <c r="N12" s="6"/>
    </row>
    <row r="13" spans="1:14" x14ac:dyDescent="0.25">
      <c r="A13" s="19" t="s">
        <v>40</v>
      </c>
      <c r="B13" s="19" t="s">
        <v>33</v>
      </c>
      <c r="C13"/>
      <c r="D13"/>
      <c r="L13"/>
      <c r="M13"/>
      <c r="N13" s="5"/>
    </row>
    <row r="14" spans="1:14" x14ac:dyDescent="0.25">
      <c r="A14" s="18">
        <v>45717</v>
      </c>
      <c r="B14" s="20">
        <v>4.2300000000000004E-2</v>
      </c>
      <c r="C14"/>
      <c r="D14"/>
      <c r="F14" s="20"/>
      <c r="L14" s="8"/>
      <c r="M14" s="5"/>
      <c r="N14" s="5"/>
    </row>
    <row r="15" spans="1:14" x14ac:dyDescent="0.25">
      <c r="A15" s="18">
        <v>45689</v>
      </c>
      <c r="B15" s="20">
        <v>4.24E-2</v>
      </c>
      <c r="C15"/>
      <c r="D15"/>
      <c r="F15" s="20"/>
      <c r="L15" s="8"/>
      <c r="M15"/>
      <c r="N15"/>
    </row>
    <row r="16" spans="1:14" x14ac:dyDescent="0.25">
      <c r="A16" s="18">
        <v>45658</v>
      </c>
      <c r="B16" s="20">
        <v>4.58E-2</v>
      </c>
      <c r="C16"/>
      <c r="D16"/>
      <c r="F16" s="20"/>
    </row>
    <row r="17" spans="1:6" x14ac:dyDescent="0.25">
      <c r="A17" s="18">
        <v>45627</v>
      </c>
      <c r="B17" s="20">
        <v>4.58E-2</v>
      </c>
      <c r="C17"/>
      <c r="D17"/>
      <c r="F17" s="20"/>
    </row>
    <row r="18" spans="1:6" x14ac:dyDescent="0.25">
      <c r="A18" s="18">
        <v>45597</v>
      </c>
      <c r="B18" s="20">
        <v>4.1799999999999997E-2</v>
      </c>
      <c r="C18"/>
      <c r="D18"/>
      <c r="F18" s="20"/>
    </row>
    <row r="19" spans="1:6" x14ac:dyDescent="0.25">
      <c r="A19" s="18">
        <v>45566</v>
      </c>
      <c r="B19" s="20">
        <v>4.2800000000000005E-2</v>
      </c>
      <c r="C19"/>
      <c r="D19"/>
      <c r="F19" s="20"/>
    </row>
    <row r="20" spans="1:6" x14ac:dyDescent="0.25">
      <c r="A20" s="18">
        <v>45536</v>
      </c>
      <c r="B20" s="20">
        <v>3.8100000000000002E-2</v>
      </c>
      <c r="C20"/>
      <c r="D20"/>
      <c r="F20" s="20"/>
    </row>
    <row r="21" spans="1:6" x14ac:dyDescent="0.25">
      <c r="A21" s="18">
        <v>45505</v>
      </c>
      <c r="B21" s="20">
        <v>3.9100000000000003E-2</v>
      </c>
      <c r="C21"/>
      <c r="D21"/>
      <c r="F21" s="20"/>
    </row>
    <row r="22" spans="1:6" x14ac:dyDescent="0.25">
      <c r="A22" s="18">
        <v>45474</v>
      </c>
      <c r="B22" s="20">
        <v>4.0899999999999999E-2</v>
      </c>
      <c r="C22"/>
      <c r="D22"/>
      <c r="F22" s="20"/>
    </row>
    <row r="23" spans="1:6" x14ac:dyDescent="0.25">
      <c r="A23" s="18">
        <v>45444</v>
      </c>
      <c r="B23" s="20">
        <v>4.36E-2</v>
      </c>
      <c r="C23"/>
      <c r="D23"/>
      <c r="F23" s="20"/>
    </row>
    <row r="24" spans="1:6" x14ac:dyDescent="0.25">
      <c r="A24" s="18">
        <v>45413</v>
      </c>
      <c r="B24" s="20">
        <v>4.5100000000000001E-2</v>
      </c>
      <c r="C24"/>
      <c r="D24"/>
      <c r="F24" s="20"/>
    </row>
    <row r="25" spans="1:6" x14ac:dyDescent="0.25">
      <c r="A25" s="18">
        <v>45383</v>
      </c>
      <c r="B25" s="20">
        <v>4.6900000000000004E-2</v>
      </c>
      <c r="C25"/>
      <c r="D25"/>
      <c r="F25" s="20"/>
    </row>
    <row r="26" spans="1:6" x14ac:dyDescent="0.25">
      <c r="A26" s="18">
        <v>45352</v>
      </c>
      <c r="B26" s="20">
        <v>4.2000000000000003E-2</v>
      </c>
      <c r="C26"/>
      <c r="D26"/>
      <c r="F26" s="20"/>
    </row>
    <row r="27" spans="1:6" x14ac:dyDescent="0.25">
      <c r="A27" s="18">
        <v>45323</v>
      </c>
      <c r="B27" s="20">
        <v>4.2500000000000003E-2</v>
      </c>
      <c r="C27"/>
      <c r="D27"/>
      <c r="F27" s="20"/>
    </row>
    <row r="28" spans="1:6" x14ac:dyDescent="0.25">
      <c r="A28" s="18">
        <v>45292</v>
      </c>
      <c r="B28" s="20">
        <v>3.9900000000000005E-2</v>
      </c>
      <c r="C28"/>
      <c r="D28"/>
      <c r="F28" s="20"/>
    </row>
    <row r="29" spans="1:6" x14ac:dyDescent="0.25">
      <c r="A29" s="18">
        <v>45261</v>
      </c>
      <c r="B29" s="20">
        <v>3.8800000000000001E-2</v>
      </c>
      <c r="C29"/>
      <c r="D29"/>
      <c r="F29" s="20"/>
    </row>
    <row r="30" spans="1:6" x14ac:dyDescent="0.25">
      <c r="A30" s="18">
        <v>45231</v>
      </c>
      <c r="B30" s="20">
        <v>4.3700000000000003E-2</v>
      </c>
      <c r="C30"/>
      <c r="D30"/>
      <c r="F30" s="20"/>
    </row>
    <row r="31" spans="1:6" x14ac:dyDescent="0.25">
      <c r="A31" s="18">
        <v>45200</v>
      </c>
      <c r="B31" s="20">
        <v>4.8799999999999996E-2</v>
      </c>
      <c r="C31"/>
      <c r="D31"/>
      <c r="F31" s="20"/>
    </row>
    <row r="32" spans="1:6" x14ac:dyDescent="0.25">
      <c r="A32" s="18">
        <v>45170</v>
      </c>
      <c r="B32" s="20">
        <v>4.5899999999999996E-2</v>
      </c>
      <c r="C32"/>
      <c r="D32"/>
      <c r="F32" s="20"/>
    </row>
    <row r="33" spans="1:6" x14ac:dyDescent="0.25">
      <c r="A33" s="18">
        <v>45139</v>
      </c>
      <c r="B33" s="20">
        <v>4.0899999999999999E-2</v>
      </c>
      <c r="C33"/>
      <c r="D33"/>
      <c r="F33" s="20"/>
    </row>
    <row r="34" spans="1:6" x14ac:dyDescent="0.25">
      <c r="A34" s="18">
        <v>45108</v>
      </c>
      <c r="B34" s="20">
        <v>3.9699999999999999E-2</v>
      </c>
      <c r="C34"/>
      <c r="D34"/>
      <c r="F34" s="20"/>
    </row>
    <row r="35" spans="1:6" x14ac:dyDescent="0.25">
      <c r="A35" s="18">
        <v>45078</v>
      </c>
      <c r="B35" s="20">
        <v>3.8100000000000002E-2</v>
      </c>
      <c r="C35"/>
      <c r="D35"/>
      <c r="F35" s="20"/>
    </row>
    <row r="36" spans="1:6" x14ac:dyDescent="0.25">
      <c r="A36" s="18">
        <v>45047</v>
      </c>
      <c r="B36" s="20">
        <v>3.6400000000000002E-2</v>
      </c>
      <c r="C36"/>
      <c r="D36"/>
      <c r="F36" s="20"/>
    </row>
    <row r="37" spans="1:6" x14ac:dyDescent="0.25">
      <c r="A37" s="18">
        <v>45017</v>
      </c>
      <c r="B37" s="20">
        <v>3.44E-2</v>
      </c>
      <c r="C37"/>
      <c r="D37"/>
      <c r="F37" s="20"/>
    </row>
    <row r="38" spans="1:6" x14ac:dyDescent="0.25">
      <c r="A38" s="18">
        <v>44986</v>
      </c>
      <c r="B38" s="20">
        <v>3.4799999999999998E-2</v>
      </c>
      <c r="C38"/>
      <c r="D38"/>
      <c r="F38" s="20"/>
    </row>
    <row r="39" spans="1:6" x14ac:dyDescent="0.25">
      <c r="A39" s="18">
        <v>44958</v>
      </c>
      <c r="B39" s="20">
        <v>3.9199999999999999E-2</v>
      </c>
      <c r="C39"/>
      <c r="D39"/>
      <c r="F39" s="20"/>
    </row>
    <row r="40" spans="1:6" x14ac:dyDescent="0.25">
      <c r="A40" s="18">
        <v>44927</v>
      </c>
      <c r="B40" s="20">
        <v>3.5200000000000002E-2</v>
      </c>
      <c r="C40"/>
      <c r="D40"/>
      <c r="F40" s="20"/>
    </row>
    <row r="41" spans="1:6" x14ac:dyDescent="0.25">
      <c r="A41" s="18">
        <v>44896</v>
      </c>
      <c r="B41" s="20">
        <v>3.8800000000000001E-2</v>
      </c>
      <c r="C41"/>
      <c r="D41"/>
      <c r="F41" s="20"/>
    </row>
    <row r="42" spans="1:6" x14ac:dyDescent="0.25">
      <c r="A42" s="18">
        <v>44866</v>
      </c>
      <c r="B42" s="20">
        <v>3.6799999999999999E-2</v>
      </c>
      <c r="C42"/>
      <c r="D42"/>
      <c r="F42" s="20"/>
    </row>
    <row r="43" spans="1:6" x14ac:dyDescent="0.25">
      <c r="A43" s="18">
        <v>44835</v>
      </c>
      <c r="B43" s="20">
        <v>4.0999999999999995E-2</v>
      </c>
      <c r="C43"/>
      <c r="D43"/>
      <c r="F43" s="20"/>
    </row>
    <row r="44" spans="1:6" x14ac:dyDescent="0.25">
      <c r="A44" s="18">
        <v>44805</v>
      </c>
      <c r="B44" s="20">
        <v>3.8300000000000001E-2</v>
      </c>
      <c r="C44"/>
      <c r="D44"/>
      <c r="F44" s="20"/>
    </row>
    <row r="45" spans="1:6" x14ac:dyDescent="0.25">
      <c r="A45" s="18">
        <v>44774</v>
      </c>
      <c r="B45" s="20">
        <v>3.15E-2</v>
      </c>
      <c r="C45"/>
      <c r="D45"/>
      <c r="F45" s="20"/>
    </row>
    <row r="46" spans="1:6" x14ac:dyDescent="0.25">
      <c r="A46" s="18">
        <v>44743</v>
      </c>
      <c r="B46" s="20">
        <v>2.6699999999999998E-2</v>
      </c>
      <c r="C46"/>
      <c r="D46"/>
      <c r="F46" s="20"/>
    </row>
    <row r="47" spans="1:6" x14ac:dyDescent="0.25">
      <c r="A47" s="18">
        <v>44713</v>
      </c>
      <c r="B47" s="20">
        <v>2.98E-2</v>
      </c>
      <c r="C47"/>
      <c r="D47"/>
      <c r="F47" s="20"/>
    </row>
    <row r="48" spans="1:6" x14ac:dyDescent="0.25">
      <c r="A48" s="18">
        <v>44682</v>
      </c>
      <c r="B48" s="20">
        <v>2.8500000000000001E-2</v>
      </c>
      <c r="C48"/>
      <c r="D48"/>
      <c r="F48" s="20"/>
    </row>
    <row r="49" spans="1:6" x14ac:dyDescent="0.25">
      <c r="A49" s="18">
        <v>44652</v>
      </c>
      <c r="B49" s="20">
        <v>2.8900000000000002E-2</v>
      </c>
      <c r="C49"/>
      <c r="D49"/>
      <c r="F49" s="20"/>
    </row>
    <row r="50" spans="1:6" x14ac:dyDescent="0.25">
      <c r="A50" s="18">
        <v>44621</v>
      </c>
      <c r="B50" s="20">
        <v>2.3199999999999998E-2</v>
      </c>
      <c r="C50"/>
      <c r="D50"/>
      <c r="F50" s="20"/>
    </row>
    <row r="51" spans="1:6" x14ac:dyDescent="0.25">
      <c r="A51" s="18">
        <v>44593</v>
      </c>
      <c r="B51" s="20">
        <v>1.83E-2</v>
      </c>
      <c r="C51"/>
      <c r="D51"/>
      <c r="F51" s="20"/>
    </row>
    <row r="52" spans="1:6" x14ac:dyDescent="0.25">
      <c r="A52" s="18">
        <v>44562</v>
      </c>
      <c r="B52" s="20">
        <v>1.7899999999999999E-2</v>
      </c>
      <c r="C52"/>
      <c r="D52"/>
      <c r="F52" s="20"/>
    </row>
    <row r="53" spans="1:6" x14ac:dyDescent="0.25">
      <c r="A53" s="18">
        <v>44531</v>
      </c>
      <c r="B53" s="20">
        <v>1.52E-2</v>
      </c>
      <c r="C53"/>
      <c r="D53"/>
      <c r="F53" s="20"/>
    </row>
    <row r="54" spans="1:6" x14ac:dyDescent="0.25">
      <c r="A54" s="18">
        <v>44501</v>
      </c>
      <c r="B54" s="20">
        <v>1.43E-2</v>
      </c>
      <c r="C54"/>
      <c r="D54"/>
      <c r="F54" s="20"/>
    </row>
    <row r="55" spans="1:6" x14ac:dyDescent="0.25">
      <c r="A55" s="18">
        <v>44470</v>
      </c>
      <c r="B55" s="20">
        <v>1.55E-2</v>
      </c>
      <c r="C55"/>
      <c r="D55"/>
      <c r="F55" s="20"/>
    </row>
    <row r="56" spans="1:6" x14ac:dyDescent="0.25">
      <c r="A56" s="18">
        <v>44440</v>
      </c>
      <c r="B56" s="20">
        <v>1.52E-2</v>
      </c>
      <c r="C56"/>
      <c r="D56"/>
      <c r="F56" s="20"/>
    </row>
    <row r="57" spans="1:6" x14ac:dyDescent="0.25">
      <c r="A57" s="18">
        <v>44409</v>
      </c>
      <c r="B57" s="20">
        <v>1.3000000000000001E-2</v>
      </c>
      <c r="C57"/>
      <c r="D57"/>
      <c r="F57" s="20"/>
    </row>
    <row r="58" spans="1:6" x14ac:dyDescent="0.25">
      <c r="A58" s="18">
        <v>44378</v>
      </c>
      <c r="B58" s="20">
        <v>1.24E-2</v>
      </c>
      <c r="C58"/>
      <c r="D58"/>
      <c r="F58" s="20"/>
    </row>
    <row r="59" spans="1:6" x14ac:dyDescent="0.25">
      <c r="A59" s="18">
        <v>44348</v>
      </c>
      <c r="B59" s="20">
        <v>1.4499999999999999E-2</v>
      </c>
      <c r="C59"/>
      <c r="D59"/>
      <c r="F59" s="20"/>
    </row>
    <row r="60" spans="1:6" x14ac:dyDescent="0.25">
      <c r="A60" s="18">
        <v>44317</v>
      </c>
      <c r="B60" s="20">
        <v>1.5800000000000002E-2</v>
      </c>
      <c r="C60"/>
      <c r="D60"/>
      <c r="F60" s="20"/>
    </row>
    <row r="61" spans="1:6" x14ac:dyDescent="0.25">
      <c r="A61" s="18">
        <v>44287</v>
      </c>
      <c r="B61" s="20">
        <v>1.6500000000000001E-2</v>
      </c>
      <c r="C61"/>
      <c r="D61"/>
      <c r="F61" s="20"/>
    </row>
    <row r="62" spans="1:6" x14ac:dyDescent="0.25">
      <c r="A62" s="18">
        <v>44256</v>
      </c>
      <c r="B62" s="20">
        <v>1.7399999999999999E-2</v>
      </c>
      <c r="C62"/>
      <c r="D62"/>
      <c r="F62" s="20"/>
    </row>
    <row r="63" spans="1:6" x14ac:dyDescent="0.25">
      <c r="A63" s="18">
        <v>44228</v>
      </c>
      <c r="B63" s="20">
        <v>1.44E-2</v>
      </c>
      <c r="C63"/>
      <c r="D63"/>
      <c r="F63" s="20"/>
    </row>
    <row r="64" spans="1:6" x14ac:dyDescent="0.25">
      <c r="A64" s="18">
        <v>44197</v>
      </c>
      <c r="B64" s="20">
        <v>1.11E-2</v>
      </c>
      <c r="C64"/>
      <c r="D64"/>
      <c r="F64" s="20"/>
    </row>
    <row r="65" spans="1:6" x14ac:dyDescent="0.25">
      <c r="A65" s="18">
        <v>44166</v>
      </c>
      <c r="B65" s="20">
        <v>9.300000000000001E-3</v>
      </c>
      <c r="C65"/>
      <c r="D65"/>
      <c r="F65" s="20"/>
    </row>
    <row r="66" spans="1:6" x14ac:dyDescent="0.25">
      <c r="A66" s="18">
        <v>44136</v>
      </c>
      <c r="B66" s="20">
        <v>8.3999999999999995E-3</v>
      </c>
      <c r="C66"/>
      <c r="D66"/>
      <c r="F66" s="20"/>
    </row>
    <row r="67" spans="1:6" x14ac:dyDescent="0.25">
      <c r="A67" s="18">
        <v>44105</v>
      </c>
      <c r="B67" s="20">
        <v>8.8000000000000005E-3</v>
      </c>
      <c r="C67"/>
      <c r="D67"/>
      <c r="F67" s="20"/>
    </row>
    <row r="68" spans="1:6" x14ac:dyDescent="0.25">
      <c r="A68" s="18">
        <v>44075</v>
      </c>
      <c r="B68" s="20">
        <v>6.8999999999999999E-3</v>
      </c>
      <c r="C68"/>
      <c r="D68"/>
      <c r="F68" s="20"/>
    </row>
    <row r="69" spans="1:6" x14ac:dyDescent="0.25">
      <c r="A69" s="18">
        <v>44044</v>
      </c>
      <c r="B69" s="20">
        <v>7.1999999999999998E-3</v>
      </c>
      <c r="C69"/>
      <c r="D69"/>
      <c r="F69" s="20"/>
    </row>
    <row r="70" spans="1:6" x14ac:dyDescent="0.25">
      <c r="A70" s="18">
        <v>44013</v>
      </c>
      <c r="B70" s="20">
        <v>5.5000000000000005E-3</v>
      </c>
      <c r="C70"/>
      <c r="D70"/>
      <c r="F70" s="20"/>
    </row>
    <row r="71" spans="1:6" x14ac:dyDescent="0.25">
      <c r="A71" s="18">
        <v>43983</v>
      </c>
      <c r="B71" s="20">
        <v>6.6E-3</v>
      </c>
      <c r="C71"/>
      <c r="D71"/>
      <c r="F71" s="20"/>
    </row>
    <row r="72" spans="1:6" x14ac:dyDescent="0.25">
      <c r="A72" s="18">
        <v>43952</v>
      </c>
      <c r="B72" s="20">
        <v>6.5000000000000006E-3</v>
      </c>
      <c r="C72"/>
      <c r="D72"/>
      <c r="F72" s="20"/>
    </row>
    <row r="73" spans="1:6" x14ac:dyDescent="0.25">
      <c r="A73" s="18">
        <v>43922</v>
      </c>
      <c r="B73" s="20">
        <v>6.4000000000000003E-3</v>
      </c>
      <c r="C73"/>
      <c r="D73"/>
      <c r="F73" s="20"/>
    </row>
    <row r="74" spans="1:6" x14ac:dyDescent="0.25">
      <c r="A74" s="18">
        <v>43891</v>
      </c>
      <c r="B74" s="20">
        <v>6.9999999999999993E-3</v>
      </c>
      <c r="C74"/>
      <c r="D74"/>
      <c r="F74" s="20"/>
    </row>
    <row r="75" spans="1:6" x14ac:dyDescent="0.25">
      <c r="A75" s="18">
        <v>43862</v>
      </c>
      <c r="B75" s="20">
        <v>1.1299999999999999E-2</v>
      </c>
      <c r="C75"/>
      <c r="D75"/>
      <c r="F75" s="20"/>
    </row>
    <row r="76" spans="1:6" x14ac:dyDescent="0.25">
      <c r="A76" s="18">
        <v>43831</v>
      </c>
      <c r="B76" s="20">
        <v>1.5100000000000001E-2</v>
      </c>
      <c r="C76"/>
      <c r="D76"/>
      <c r="F76" s="20"/>
    </row>
    <row r="77" spans="1:6" x14ac:dyDescent="0.25">
      <c r="A77" s="18">
        <v>43800</v>
      </c>
      <c r="B77" s="20">
        <v>1.9199999999999998E-2</v>
      </c>
      <c r="C77"/>
      <c r="D77"/>
      <c r="F77" s="20"/>
    </row>
    <row r="78" spans="1:6" x14ac:dyDescent="0.25">
      <c r="A78" s="18">
        <v>43770</v>
      </c>
      <c r="B78" s="20">
        <v>1.78E-2</v>
      </c>
      <c r="C78"/>
      <c r="D78"/>
      <c r="F78" s="20"/>
    </row>
    <row r="79" spans="1:6" x14ac:dyDescent="0.25">
      <c r="A79" s="18">
        <v>43739</v>
      </c>
      <c r="B79" s="20">
        <v>1.6899999999999998E-2</v>
      </c>
      <c r="C79"/>
      <c r="D79"/>
      <c r="F79" s="20"/>
    </row>
    <row r="80" spans="1:6" x14ac:dyDescent="0.25">
      <c r="A80" s="18">
        <v>43709</v>
      </c>
      <c r="B80" s="20">
        <v>1.6799999999999999E-2</v>
      </c>
      <c r="C80"/>
      <c r="D80"/>
      <c r="F80" s="20"/>
    </row>
    <row r="81" spans="1:6" x14ac:dyDescent="0.25">
      <c r="A81" s="18">
        <v>43678</v>
      </c>
      <c r="B81" s="20">
        <v>1.4999999999999999E-2</v>
      </c>
      <c r="C81"/>
      <c r="D81"/>
      <c r="F81" s="20"/>
    </row>
    <row r="82" spans="1:6" x14ac:dyDescent="0.25">
      <c r="A82" s="18">
        <v>43647</v>
      </c>
      <c r="B82" s="20">
        <v>2.0199999999999999E-2</v>
      </c>
      <c r="C82"/>
      <c r="D82"/>
      <c r="F82" s="20"/>
    </row>
    <row r="83" spans="1:6" x14ac:dyDescent="0.25">
      <c r="A83" s="18">
        <v>43617</v>
      </c>
      <c r="B83" s="20">
        <v>0.02</v>
      </c>
      <c r="C83"/>
      <c r="D83"/>
      <c r="F83" s="20"/>
    </row>
    <row r="84" spans="1:6" x14ac:dyDescent="0.25">
      <c r="A84" s="18">
        <v>43586</v>
      </c>
      <c r="B84" s="20">
        <v>2.1400000000000002E-2</v>
      </c>
      <c r="C84"/>
      <c r="D84"/>
      <c r="F84" s="20"/>
    </row>
    <row r="85" spans="1:6" x14ac:dyDescent="0.25">
      <c r="A85" s="18">
        <v>43556</v>
      </c>
      <c r="B85" s="20">
        <v>2.5099999999999997E-2</v>
      </c>
      <c r="C85"/>
      <c r="D85"/>
      <c r="F85" s="20"/>
    </row>
    <row r="86" spans="1:6" x14ac:dyDescent="0.25">
      <c r="A86" s="18">
        <v>43525</v>
      </c>
      <c r="B86" s="20">
        <v>2.41E-2</v>
      </c>
      <c r="C86"/>
      <c r="D86"/>
      <c r="F86" s="20"/>
    </row>
    <row r="87" spans="1:6" x14ac:dyDescent="0.25">
      <c r="A87" s="18">
        <v>43497</v>
      </c>
      <c r="B87" s="20">
        <v>2.7300000000000001E-2</v>
      </c>
      <c r="C87"/>
      <c r="D87"/>
      <c r="F87" s="20"/>
    </row>
    <row r="88" spans="1:6" x14ac:dyDescent="0.25">
      <c r="A88" s="18">
        <v>43466</v>
      </c>
      <c r="B88" s="20">
        <v>2.63E-2</v>
      </c>
      <c r="C88"/>
      <c r="D88"/>
      <c r="F88" s="20"/>
    </row>
    <row r="89" spans="1:6" x14ac:dyDescent="0.25">
      <c r="A89" s="18">
        <v>43435</v>
      </c>
      <c r="B89" s="20">
        <v>2.69E-2</v>
      </c>
      <c r="C89"/>
      <c r="D89"/>
      <c r="F89" s="20"/>
    </row>
    <row r="90" spans="1:6" x14ac:dyDescent="0.25">
      <c r="A90" s="18">
        <v>43405</v>
      </c>
      <c r="B90" s="20">
        <v>3.0099999999999998E-2</v>
      </c>
      <c r="C90"/>
      <c r="D90"/>
      <c r="F90" s="20"/>
    </row>
    <row r="91" spans="1:6" x14ac:dyDescent="0.25">
      <c r="A91" s="18">
        <v>43374</v>
      </c>
      <c r="B91" s="20">
        <v>3.15E-2</v>
      </c>
      <c r="C91"/>
      <c r="D91"/>
      <c r="F91" s="20"/>
    </row>
    <row r="92" spans="1:6" x14ac:dyDescent="0.25">
      <c r="A92" s="18">
        <v>43344</v>
      </c>
      <c r="B92" s="20">
        <v>3.0499999999999999E-2</v>
      </c>
      <c r="C92"/>
      <c r="D92"/>
      <c r="F92" s="20"/>
    </row>
    <row r="93" spans="1:6" x14ac:dyDescent="0.25">
      <c r="A93" s="18">
        <v>43313</v>
      </c>
      <c r="B93" s="20">
        <v>2.86E-2</v>
      </c>
      <c r="C93"/>
      <c r="D93"/>
      <c r="F93" s="20"/>
    </row>
    <row r="94" spans="1:6" x14ac:dyDescent="0.25">
      <c r="A94" s="18">
        <v>43282</v>
      </c>
      <c r="B94" s="20">
        <v>2.9600000000000001E-2</v>
      </c>
      <c r="C94"/>
      <c r="D94"/>
      <c r="F94" s="20"/>
    </row>
    <row r="95" spans="1:6" x14ac:dyDescent="0.25">
      <c r="A95" s="18">
        <v>43252</v>
      </c>
      <c r="B95" s="20">
        <v>2.8500000000000001E-2</v>
      </c>
      <c r="C95"/>
      <c r="D95"/>
      <c r="F95" s="20"/>
    </row>
    <row r="96" spans="1:6" x14ac:dyDescent="0.25">
      <c r="A96" s="18">
        <v>43221</v>
      </c>
      <c r="B96" s="20">
        <v>2.8300000000000002E-2</v>
      </c>
      <c r="C96"/>
      <c r="D96"/>
      <c r="F96" s="20"/>
    </row>
    <row r="97" spans="1:6" x14ac:dyDescent="0.25">
      <c r="A97" s="18">
        <v>43191</v>
      </c>
      <c r="B97" s="20">
        <v>2.9500000000000002E-2</v>
      </c>
      <c r="C97"/>
      <c r="D97"/>
      <c r="F97" s="20"/>
    </row>
    <row r="98" spans="1:6" x14ac:dyDescent="0.25">
      <c r="A98" s="18">
        <v>43160</v>
      </c>
      <c r="B98" s="20">
        <v>2.7400000000000001E-2</v>
      </c>
      <c r="C98"/>
      <c r="D98"/>
      <c r="F98" s="20"/>
    </row>
    <row r="99" spans="1:6" x14ac:dyDescent="0.25">
      <c r="A99" s="18">
        <v>43132</v>
      </c>
      <c r="B99" s="20">
        <v>2.87E-2</v>
      </c>
      <c r="C99"/>
      <c r="D99"/>
      <c r="F99" s="20"/>
    </row>
    <row r="100" spans="1:6" x14ac:dyDescent="0.25">
      <c r="A100" s="18">
        <v>43101</v>
      </c>
      <c r="B100" s="20">
        <v>2.7200000000000002E-2</v>
      </c>
      <c r="C100"/>
      <c r="D100"/>
      <c r="F100" s="20"/>
    </row>
    <row r="101" spans="1:6" x14ac:dyDescent="0.25">
      <c r="A101" s="18">
        <v>43070</v>
      </c>
      <c r="B101" s="20">
        <v>2.4E-2</v>
      </c>
      <c r="C101"/>
      <c r="D101"/>
      <c r="F101" s="20"/>
    </row>
    <row r="102" spans="1:6" x14ac:dyDescent="0.25">
      <c r="A102" s="18">
        <v>43040</v>
      </c>
      <c r="B102" s="20">
        <v>2.4199999999999999E-2</v>
      </c>
      <c r="C102"/>
      <c r="D102"/>
      <c r="F102" s="20"/>
    </row>
    <row r="103" spans="1:6" x14ac:dyDescent="0.25">
      <c r="A103" s="18">
        <v>43009</v>
      </c>
      <c r="B103" s="20">
        <v>2.3799999999999998E-2</v>
      </c>
      <c r="C103"/>
      <c r="D103"/>
      <c r="F103" s="20"/>
    </row>
    <row r="104" spans="1:6" x14ac:dyDescent="0.25">
      <c r="A104" s="18">
        <v>42979</v>
      </c>
      <c r="B104" s="20">
        <v>2.3300000000000001E-2</v>
      </c>
      <c r="C104"/>
      <c r="D104"/>
      <c r="F104" s="20"/>
    </row>
    <row r="105" spans="1:6" x14ac:dyDescent="0.25">
      <c r="A105" s="18">
        <v>42948</v>
      </c>
      <c r="B105" s="20">
        <v>2.12E-2</v>
      </c>
      <c r="C105"/>
      <c r="D105"/>
      <c r="F105" s="20"/>
    </row>
    <row r="106" spans="1:6" x14ac:dyDescent="0.25">
      <c r="A106" s="18">
        <v>42917</v>
      </c>
      <c r="B106" s="20">
        <v>2.3E-2</v>
      </c>
      <c r="C106"/>
      <c r="D106"/>
      <c r="F106" s="20"/>
    </row>
    <row r="107" spans="1:6" x14ac:dyDescent="0.25">
      <c r="A107" s="18">
        <v>42887</v>
      </c>
      <c r="B107" s="20">
        <v>2.3099999999999999E-2</v>
      </c>
      <c r="C107"/>
      <c r="D107"/>
      <c r="F107" s="20"/>
    </row>
    <row r="108" spans="1:6" x14ac:dyDescent="0.25">
      <c r="A108" s="18">
        <v>42856</v>
      </c>
      <c r="B108" s="20">
        <v>2.2099999999999998E-2</v>
      </c>
      <c r="C108"/>
      <c r="D108"/>
      <c r="F108" s="20"/>
    </row>
    <row r="109" spans="1:6" x14ac:dyDescent="0.25">
      <c r="A109" s="18">
        <v>42826</v>
      </c>
      <c r="B109" s="20">
        <v>2.29E-2</v>
      </c>
      <c r="C109"/>
      <c r="D109"/>
      <c r="F109" s="20"/>
    </row>
    <row r="110" spans="1:6" x14ac:dyDescent="0.25">
      <c r="A110" s="18">
        <v>42795</v>
      </c>
      <c r="B110" s="20">
        <v>2.4E-2</v>
      </c>
      <c r="C110"/>
      <c r="D110"/>
      <c r="F110" s="20"/>
    </row>
    <row r="111" spans="1:6" x14ac:dyDescent="0.25">
      <c r="A111" s="18">
        <v>42767</v>
      </c>
      <c r="B111" s="20">
        <v>2.3599999999999999E-2</v>
      </c>
      <c r="C111"/>
      <c r="D111"/>
      <c r="F111" s="20"/>
    </row>
    <row r="112" spans="1:6" x14ac:dyDescent="0.25">
      <c r="A112" s="18">
        <v>42736</v>
      </c>
      <c r="B112" s="20">
        <v>2.4500000000000001E-2</v>
      </c>
      <c r="C112"/>
      <c r="D112"/>
      <c r="F112" s="20"/>
    </row>
    <row r="113" spans="1:6" x14ac:dyDescent="0.25">
      <c r="A113" s="18">
        <v>42705</v>
      </c>
      <c r="B113" s="20">
        <v>2.4500000000000001E-2</v>
      </c>
      <c r="C113"/>
      <c r="D113"/>
      <c r="F113" s="20"/>
    </row>
    <row r="114" spans="1:6" x14ac:dyDescent="0.25">
      <c r="A114" s="18">
        <v>42675</v>
      </c>
      <c r="B114" s="20">
        <v>2.3700000000000002E-2</v>
      </c>
      <c r="C114"/>
      <c r="D114"/>
      <c r="F114" s="20"/>
    </row>
    <row r="115" spans="1:6" x14ac:dyDescent="0.25">
      <c r="A115" s="18">
        <v>42644</v>
      </c>
      <c r="B115" s="20">
        <v>1.84E-2</v>
      </c>
      <c r="C115"/>
      <c r="D115"/>
      <c r="F115" s="20"/>
    </row>
    <row r="116" spans="1:6" x14ac:dyDescent="0.25">
      <c r="A116" s="18">
        <v>42614</v>
      </c>
      <c r="B116" s="20">
        <v>1.6E-2</v>
      </c>
      <c r="C116"/>
      <c r="D116"/>
      <c r="F116" s="20"/>
    </row>
    <row r="117" spans="1:6" x14ac:dyDescent="0.25">
      <c r="A117" s="18">
        <v>42583</v>
      </c>
      <c r="B117" s="20">
        <v>1.5800000000000002E-2</v>
      </c>
      <c r="C117"/>
      <c r="D117"/>
      <c r="F117" s="20"/>
    </row>
    <row r="118" spans="1:6" x14ac:dyDescent="0.25">
      <c r="A118" s="18">
        <v>42552</v>
      </c>
      <c r="B118" s="20">
        <v>1.46E-2</v>
      </c>
      <c r="C118"/>
      <c r="D118"/>
      <c r="F118" s="20"/>
    </row>
    <row r="119" spans="1:6" x14ac:dyDescent="0.25">
      <c r="A119" s="18">
        <v>42522</v>
      </c>
      <c r="B119" s="20">
        <v>1.49E-2</v>
      </c>
      <c r="C119"/>
      <c r="D119"/>
      <c r="F119" s="20"/>
    </row>
    <row r="120" spans="1:6" x14ac:dyDescent="0.25">
      <c r="A120" s="18">
        <v>42491</v>
      </c>
      <c r="B120" s="20">
        <v>1.84E-2</v>
      </c>
      <c r="C120"/>
      <c r="D120"/>
      <c r="F120" s="20"/>
    </row>
    <row r="121" spans="1:6" x14ac:dyDescent="0.25">
      <c r="A121" s="18">
        <v>42461</v>
      </c>
      <c r="B121" s="20">
        <v>1.83E-2</v>
      </c>
      <c r="C121"/>
      <c r="D121"/>
      <c r="F121" s="20"/>
    </row>
    <row r="122" spans="1:6" x14ac:dyDescent="0.25">
      <c r="A122" s="18">
        <v>42430</v>
      </c>
      <c r="B122" s="20">
        <v>1.78E-2</v>
      </c>
      <c r="C122"/>
      <c r="D122"/>
      <c r="F122" s="20"/>
    </row>
    <row r="123" spans="1:6" x14ac:dyDescent="0.25">
      <c r="A123" s="18">
        <v>42401</v>
      </c>
      <c r="B123" s="20">
        <v>1.7399999999999999E-2</v>
      </c>
      <c r="C123"/>
      <c r="D123"/>
      <c r="F123" s="20"/>
    </row>
    <row r="124" spans="1:6" x14ac:dyDescent="0.25">
      <c r="A124" s="18">
        <v>42370</v>
      </c>
      <c r="B124" s="20">
        <v>1.9400000000000001E-2</v>
      </c>
      <c r="C124"/>
      <c r="D124"/>
      <c r="F124" s="20"/>
    </row>
    <row r="125" spans="1:6" x14ac:dyDescent="0.25">
      <c r="A125" s="18">
        <v>42339</v>
      </c>
      <c r="B125" s="20">
        <v>2.2700000000000001E-2</v>
      </c>
      <c r="C125"/>
      <c r="D125"/>
      <c r="F125" s="20"/>
    </row>
    <row r="126" spans="1:6" x14ac:dyDescent="0.25">
      <c r="A126" s="18">
        <v>42309</v>
      </c>
      <c r="B126" s="20">
        <v>2.2099999999999998E-2</v>
      </c>
      <c r="C126"/>
      <c r="D126"/>
      <c r="F126" s="20"/>
    </row>
    <row r="127" spans="1:6" x14ac:dyDescent="0.25">
      <c r="A127" s="18">
        <v>42278</v>
      </c>
      <c r="B127" s="20">
        <v>2.1600000000000001E-2</v>
      </c>
      <c r="C127"/>
      <c r="D127"/>
      <c r="F127" s="20"/>
    </row>
    <row r="128" spans="1:6" x14ac:dyDescent="0.25">
      <c r="A128" s="18">
        <v>42248</v>
      </c>
      <c r="B128" s="20">
        <v>2.06E-2</v>
      </c>
      <c r="C128"/>
      <c r="D128"/>
      <c r="F128" s="20"/>
    </row>
    <row r="129" spans="1:6" x14ac:dyDescent="0.25">
      <c r="A129" s="18">
        <v>42217</v>
      </c>
      <c r="B129" s="20">
        <v>2.2099999999999998E-2</v>
      </c>
      <c r="C129"/>
      <c r="D129"/>
      <c r="F129" s="20"/>
    </row>
    <row r="130" spans="1:6" x14ac:dyDescent="0.25">
      <c r="A130" s="18">
        <v>42186</v>
      </c>
      <c r="B130" s="20">
        <v>2.2000000000000002E-2</v>
      </c>
      <c r="C130"/>
      <c r="D130"/>
      <c r="F130" s="20"/>
    </row>
    <row r="131" spans="1:6" x14ac:dyDescent="0.25">
      <c r="A131" s="18">
        <v>42156</v>
      </c>
      <c r="B131" s="20">
        <v>2.35E-2</v>
      </c>
      <c r="C131"/>
      <c r="D131"/>
      <c r="F131" s="20"/>
    </row>
    <row r="132" spans="1:6" x14ac:dyDescent="0.25">
      <c r="A132" s="18">
        <v>42125</v>
      </c>
      <c r="B132" s="20">
        <v>2.12E-2</v>
      </c>
      <c r="C132"/>
      <c r="D132"/>
      <c r="F132" s="20"/>
    </row>
    <row r="133" spans="1:6" x14ac:dyDescent="0.25">
      <c r="A133" s="18">
        <v>42095</v>
      </c>
      <c r="B133" s="20">
        <v>2.0499999999999997E-2</v>
      </c>
      <c r="C133"/>
      <c r="D133"/>
      <c r="F133" s="20"/>
    </row>
    <row r="134" spans="1:6" x14ac:dyDescent="0.25">
      <c r="A134" s="18">
        <v>42064</v>
      </c>
      <c r="B134" s="20">
        <v>1.9400000000000001E-2</v>
      </c>
      <c r="C134"/>
      <c r="D134"/>
      <c r="F134" s="20"/>
    </row>
    <row r="135" spans="1:6" x14ac:dyDescent="0.25">
      <c r="C135"/>
      <c r="D135"/>
      <c r="F135" s="20"/>
    </row>
    <row r="136" spans="1:6" x14ac:dyDescent="0.25">
      <c r="C136"/>
      <c r="D136"/>
      <c r="F136" s="20"/>
    </row>
    <row r="137" spans="1:6" x14ac:dyDescent="0.25">
      <c r="C137"/>
      <c r="D137"/>
      <c r="F137" s="20"/>
    </row>
    <row r="138" spans="1:6" x14ac:dyDescent="0.25">
      <c r="C138"/>
      <c r="D138"/>
      <c r="F138" s="20"/>
    </row>
    <row r="139" spans="1:6" x14ac:dyDescent="0.25">
      <c r="C139"/>
      <c r="D139"/>
      <c r="F139" s="20"/>
    </row>
    <row r="140" spans="1:6" x14ac:dyDescent="0.25">
      <c r="C140"/>
      <c r="D140"/>
      <c r="F140" s="20"/>
    </row>
    <row r="141" spans="1:6" x14ac:dyDescent="0.25">
      <c r="C141"/>
      <c r="D141"/>
      <c r="F141" s="20"/>
    </row>
    <row r="142" spans="1:6" x14ac:dyDescent="0.25">
      <c r="C142"/>
      <c r="D142"/>
      <c r="F142" s="20"/>
    </row>
    <row r="143" spans="1:6" x14ac:dyDescent="0.25">
      <c r="C143"/>
      <c r="D143"/>
      <c r="F143" s="20"/>
    </row>
    <row r="144" spans="1:6" x14ac:dyDescent="0.25">
      <c r="C144"/>
      <c r="D144"/>
      <c r="F144" s="20"/>
    </row>
    <row r="145" spans="3:6" x14ac:dyDescent="0.25">
      <c r="C145"/>
      <c r="D145"/>
      <c r="F145" s="20"/>
    </row>
    <row r="146" spans="3:6" x14ac:dyDescent="0.25">
      <c r="C146"/>
      <c r="D146"/>
      <c r="F146" s="20"/>
    </row>
    <row r="147" spans="3:6" x14ac:dyDescent="0.25">
      <c r="C147"/>
      <c r="D147"/>
      <c r="F147" s="20"/>
    </row>
    <row r="148" spans="3:6" x14ac:dyDescent="0.25">
      <c r="C148"/>
      <c r="D148"/>
      <c r="F148" s="20"/>
    </row>
    <row r="149" spans="3:6" x14ac:dyDescent="0.25">
      <c r="C149"/>
      <c r="D149"/>
      <c r="F149" s="20"/>
    </row>
    <row r="150" spans="3:6" x14ac:dyDescent="0.25">
      <c r="C150"/>
      <c r="D150"/>
      <c r="F150" s="20"/>
    </row>
    <row r="151" spans="3:6" x14ac:dyDescent="0.25">
      <c r="C151"/>
      <c r="D151"/>
      <c r="F151" s="20"/>
    </row>
    <row r="152" spans="3:6" x14ac:dyDescent="0.25">
      <c r="C152"/>
      <c r="D152"/>
      <c r="F152" s="20"/>
    </row>
    <row r="153" spans="3:6" x14ac:dyDescent="0.25">
      <c r="C153"/>
      <c r="D153"/>
      <c r="F153" s="20"/>
    </row>
    <row r="154" spans="3:6" x14ac:dyDescent="0.25">
      <c r="C154"/>
      <c r="D154"/>
      <c r="F154" s="20"/>
    </row>
    <row r="155" spans="3:6" x14ac:dyDescent="0.25">
      <c r="C155"/>
      <c r="D155"/>
      <c r="F155" s="20"/>
    </row>
    <row r="156" spans="3:6" x14ac:dyDescent="0.25">
      <c r="C156"/>
      <c r="D156"/>
      <c r="F156" s="20"/>
    </row>
    <row r="157" spans="3:6" x14ac:dyDescent="0.25">
      <c r="C157"/>
      <c r="D157"/>
      <c r="F157" s="20"/>
    </row>
    <row r="158" spans="3:6" x14ac:dyDescent="0.25">
      <c r="C158"/>
      <c r="D158"/>
      <c r="F158" s="20"/>
    </row>
    <row r="159" spans="3:6" x14ac:dyDescent="0.25">
      <c r="C159"/>
      <c r="D159"/>
      <c r="F159" s="20"/>
    </row>
    <row r="160" spans="3:6" x14ac:dyDescent="0.25">
      <c r="C160"/>
      <c r="D160"/>
      <c r="F160" s="20"/>
    </row>
    <row r="161" spans="3:6" x14ac:dyDescent="0.25">
      <c r="C161"/>
      <c r="D161"/>
      <c r="F161" s="20"/>
    </row>
    <row r="162" spans="3:6" x14ac:dyDescent="0.25">
      <c r="C162"/>
      <c r="D162"/>
      <c r="F162" s="20"/>
    </row>
    <row r="163" spans="3:6" x14ac:dyDescent="0.25">
      <c r="C163"/>
      <c r="D163"/>
      <c r="F163" s="20"/>
    </row>
    <row r="164" spans="3:6" x14ac:dyDescent="0.25">
      <c r="C164"/>
      <c r="D164"/>
      <c r="F164" s="20"/>
    </row>
    <row r="165" spans="3:6" x14ac:dyDescent="0.25">
      <c r="C165"/>
      <c r="D165"/>
      <c r="F165" s="20"/>
    </row>
    <row r="166" spans="3:6" x14ac:dyDescent="0.25">
      <c r="C166"/>
      <c r="D166"/>
      <c r="F166" s="20"/>
    </row>
    <row r="167" spans="3:6" x14ac:dyDescent="0.25">
      <c r="C167"/>
      <c r="D167"/>
      <c r="F167" s="20"/>
    </row>
    <row r="168" spans="3:6" x14ac:dyDescent="0.25">
      <c r="C168"/>
      <c r="D168"/>
      <c r="F168" s="20"/>
    </row>
    <row r="169" spans="3:6" x14ac:dyDescent="0.25">
      <c r="C169"/>
      <c r="D169"/>
      <c r="F169" s="20"/>
    </row>
    <row r="170" spans="3:6" x14ac:dyDescent="0.25">
      <c r="C170"/>
      <c r="D170"/>
      <c r="F170" s="20"/>
    </row>
    <row r="171" spans="3:6" x14ac:dyDescent="0.25">
      <c r="C171"/>
      <c r="D171"/>
      <c r="F171" s="20"/>
    </row>
    <row r="172" spans="3:6" x14ac:dyDescent="0.25">
      <c r="C172"/>
      <c r="D172"/>
      <c r="F172" s="20"/>
    </row>
    <row r="173" spans="3:6" x14ac:dyDescent="0.25">
      <c r="C173"/>
      <c r="D173"/>
      <c r="F173" s="20"/>
    </row>
    <row r="174" spans="3:6" x14ac:dyDescent="0.25">
      <c r="C174"/>
      <c r="D174"/>
      <c r="F174" s="20"/>
    </row>
    <row r="175" spans="3:6" x14ac:dyDescent="0.25">
      <c r="C175"/>
      <c r="D175"/>
      <c r="F175" s="20"/>
    </row>
    <row r="176" spans="3:6" x14ac:dyDescent="0.25">
      <c r="C176"/>
      <c r="D176"/>
      <c r="F176" s="20"/>
    </row>
    <row r="177" spans="3:6" x14ac:dyDescent="0.25">
      <c r="C177"/>
      <c r="D177"/>
      <c r="F177" s="20"/>
    </row>
    <row r="178" spans="3:6" x14ac:dyDescent="0.25">
      <c r="C178"/>
      <c r="D178"/>
      <c r="F178" s="20"/>
    </row>
    <row r="179" spans="3:6" x14ac:dyDescent="0.25">
      <c r="C179"/>
      <c r="D179"/>
      <c r="F179" s="20"/>
    </row>
    <row r="180" spans="3:6" x14ac:dyDescent="0.25">
      <c r="C180"/>
      <c r="D180"/>
      <c r="F180" s="20"/>
    </row>
    <row r="181" spans="3:6" x14ac:dyDescent="0.25">
      <c r="C181"/>
      <c r="D181"/>
      <c r="F181" s="20"/>
    </row>
    <row r="182" spans="3:6" x14ac:dyDescent="0.25">
      <c r="C182"/>
      <c r="D182"/>
      <c r="F182" s="20"/>
    </row>
    <row r="183" spans="3:6" x14ac:dyDescent="0.25">
      <c r="C183"/>
      <c r="D183"/>
      <c r="F183" s="20"/>
    </row>
    <row r="184" spans="3:6" x14ac:dyDescent="0.25">
      <c r="C184"/>
      <c r="D184"/>
      <c r="F184" s="20"/>
    </row>
    <row r="185" spans="3:6" x14ac:dyDescent="0.25">
      <c r="C185"/>
      <c r="D185"/>
      <c r="F185" s="20"/>
    </row>
    <row r="186" spans="3:6" x14ac:dyDescent="0.25">
      <c r="C186"/>
      <c r="D186"/>
      <c r="F186" s="20"/>
    </row>
    <row r="187" spans="3:6" x14ac:dyDescent="0.25">
      <c r="C187"/>
      <c r="D187"/>
      <c r="F187" s="20"/>
    </row>
    <row r="188" spans="3:6" x14ac:dyDescent="0.25">
      <c r="C188"/>
      <c r="D188"/>
      <c r="F188" s="20"/>
    </row>
    <row r="189" spans="3:6" x14ac:dyDescent="0.25">
      <c r="C189"/>
      <c r="D189"/>
      <c r="F189" s="20"/>
    </row>
    <row r="190" spans="3:6" x14ac:dyDescent="0.25">
      <c r="C190"/>
      <c r="D190"/>
      <c r="F190" s="20"/>
    </row>
    <row r="191" spans="3:6" x14ac:dyDescent="0.25">
      <c r="C191"/>
      <c r="D191"/>
      <c r="F191" s="20"/>
    </row>
    <row r="192" spans="3:6" x14ac:dyDescent="0.25">
      <c r="C192"/>
      <c r="D192"/>
      <c r="F192" s="20"/>
    </row>
    <row r="193" spans="3:6" x14ac:dyDescent="0.25">
      <c r="C193"/>
      <c r="D193"/>
      <c r="F193" s="20"/>
    </row>
    <row r="194" spans="3:6" x14ac:dyDescent="0.25">
      <c r="C194"/>
      <c r="D194"/>
      <c r="F194" s="20"/>
    </row>
    <row r="195" spans="3:6" x14ac:dyDescent="0.25">
      <c r="C195"/>
      <c r="D195"/>
      <c r="F195" s="20"/>
    </row>
    <row r="196" spans="3:6" x14ac:dyDescent="0.25">
      <c r="C196"/>
      <c r="D196"/>
      <c r="F196" s="20"/>
    </row>
    <row r="197" spans="3:6" x14ac:dyDescent="0.25">
      <c r="C197"/>
      <c r="D197"/>
      <c r="F197" s="20"/>
    </row>
    <row r="198" spans="3:6" x14ac:dyDescent="0.25">
      <c r="C198"/>
      <c r="D198"/>
      <c r="F198" s="20"/>
    </row>
    <row r="199" spans="3:6" x14ac:dyDescent="0.25">
      <c r="C199"/>
      <c r="D199"/>
      <c r="F199" s="20"/>
    </row>
    <row r="200" spans="3:6" x14ac:dyDescent="0.25">
      <c r="C200"/>
      <c r="D200"/>
      <c r="F200" s="20"/>
    </row>
    <row r="201" spans="3:6" x14ac:dyDescent="0.25">
      <c r="C201"/>
      <c r="D201"/>
      <c r="F201" s="20"/>
    </row>
    <row r="202" spans="3:6" x14ac:dyDescent="0.25">
      <c r="C202"/>
      <c r="D202"/>
      <c r="F202" s="20"/>
    </row>
    <row r="203" spans="3:6" x14ac:dyDescent="0.25">
      <c r="C203"/>
      <c r="D203"/>
      <c r="F203" s="20"/>
    </row>
    <row r="204" spans="3:6" x14ac:dyDescent="0.25">
      <c r="C204"/>
      <c r="D204"/>
      <c r="F204" s="20"/>
    </row>
    <row r="205" spans="3:6" x14ac:dyDescent="0.25">
      <c r="C205"/>
      <c r="D205"/>
      <c r="F205" s="20"/>
    </row>
    <row r="206" spans="3:6" x14ac:dyDescent="0.25">
      <c r="C206"/>
      <c r="D206"/>
      <c r="F206" s="20"/>
    </row>
    <row r="207" spans="3:6" x14ac:dyDescent="0.25">
      <c r="C207"/>
      <c r="D207"/>
      <c r="F207" s="20"/>
    </row>
    <row r="208" spans="3:6" x14ac:dyDescent="0.25">
      <c r="C208"/>
      <c r="D208"/>
      <c r="F208" s="20"/>
    </row>
    <row r="209" spans="3:6" x14ac:dyDescent="0.25">
      <c r="C209"/>
      <c r="D209"/>
      <c r="F209" s="20"/>
    </row>
    <row r="210" spans="3:6" x14ac:dyDescent="0.25">
      <c r="C210"/>
      <c r="D210"/>
      <c r="F210" s="20"/>
    </row>
    <row r="211" spans="3:6" x14ac:dyDescent="0.25">
      <c r="C211"/>
      <c r="D211"/>
      <c r="F211" s="20"/>
    </row>
    <row r="212" spans="3:6" x14ac:dyDescent="0.25">
      <c r="C212"/>
      <c r="D212"/>
      <c r="F212" s="20"/>
    </row>
    <row r="213" spans="3:6" x14ac:dyDescent="0.25">
      <c r="C213"/>
      <c r="D213"/>
      <c r="F213" s="20"/>
    </row>
    <row r="214" spans="3:6" x14ac:dyDescent="0.25">
      <c r="C214"/>
      <c r="D214"/>
      <c r="F214" s="20"/>
    </row>
    <row r="215" spans="3:6" x14ac:dyDescent="0.25">
      <c r="C215"/>
      <c r="D215"/>
      <c r="F215" s="20"/>
    </row>
    <row r="216" spans="3:6" x14ac:dyDescent="0.25">
      <c r="C216"/>
      <c r="D216"/>
      <c r="F216" s="20"/>
    </row>
    <row r="217" spans="3:6" x14ac:dyDescent="0.25">
      <c r="C217"/>
      <c r="D217"/>
      <c r="F217" s="20"/>
    </row>
    <row r="218" spans="3:6" x14ac:dyDescent="0.25">
      <c r="C218"/>
      <c r="D218"/>
      <c r="F218" s="20"/>
    </row>
    <row r="219" spans="3:6" x14ac:dyDescent="0.25">
      <c r="C219"/>
      <c r="D219"/>
      <c r="F219" s="20"/>
    </row>
    <row r="220" spans="3:6" x14ac:dyDescent="0.25">
      <c r="C220"/>
      <c r="D220"/>
      <c r="F220" s="20"/>
    </row>
    <row r="221" spans="3:6" x14ac:dyDescent="0.25">
      <c r="C221"/>
      <c r="D221"/>
      <c r="F221" s="20"/>
    </row>
    <row r="222" spans="3:6" x14ac:dyDescent="0.25">
      <c r="C222"/>
      <c r="D222"/>
      <c r="F222" s="20"/>
    </row>
    <row r="223" spans="3:6" x14ac:dyDescent="0.25">
      <c r="C223"/>
      <c r="D223"/>
      <c r="F223" s="20"/>
    </row>
    <row r="224" spans="3:6" x14ac:dyDescent="0.25">
      <c r="C224"/>
      <c r="D224"/>
      <c r="F224" s="20"/>
    </row>
    <row r="225" spans="3:6" x14ac:dyDescent="0.25">
      <c r="C225"/>
      <c r="D225"/>
      <c r="F225" s="20"/>
    </row>
    <row r="226" spans="3:6" x14ac:dyDescent="0.25">
      <c r="C226"/>
      <c r="D226"/>
      <c r="F226" s="20"/>
    </row>
    <row r="227" spans="3:6" x14ac:dyDescent="0.25">
      <c r="C227"/>
      <c r="D227"/>
      <c r="F227" s="20"/>
    </row>
    <row r="228" spans="3:6" x14ac:dyDescent="0.25">
      <c r="C228"/>
      <c r="D228"/>
      <c r="F228" s="20"/>
    </row>
    <row r="229" spans="3:6" x14ac:dyDescent="0.25">
      <c r="C229"/>
      <c r="D229"/>
      <c r="F229" s="20"/>
    </row>
    <row r="230" spans="3:6" x14ac:dyDescent="0.25">
      <c r="C230"/>
      <c r="D230"/>
      <c r="F230" s="20"/>
    </row>
    <row r="231" spans="3:6" x14ac:dyDescent="0.25">
      <c r="C231"/>
      <c r="D231"/>
      <c r="F231" s="20"/>
    </row>
    <row r="232" spans="3:6" x14ac:dyDescent="0.25">
      <c r="C232"/>
      <c r="D232"/>
      <c r="F232" s="20"/>
    </row>
    <row r="233" spans="3:6" x14ac:dyDescent="0.25">
      <c r="C233"/>
      <c r="D233"/>
      <c r="F233" s="20"/>
    </row>
    <row r="234" spans="3:6" x14ac:dyDescent="0.25">
      <c r="C234"/>
      <c r="D234"/>
      <c r="F234" s="20"/>
    </row>
    <row r="235" spans="3:6" x14ac:dyDescent="0.25">
      <c r="C235"/>
      <c r="D235"/>
      <c r="F235" s="20"/>
    </row>
    <row r="236" spans="3:6" x14ac:dyDescent="0.25">
      <c r="C236"/>
      <c r="D236"/>
      <c r="F236" s="20"/>
    </row>
    <row r="237" spans="3:6" x14ac:dyDescent="0.25">
      <c r="C237"/>
      <c r="D237"/>
      <c r="F237" s="20"/>
    </row>
    <row r="238" spans="3:6" x14ac:dyDescent="0.25">
      <c r="C238"/>
      <c r="D238"/>
      <c r="F238" s="20"/>
    </row>
    <row r="239" spans="3:6" x14ac:dyDescent="0.25">
      <c r="C239"/>
      <c r="D239"/>
      <c r="F239" s="20"/>
    </row>
    <row r="240" spans="3:6" x14ac:dyDescent="0.25">
      <c r="C240"/>
      <c r="D240"/>
      <c r="F240" s="20"/>
    </row>
    <row r="241" spans="3:6" x14ac:dyDescent="0.25">
      <c r="C241"/>
      <c r="D241"/>
      <c r="F241" s="20"/>
    </row>
    <row r="242" spans="3:6" x14ac:dyDescent="0.25">
      <c r="C242"/>
      <c r="D242"/>
      <c r="F242" s="20"/>
    </row>
    <row r="243" spans="3:6" x14ac:dyDescent="0.25">
      <c r="C243"/>
      <c r="D243"/>
      <c r="F243" s="20"/>
    </row>
    <row r="244" spans="3:6" x14ac:dyDescent="0.25">
      <c r="C244"/>
      <c r="D244"/>
      <c r="F244" s="20"/>
    </row>
    <row r="245" spans="3:6" x14ac:dyDescent="0.25">
      <c r="C245"/>
      <c r="D245"/>
      <c r="F245" s="20"/>
    </row>
    <row r="246" spans="3:6" x14ac:dyDescent="0.25">
      <c r="C246"/>
      <c r="D246"/>
      <c r="F246" s="20"/>
    </row>
    <row r="247" spans="3:6" x14ac:dyDescent="0.25">
      <c r="C247"/>
      <c r="D247"/>
      <c r="F247" s="20"/>
    </row>
    <row r="248" spans="3:6" x14ac:dyDescent="0.25">
      <c r="C248"/>
      <c r="D248"/>
      <c r="F248" s="20"/>
    </row>
    <row r="249" spans="3:6" x14ac:dyDescent="0.25">
      <c r="C249"/>
      <c r="D249"/>
      <c r="F249" s="20"/>
    </row>
    <row r="250" spans="3:6" x14ac:dyDescent="0.25">
      <c r="C250"/>
      <c r="D250"/>
      <c r="F250" s="20"/>
    </row>
    <row r="251" spans="3:6" x14ac:dyDescent="0.25">
      <c r="C251"/>
      <c r="D251"/>
      <c r="F251" s="20"/>
    </row>
    <row r="252" spans="3:6" x14ac:dyDescent="0.25">
      <c r="C252"/>
      <c r="D252"/>
      <c r="F252" s="20"/>
    </row>
    <row r="253" spans="3:6" x14ac:dyDescent="0.25">
      <c r="C253"/>
      <c r="D253"/>
      <c r="F253" s="20"/>
    </row>
    <row r="254" spans="3:6" x14ac:dyDescent="0.25">
      <c r="C254"/>
      <c r="D254"/>
      <c r="F254" s="20"/>
    </row>
    <row r="255" spans="3:6" x14ac:dyDescent="0.25">
      <c r="C255"/>
      <c r="D255"/>
      <c r="F255" s="20"/>
    </row>
    <row r="256" spans="3:6" x14ac:dyDescent="0.25">
      <c r="C256"/>
      <c r="D256"/>
      <c r="F256" s="20"/>
    </row>
    <row r="257" spans="3:6" x14ac:dyDescent="0.25">
      <c r="C257"/>
      <c r="D257"/>
      <c r="F257" s="20"/>
    </row>
    <row r="258" spans="3:6" x14ac:dyDescent="0.25">
      <c r="C258"/>
      <c r="D258"/>
      <c r="F258" s="20"/>
    </row>
    <row r="259" spans="3:6" x14ac:dyDescent="0.25">
      <c r="C259"/>
      <c r="D259"/>
      <c r="F259" s="20"/>
    </row>
    <row r="260" spans="3:6" x14ac:dyDescent="0.25">
      <c r="C260"/>
      <c r="D260"/>
      <c r="F260" s="20"/>
    </row>
    <row r="261" spans="3:6" x14ac:dyDescent="0.25">
      <c r="C261"/>
      <c r="D261"/>
      <c r="F261" s="20"/>
    </row>
    <row r="262" spans="3:6" x14ac:dyDescent="0.25">
      <c r="C262"/>
      <c r="D262"/>
      <c r="F262" s="20"/>
    </row>
    <row r="263" spans="3:6" x14ac:dyDescent="0.25">
      <c r="C263"/>
      <c r="D263"/>
      <c r="F263" s="20"/>
    </row>
    <row r="264" spans="3:6" x14ac:dyDescent="0.25">
      <c r="C264"/>
      <c r="D264"/>
      <c r="F264" s="20"/>
    </row>
    <row r="265" spans="3:6" x14ac:dyDescent="0.25">
      <c r="C265"/>
      <c r="D265"/>
      <c r="F265" s="20"/>
    </row>
    <row r="266" spans="3:6" x14ac:dyDescent="0.25">
      <c r="C266"/>
      <c r="D266"/>
      <c r="F266" s="20"/>
    </row>
    <row r="267" spans="3:6" x14ac:dyDescent="0.25">
      <c r="C267"/>
      <c r="D267"/>
      <c r="F267" s="20"/>
    </row>
    <row r="268" spans="3:6" x14ac:dyDescent="0.25">
      <c r="C268"/>
      <c r="D268"/>
      <c r="F268" s="20"/>
    </row>
    <row r="269" spans="3:6" x14ac:dyDescent="0.25">
      <c r="C269"/>
      <c r="D269"/>
      <c r="F269" s="20"/>
    </row>
    <row r="270" spans="3:6" x14ac:dyDescent="0.25">
      <c r="C270"/>
      <c r="D270"/>
      <c r="F270" s="20"/>
    </row>
    <row r="271" spans="3:6" x14ac:dyDescent="0.25">
      <c r="C271"/>
      <c r="D271"/>
      <c r="F271" s="20"/>
    </row>
    <row r="272" spans="3:6" x14ac:dyDescent="0.25">
      <c r="C272"/>
      <c r="D272"/>
      <c r="F272" s="20"/>
    </row>
    <row r="273" spans="3:6" x14ac:dyDescent="0.25">
      <c r="C273"/>
      <c r="D273"/>
      <c r="F273" s="20"/>
    </row>
    <row r="274" spans="3:6" x14ac:dyDescent="0.25">
      <c r="C274"/>
      <c r="D274"/>
      <c r="F274" s="20"/>
    </row>
    <row r="275" spans="3:6" x14ac:dyDescent="0.25">
      <c r="C275"/>
      <c r="D275"/>
      <c r="F275" s="20"/>
    </row>
    <row r="276" spans="3:6" x14ac:dyDescent="0.25">
      <c r="C276"/>
      <c r="D276"/>
      <c r="F276" s="20"/>
    </row>
    <row r="277" spans="3:6" x14ac:dyDescent="0.25">
      <c r="C277"/>
      <c r="D277"/>
      <c r="F277" s="20"/>
    </row>
    <row r="278" spans="3:6" x14ac:dyDescent="0.25">
      <c r="C278"/>
      <c r="D278"/>
      <c r="F278" s="20"/>
    </row>
    <row r="279" spans="3:6" x14ac:dyDescent="0.25">
      <c r="C279"/>
      <c r="D279"/>
      <c r="F279" s="20"/>
    </row>
    <row r="280" spans="3:6" x14ac:dyDescent="0.25">
      <c r="C280"/>
      <c r="D280"/>
      <c r="F280" s="20"/>
    </row>
    <row r="281" spans="3:6" x14ac:dyDescent="0.25">
      <c r="C281"/>
      <c r="D281"/>
      <c r="F281" s="20"/>
    </row>
    <row r="282" spans="3:6" x14ac:dyDescent="0.25">
      <c r="C282"/>
      <c r="D282"/>
      <c r="F282" s="20"/>
    </row>
    <row r="283" spans="3:6" x14ac:dyDescent="0.25">
      <c r="C283"/>
      <c r="D283"/>
      <c r="F283" s="20"/>
    </row>
    <row r="284" spans="3:6" x14ac:dyDescent="0.25">
      <c r="C284"/>
      <c r="D284"/>
      <c r="F284" s="20"/>
    </row>
    <row r="285" spans="3:6" x14ac:dyDescent="0.25">
      <c r="C285"/>
      <c r="D285"/>
      <c r="F285" s="20"/>
    </row>
    <row r="286" spans="3:6" x14ac:dyDescent="0.25">
      <c r="C286"/>
      <c r="D286"/>
      <c r="F286" s="20"/>
    </row>
    <row r="287" spans="3:6" x14ac:dyDescent="0.25">
      <c r="C287"/>
      <c r="D287"/>
      <c r="F287" s="20"/>
    </row>
    <row r="288" spans="3:6" x14ac:dyDescent="0.25">
      <c r="C288"/>
      <c r="D288"/>
      <c r="F288" s="20"/>
    </row>
    <row r="289" spans="3:6" x14ac:dyDescent="0.25">
      <c r="C289"/>
      <c r="D289"/>
      <c r="F289" s="20"/>
    </row>
    <row r="290" spans="3:6" x14ac:dyDescent="0.25">
      <c r="C290"/>
      <c r="D290"/>
      <c r="F290" s="20"/>
    </row>
    <row r="291" spans="3:6" x14ac:dyDescent="0.25">
      <c r="C291"/>
      <c r="D291"/>
      <c r="F291" s="20"/>
    </row>
    <row r="292" spans="3:6" x14ac:dyDescent="0.25">
      <c r="C292"/>
      <c r="D292"/>
      <c r="F292" s="20"/>
    </row>
    <row r="293" spans="3:6" x14ac:dyDescent="0.25">
      <c r="C293"/>
      <c r="D293"/>
      <c r="F293" s="20"/>
    </row>
    <row r="294" spans="3:6" x14ac:dyDescent="0.25">
      <c r="C294"/>
      <c r="D294"/>
      <c r="F294" s="20"/>
    </row>
    <row r="295" spans="3:6" x14ac:dyDescent="0.25">
      <c r="C295"/>
      <c r="D295"/>
      <c r="F295" s="20"/>
    </row>
    <row r="296" spans="3:6" x14ac:dyDescent="0.25">
      <c r="C296"/>
      <c r="D296"/>
      <c r="F296" s="20"/>
    </row>
    <row r="297" spans="3:6" x14ac:dyDescent="0.25">
      <c r="C297"/>
      <c r="D297"/>
      <c r="F297" s="20"/>
    </row>
    <row r="298" spans="3:6" x14ac:dyDescent="0.25">
      <c r="C298"/>
      <c r="D298"/>
      <c r="F298" s="20"/>
    </row>
    <row r="299" spans="3:6" x14ac:dyDescent="0.25">
      <c r="C299"/>
      <c r="D299"/>
      <c r="F299" s="20"/>
    </row>
    <row r="300" spans="3:6" x14ac:dyDescent="0.25">
      <c r="C300"/>
      <c r="D300"/>
      <c r="F300" s="20"/>
    </row>
    <row r="301" spans="3:6" x14ac:dyDescent="0.25">
      <c r="C301"/>
      <c r="D301"/>
      <c r="F301" s="20"/>
    </row>
    <row r="302" spans="3:6" x14ac:dyDescent="0.25">
      <c r="C302"/>
      <c r="D302"/>
      <c r="F302" s="20"/>
    </row>
    <row r="303" spans="3:6" x14ac:dyDescent="0.25">
      <c r="C303"/>
      <c r="D303"/>
      <c r="F303" s="20"/>
    </row>
    <row r="304" spans="3:6" x14ac:dyDescent="0.25">
      <c r="C304"/>
      <c r="D304"/>
      <c r="F304" s="20"/>
    </row>
    <row r="305" spans="3:6" x14ac:dyDescent="0.25">
      <c r="C305"/>
      <c r="D305"/>
      <c r="F305" s="20"/>
    </row>
    <row r="306" spans="3:6" x14ac:dyDescent="0.25">
      <c r="C306"/>
      <c r="D306"/>
      <c r="F306" s="20"/>
    </row>
    <row r="307" spans="3:6" x14ac:dyDescent="0.25">
      <c r="C307"/>
      <c r="D307"/>
      <c r="F307" s="20"/>
    </row>
    <row r="308" spans="3:6" x14ac:dyDescent="0.25">
      <c r="C308"/>
      <c r="D308"/>
      <c r="F308" s="20"/>
    </row>
    <row r="309" spans="3:6" x14ac:dyDescent="0.25">
      <c r="C309"/>
      <c r="D309"/>
      <c r="F309" s="20"/>
    </row>
    <row r="310" spans="3:6" x14ac:dyDescent="0.25">
      <c r="C310"/>
      <c r="D310"/>
      <c r="F310" s="20"/>
    </row>
    <row r="311" spans="3:6" x14ac:dyDescent="0.25">
      <c r="C311"/>
      <c r="D311"/>
      <c r="F311" s="20"/>
    </row>
    <row r="312" spans="3:6" x14ac:dyDescent="0.25">
      <c r="C312"/>
      <c r="D312"/>
      <c r="F312" s="20"/>
    </row>
    <row r="313" spans="3:6" x14ac:dyDescent="0.25">
      <c r="C313"/>
      <c r="D313"/>
      <c r="F313" s="20"/>
    </row>
    <row r="314" spans="3:6" x14ac:dyDescent="0.25">
      <c r="C314"/>
      <c r="D314"/>
      <c r="F314" s="20"/>
    </row>
    <row r="315" spans="3:6" x14ac:dyDescent="0.25">
      <c r="C315"/>
      <c r="D315"/>
      <c r="F315" s="20"/>
    </row>
    <row r="316" spans="3:6" x14ac:dyDescent="0.25">
      <c r="C316"/>
      <c r="D316"/>
      <c r="F316" s="20"/>
    </row>
    <row r="317" spans="3:6" x14ac:dyDescent="0.25">
      <c r="C317"/>
      <c r="D317"/>
      <c r="F317" s="20"/>
    </row>
    <row r="318" spans="3:6" x14ac:dyDescent="0.25">
      <c r="C318"/>
      <c r="D318"/>
      <c r="F318" s="20"/>
    </row>
    <row r="319" spans="3:6" x14ac:dyDescent="0.25">
      <c r="C319"/>
      <c r="D319"/>
      <c r="F319" s="20"/>
    </row>
    <row r="320" spans="3:6" x14ac:dyDescent="0.25">
      <c r="C320"/>
      <c r="D320"/>
      <c r="F320" s="20"/>
    </row>
    <row r="321" spans="3:6" x14ac:dyDescent="0.25">
      <c r="C321"/>
      <c r="D321"/>
      <c r="F321" s="20"/>
    </row>
    <row r="322" spans="3:6" x14ac:dyDescent="0.25">
      <c r="C322"/>
      <c r="D322"/>
      <c r="F322" s="20"/>
    </row>
    <row r="323" spans="3:6" x14ac:dyDescent="0.25">
      <c r="C323"/>
      <c r="D323"/>
      <c r="F323" s="20"/>
    </row>
    <row r="324" spans="3:6" x14ac:dyDescent="0.25">
      <c r="C324"/>
      <c r="D324"/>
      <c r="F324" s="20"/>
    </row>
    <row r="325" spans="3:6" x14ac:dyDescent="0.25">
      <c r="C325"/>
      <c r="D325"/>
      <c r="F325" s="20"/>
    </row>
    <row r="326" spans="3:6" x14ac:dyDescent="0.25">
      <c r="C326"/>
      <c r="D326"/>
      <c r="F326" s="20"/>
    </row>
    <row r="327" spans="3:6" x14ac:dyDescent="0.25">
      <c r="C327"/>
      <c r="D327"/>
      <c r="F327" s="20"/>
    </row>
    <row r="328" spans="3:6" x14ac:dyDescent="0.25">
      <c r="C328"/>
      <c r="D328"/>
      <c r="F328" s="20"/>
    </row>
    <row r="329" spans="3:6" x14ac:dyDescent="0.25">
      <c r="C329"/>
      <c r="D329"/>
      <c r="F329" s="20"/>
    </row>
    <row r="330" spans="3:6" x14ac:dyDescent="0.25">
      <c r="C330"/>
      <c r="D330"/>
      <c r="F330" s="20"/>
    </row>
    <row r="331" spans="3:6" x14ac:dyDescent="0.25">
      <c r="C331"/>
      <c r="D331"/>
      <c r="F331" s="20"/>
    </row>
    <row r="332" spans="3:6" x14ac:dyDescent="0.25">
      <c r="C332"/>
      <c r="D332"/>
      <c r="F332" s="20"/>
    </row>
    <row r="333" spans="3:6" x14ac:dyDescent="0.25">
      <c r="C333"/>
      <c r="D333"/>
      <c r="F333" s="20"/>
    </row>
    <row r="334" spans="3:6" x14ac:dyDescent="0.25">
      <c r="C334"/>
      <c r="D334"/>
      <c r="F334" s="20"/>
    </row>
    <row r="335" spans="3:6" x14ac:dyDescent="0.25">
      <c r="C335"/>
      <c r="D335"/>
      <c r="F335" s="20"/>
    </row>
    <row r="336" spans="3:6" x14ac:dyDescent="0.25">
      <c r="C336"/>
      <c r="D336"/>
      <c r="F336" s="20"/>
    </row>
    <row r="337" spans="3:6" x14ac:dyDescent="0.25">
      <c r="C337"/>
      <c r="D337"/>
      <c r="F337" s="20"/>
    </row>
    <row r="338" spans="3:6" x14ac:dyDescent="0.25">
      <c r="C338"/>
      <c r="D338"/>
      <c r="F338" s="20"/>
    </row>
    <row r="339" spans="3:6" x14ac:dyDescent="0.25">
      <c r="C339"/>
      <c r="D339"/>
      <c r="F339" s="20"/>
    </row>
    <row r="340" spans="3:6" x14ac:dyDescent="0.25">
      <c r="C340"/>
      <c r="D340"/>
      <c r="F340" s="20"/>
    </row>
    <row r="341" spans="3:6" x14ac:dyDescent="0.25">
      <c r="C341"/>
      <c r="D341"/>
      <c r="F341" s="20"/>
    </row>
    <row r="342" spans="3:6" x14ac:dyDescent="0.25">
      <c r="C342"/>
      <c r="D342"/>
      <c r="F342" s="20"/>
    </row>
    <row r="343" spans="3:6" x14ac:dyDescent="0.25">
      <c r="C343"/>
      <c r="D343"/>
      <c r="F343" s="20"/>
    </row>
    <row r="344" spans="3:6" x14ac:dyDescent="0.25">
      <c r="C344"/>
      <c r="D344"/>
      <c r="F344" s="20"/>
    </row>
    <row r="345" spans="3:6" x14ac:dyDescent="0.25">
      <c r="C345"/>
      <c r="D345"/>
      <c r="F345" s="20"/>
    </row>
    <row r="346" spans="3:6" x14ac:dyDescent="0.25">
      <c r="C346"/>
      <c r="D346"/>
      <c r="F346" s="20"/>
    </row>
    <row r="347" spans="3:6" x14ac:dyDescent="0.25">
      <c r="C347"/>
      <c r="D347"/>
      <c r="F347" s="20"/>
    </row>
    <row r="348" spans="3:6" x14ac:dyDescent="0.25">
      <c r="C348"/>
      <c r="D348"/>
      <c r="F348" s="20"/>
    </row>
    <row r="349" spans="3:6" x14ac:dyDescent="0.25">
      <c r="C349"/>
      <c r="D349"/>
      <c r="F349" s="20"/>
    </row>
    <row r="350" spans="3:6" x14ac:dyDescent="0.25">
      <c r="C350"/>
      <c r="D350"/>
      <c r="F350" s="20"/>
    </row>
    <row r="351" spans="3:6" x14ac:dyDescent="0.25">
      <c r="C351"/>
      <c r="D351"/>
      <c r="F351" s="20"/>
    </row>
    <row r="352" spans="3:6" x14ac:dyDescent="0.25">
      <c r="C352"/>
      <c r="D352"/>
      <c r="F352" s="20"/>
    </row>
    <row r="353" spans="3:6" x14ac:dyDescent="0.25">
      <c r="C353"/>
      <c r="D353"/>
      <c r="F353" s="20"/>
    </row>
    <row r="354" spans="3:6" x14ac:dyDescent="0.25">
      <c r="C354"/>
      <c r="D354"/>
      <c r="F354" s="20"/>
    </row>
    <row r="355" spans="3:6" x14ac:dyDescent="0.25">
      <c r="C355"/>
      <c r="D355"/>
      <c r="F355" s="20"/>
    </row>
    <row r="356" spans="3:6" x14ac:dyDescent="0.25">
      <c r="C356"/>
      <c r="D356"/>
      <c r="F356" s="20"/>
    </row>
    <row r="357" spans="3:6" x14ac:dyDescent="0.25">
      <c r="C357"/>
      <c r="D357"/>
      <c r="F357" s="20"/>
    </row>
    <row r="358" spans="3:6" x14ac:dyDescent="0.25">
      <c r="C358"/>
      <c r="D358"/>
      <c r="F358" s="20"/>
    </row>
    <row r="359" spans="3:6" x14ac:dyDescent="0.25">
      <c r="C359"/>
      <c r="D359"/>
      <c r="F359" s="20"/>
    </row>
    <row r="360" spans="3:6" x14ac:dyDescent="0.25">
      <c r="C360"/>
      <c r="D360"/>
      <c r="F360" s="20"/>
    </row>
    <row r="361" spans="3:6" x14ac:dyDescent="0.25">
      <c r="C361"/>
      <c r="D361"/>
      <c r="F361" s="20"/>
    </row>
    <row r="362" spans="3:6" x14ac:dyDescent="0.25">
      <c r="C362"/>
      <c r="D362"/>
      <c r="F362" s="20"/>
    </row>
    <row r="363" spans="3:6" x14ac:dyDescent="0.25">
      <c r="C363"/>
      <c r="D363"/>
      <c r="F363" s="20"/>
    </row>
    <row r="364" spans="3:6" x14ac:dyDescent="0.25">
      <c r="C364"/>
      <c r="D364"/>
      <c r="F364" s="20"/>
    </row>
    <row r="365" spans="3:6" x14ac:dyDescent="0.25">
      <c r="C365"/>
      <c r="D365"/>
      <c r="F365" s="20"/>
    </row>
    <row r="366" spans="3:6" x14ac:dyDescent="0.25">
      <c r="C366"/>
      <c r="D366"/>
      <c r="F366" s="20"/>
    </row>
    <row r="367" spans="3:6" x14ac:dyDescent="0.25">
      <c r="C367"/>
      <c r="D367"/>
      <c r="F367" s="20"/>
    </row>
    <row r="368" spans="3:6" x14ac:dyDescent="0.25">
      <c r="C368"/>
      <c r="D368"/>
      <c r="F368" s="20"/>
    </row>
    <row r="369" spans="3:6" x14ac:dyDescent="0.25">
      <c r="C369"/>
      <c r="D369"/>
      <c r="F369" s="20"/>
    </row>
    <row r="370" spans="3:6" x14ac:dyDescent="0.25">
      <c r="C370"/>
      <c r="D370"/>
      <c r="F370" s="20"/>
    </row>
    <row r="371" spans="3:6" x14ac:dyDescent="0.25">
      <c r="C371"/>
      <c r="D371"/>
      <c r="F371" s="20"/>
    </row>
    <row r="372" spans="3:6" x14ac:dyDescent="0.25">
      <c r="C372"/>
      <c r="D372"/>
      <c r="F372" s="20"/>
    </row>
    <row r="373" spans="3:6" x14ac:dyDescent="0.25">
      <c r="C373"/>
      <c r="D373"/>
      <c r="F373" s="20"/>
    </row>
    <row r="374" spans="3:6" x14ac:dyDescent="0.25">
      <c r="C374"/>
      <c r="D374"/>
      <c r="F374" s="20"/>
    </row>
    <row r="375" spans="3:6" x14ac:dyDescent="0.25">
      <c r="C375"/>
      <c r="D375"/>
      <c r="F375" s="20"/>
    </row>
    <row r="376" spans="3:6" x14ac:dyDescent="0.25">
      <c r="C376"/>
      <c r="D376"/>
      <c r="F376" s="20"/>
    </row>
    <row r="377" spans="3:6" x14ac:dyDescent="0.25">
      <c r="C377"/>
      <c r="D377"/>
      <c r="F377" s="20"/>
    </row>
    <row r="378" spans="3:6" x14ac:dyDescent="0.25">
      <c r="C378"/>
      <c r="D378"/>
      <c r="F378" s="20"/>
    </row>
    <row r="379" spans="3:6" x14ac:dyDescent="0.25">
      <c r="C379"/>
      <c r="D379"/>
      <c r="F379" s="20"/>
    </row>
    <row r="380" spans="3:6" x14ac:dyDescent="0.25">
      <c r="C380"/>
      <c r="D380"/>
      <c r="F380" s="20"/>
    </row>
    <row r="381" spans="3:6" x14ac:dyDescent="0.25">
      <c r="C381"/>
      <c r="D381"/>
      <c r="F381" s="20"/>
    </row>
    <row r="382" spans="3:6" x14ac:dyDescent="0.25">
      <c r="C382"/>
      <c r="D382"/>
      <c r="F382" s="20"/>
    </row>
    <row r="383" spans="3:6" x14ac:dyDescent="0.25">
      <c r="C383"/>
      <c r="D383"/>
      <c r="F383" s="20"/>
    </row>
    <row r="384" spans="3:6" x14ac:dyDescent="0.25">
      <c r="C384"/>
      <c r="D384"/>
      <c r="F384" s="20"/>
    </row>
    <row r="385" spans="3:6" x14ac:dyDescent="0.25">
      <c r="C385"/>
      <c r="D385"/>
      <c r="F385" s="20"/>
    </row>
    <row r="386" spans="3:6" x14ac:dyDescent="0.25">
      <c r="C386"/>
      <c r="D386"/>
      <c r="F386" s="20"/>
    </row>
    <row r="387" spans="3:6" x14ac:dyDescent="0.25">
      <c r="C387"/>
      <c r="D387"/>
      <c r="F387" s="20"/>
    </row>
    <row r="388" spans="3:6" x14ac:dyDescent="0.25">
      <c r="C388"/>
      <c r="D388"/>
      <c r="F388" s="20"/>
    </row>
    <row r="389" spans="3:6" x14ac:dyDescent="0.25">
      <c r="C389"/>
      <c r="D389"/>
      <c r="F389" s="20"/>
    </row>
    <row r="390" spans="3:6" x14ac:dyDescent="0.25">
      <c r="C390"/>
      <c r="D390"/>
      <c r="F390" s="20"/>
    </row>
    <row r="391" spans="3:6" x14ac:dyDescent="0.25">
      <c r="C391"/>
      <c r="D391"/>
      <c r="F391" s="20"/>
    </row>
    <row r="392" spans="3:6" x14ac:dyDescent="0.25">
      <c r="C392"/>
      <c r="D392"/>
      <c r="F392" s="20"/>
    </row>
    <row r="393" spans="3:6" x14ac:dyDescent="0.25">
      <c r="C393"/>
      <c r="D393"/>
      <c r="F393" s="20"/>
    </row>
    <row r="394" spans="3:6" x14ac:dyDescent="0.25">
      <c r="C394"/>
      <c r="D394"/>
      <c r="F394" s="20"/>
    </row>
    <row r="395" spans="3:6" x14ac:dyDescent="0.25">
      <c r="C395"/>
      <c r="D395"/>
      <c r="F395" s="20"/>
    </row>
    <row r="396" spans="3:6" x14ac:dyDescent="0.25">
      <c r="C396"/>
      <c r="D396"/>
      <c r="F396" s="20"/>
    </row>
    <row r="397" spans="3:6" x14ac:dyDescent="0.25">
      <c r="C397"/>
      <c r="D397"/>
      <c r="F397" s="20"/>
    </row>
    <row r="398" spans="3:6" x14ac:dyDescent="0.25">
      <c r="C398"/>
      <c r="D398"/>
      <c r="F398" s="20"/>
    </row>
    <row r="399" spans="3:6" x14ac:dyDescent="0.25">
      <c r="C399"/>
      <c r="D399"/>
      <c r="F399" s="20"/>
    </row>
    <row r="400" spans="3:6" x14ac:dyDescent="0.25">
      <c r="C400"/>
      <c r="D400"/>
      <c r="F400" s="20"/>
    </row>
    <row r="401" spans="3:6" x14ac:dyDescent="0.25">
      <c r="C401"/>
      <c r="D401"/>
      <c r="F401" s="20"/>
    </row>
    <row r="402" spans="3:6" x14ac:dyDescent="0.25">
      <c r="C402"/>
      <c r="D402"/>
      <c r="F402" s="20"/>
    </row>
    <row r="403" spans="3:6" x14ac:dyDescent="0.25">
      <c r="C403"/>
      <c r="D403"/>
      <c r="F403" s="20"/>
    </row>
    <row r="404" spans="3:6" x14ac:dyDescent="0.25">
      <c r="C404"/>
      <c r="D404"/>
      <c r="F404" s="20"/>
    </row>
    <row r="405" spans="3:6" x14ac:dyDescent="0.25">
      <c r="C405"/>
      <c r="D405"/>
      <c r="F405" s="20"/>
    </row>
    <row r="406" spans="3:6" x14ac:dyDescent="0.25">
      <c r="C406"/>
      <c r="D406"/>
      <c r="F406" s="20"/>
    </row>
    <row r="407" spans="3:6" x14ac:dyDescent="0.25">
      <c r="C407"/>
      <c r="D407"/>
      <c r="F407" s="20"/>
    </row>
    <row r="408" spans="3:6" x14ac:dyDescent="0.25">
      <c r="C408"/>
      <c r="D408"/>
      <c r="F408" s="20"/>
    </row>
    <row r="409" spans="3:6" x14ac:dyDescent="0.25">
      <c r="C409"/>
      <c r="D409"/>
      <c r="F409" s="20"/>
    </row>
    <row r="410" spans="3:6" x14ac:dyDescent="0.25">
      <c r="C410"/>
      <c r="D410"/>
      <c r="F410" s="20"/>
    </row>
    <row r="411" spans="3:6" x14ac:dyDescent="0.25">
      <c r="C411"/>
      <c r="D411"/>
      <c r="F411" s="20"/>
    </row>
    <row r="412" spans="3:6" x14ac:dyDescent="0.25">
      <c r="C412"/>
      <c r="D412"/>
      <c r="F412" s="20"/>
    </row>
    <row r="413" spans="3:6" x14ac:dyDescent="0.25">
      <c r="C413"/>
      <c r="D413"/>
      <c r="F413" s="20"/>
    </row>
    <row r="414" spans="3:6" x14ac:dyDescent="0.25">
      <c r="C414"/>
      <c r="D414"/>
      <c r="F414" s="20"/>
    </row>
    <row r="415" spans="3:6" x14ac:dyDescent="0.25">
      <c r="C415"/>
      <c r="D415"/>
      <c r="F415" s="20"/>
    </row>
    <row r="416" spans="3:6" x14ac:dyDescent="0.25">
      <c r="C416"/>
      <c r="D416"/>
      <c r="F416" s="20"/>
    </row>
    <row r="417" spans="3:6" x14ac:dyDescent="0.25">
      <c r="C417"/>
      <c r="D417"/>
      <c r="F417" s="20"/>
    </row>
    <row r="418" spans="3:6" x14ac:dyDescent="0.25">
      <c r="C418"/>
      <c r="D418"/>
      <c r="F418" s="20"/>
    </row>
    <row r="419" spans="3:6" x14ac:dyDescent="0.25">
      <c r="C419"/>
      <c r="D419"/>
      <c r="F419" s="20"/>
    </row>
    <row r="420" spans="3:6" x14ac:dyDescent="0.25">
      <c r="C420"/>
      <c r="D420"/>
      <c r="F420" s="20"/>
    </row>
    <row r="421" spans="3:6" x14ac:dyDescent="0.25">
      <c r="C421"/>
      <c r="D421"/>
      <c r="F421" s="20"/>
    </row>
    <row r="422" spans="3:6" x14ac:dyDescent="0.25">
      <c r="C422"/>
      <c r="D422"/>
      <c r="F422" s="20"/>
    </row>
    <row r="423" spans="3:6" x14ac:dyDescent="0.25">
      <c r="C423"/>
      <c r="D423"/>
      <c r="F423" s="20"/>
    </row>
    <row r="424" spans="3:6" x14ac:dyDescent="0.25">
      <c r="C424"/>
      <c r="D424"/>
      <c r="F424" s="20"/>
    </row>
    <row r="425" spans="3:6" x14ac:dyDescent="0.25">
      <c r="C425"/>
      <c r="D425"/>
      <c r="F425" s="20"/>
    </row>
    <row r="426" spans="3:6" x14ac:dyDescent="0.25">
      <c r="C426"/>
      <c r="D426"/>
      <c r="F426" s="20"/>
    </row>
    <row r="427" spans="3:6" x14ac:dyDescent="0.25">
      <c r="C427"/>
      <c r="D427"/>
      <c r="F427" s="20"/>
    </row>
    <row r="428" spans="3:6" x14ac:dyDescent="0.25">
      <c r="C428"/>
      <c r="D428"/>
      <c r="F428" s="20"/>
    </row>
    <row r="429" spans="3:6" x14ac:dyDescent="0.25">
      <c r="C429"/>
      <c r="D429"/>
      <c r="F429" s="20"/>
    </row>
    <row r="430" spans="3:6" x14ac:dyDescent="0.25">
      <c r="C430"/>
      <c r="D430"/>
      <c r="F430" s="20"/>
    </row>
    <row r="431" spans="3:6" x14ac:dyDescent="0.25">
      <c r="C431"/>
      <c r="D431"/>
      <c r="F431" s="20"/>
    </row>
    <row r="432" spans="3:6" x14ac:dyDescent="0.25">
      <c r="C432"/>
      <c r="D432"/>
      <c r="F432" s="20"/>
    </row>
    <row r="433" spans="3:6" x14ac:dyDescent="0.25">
      <c r="C433"/>
      <c r="D433"/>
      <c r="F433" s="20"/>
    </row>
    <row r="434" spans="3:6" x14ac:dyDescent="0.25">
      <c r="C434"/>
      <c r="D434"/>
      <c r="F434" s="20"/>
    </row>
    <row r="435" spans="3:6" x14ac:dyDescent="0.25">
      <c r="C435"/>
      <c r="D435"/>
      <c r="F435" s="20"/>
    </row>
    <row r="436" spans="3:6" x14ac:dyDescent="0.25">
      <c r="C436"/>
      <c r="D436"/>
      <c r="F436" s="20"/>
    </row>
    <row r="437" spans="3:6" x14ac:dyDescent="0.25">
      <c r="C437"/>
      <c r="D437"/>
      <c r="F437" s="20"/>
    </row>
    <row r="438" spans="3:6" x14ac:dyDescent="0.25">
      <c r="C438"/>
      <c r="D438"/>
      <c r="F438" s="20"/>
    </row>
    <row r="439" spans="3:6" x14ac:dyDescent="0.25">
      <c r="C439"/>
      <c r="D439"/>
      <c r="F439" s="20"/>
    </row>
    <row r="440" spans="3:6" x14ac:dyDescent="0.25">
      <c r="C440"/>
      <c r="D440"/>
      <c r="F440" s="20"/>
    </row>
    <row r="441" spans="3:6" x14ac:dyDescent="0.25">
      <c r="C441"/>
      <c r="D441"/>
      <c r="F441" s="20"/>
    </row>
    <row r="442" spans="3:6" x14ac:dyDescent="0.25">
      <c r="C442"/>
      <c r="D442"/>
      <c r="F442" s="20"/>
    </row>
    <row r="443" spans="3:6" x14ac:dyDescent="0.25">
      <c r="C443"/>
      <c r="D443"/>
      <c r="F443" s="20"/>
    </row>
    <row r="444" spans="3:6" x14ac:dyDescent="0.25">
      <c r="C444"/>
      <c r="D444"/>
      <c r="F444" s="20"/>
    </row>
    <row r="445" spans="3:6" x14ac:dyDescent="0.25">
      <c r="C445"/>
      <c r="D445"/>
      <c r="F445" s="20"/>
    </row>
    <row r="446" spans="3:6" x14ac:dyDescent="0.25">
      <c r="C446"/>
      <c r="D446"/>
      <c r="F446" s="20"/>
    </row>
    <row r="447" spans="3:6" x14ac:dyDescent="0.25">
      <c r="C447"/>
      <c r="D447"/>
      <c r="F447" s="20"/>
    </row>
    <row r="448" spans="3:6" x14ac:dyDescent="0.25">
      <c r="C448"/>
      <c r="D448"/>
      <c r="F448" s="20"/>
    </row>
    <row r="449" spans="3:6" x14ac:dyDescent="0.25">
      <c r="C449"/>
      <c r="D449"/>
      <c r="F449" s="20"/>
    </row>
    <row r="450" spans="3:6" x14ac:dyDescent="0.25">
      <c r="C450"/>
      <c r="D450"/>
      <c r="F450" s="20"/>
    </row>
    <row r="451" spans="3:6" x14ac:dyDescent="0.25">
      <c r="C451"/>
      <c r="D451"/>
      <c r="F451" s="20"/>
    </row>
    <row r="452" spans="3:6" x14ac:dyDescent="0.25">
      <c r="C452"/>
      <c r="D452"/>
      <c r="F452" s="20"/>
    </row>
    <row r="453" spans="3:6" x14ac:dyDescent="0.25">
      <c r="C453"/>
      <c r="D453"/>
      <c r="F453" s="20"/>
    </row>
    <row r="454" spans="3:6" x14ac:dyDescent="0.25">
      <c r="C454"/>
      <c r="D454"/>
      <c r="F454" s="20"/>
    </row>
    <row r="455" spans="3:6" x14ac:dyDescent="0.25">
      <c r="C455"/>
      <c r="D455"/>
      <c r="F455" s="20"/>
    </row>
    <row r="456" spans="3:6" x14ac:dyDescent="0.25">
      <c r="C456"/>
      <c r="D456"/>
      <c r="F456" s="20"/>
    </row>
    <row r="457" spans="3:6" x14ac:dyDescent="0.25">
      <c r="C457"/>
      <c r="D457"/>
      <c r="F457" s="20"/>
    </row>
    <row r="458" spans="3:6" x14ac:dyDescent="0.25">
      <c r="C458"/>
      <c r="D458"/>
      <c r="F458" s="20"/>
    </row>
    <row r="459" spans="3:6" x14ac:dyDescent="0.25">
      <c r="C459"/>
      <c r="D459"/>
      <c r="F459" s="20"/>
    </row>
    <row r="460" spans="3:6" x14ac:dyDescent="0.25">
      <c r="C460"/>
      <c r="D460"/>
      <c r="F460" s="20"/>
    </row>
    <row r="461" spans="3:6" x14ac:dyDescent="0.25">
      <c r="C461"/>
      <c r="D461"/>
      <c r="F461" s="20"/>
    </row>
    <row r="462" spans="3:6" x14ac:dyDescent="0.25">
      <c r="C462"/>
      <c r="D462"/>
      <c r="F462" s="20"/>
    </row>
    <row r="463" spans="3:6" x14ac:dyDescent="0.25">
      <c r="C463"/>
      <c r="D463"/>
      <c r="F463" s="20"/>
    </row>
    <row r="464" spans="3:6" x14ac:dyDescent="0.25">
      <c r="C464"/>
      <c r="D464"/>
      <c r="F464" s="20"/>
    </row>
    <row r="465" spans="3:6" x14ac:dyDescent="0.25">
      <c r="C465"/>
      <c r="D465"/>
      <c r="F465" s="20"/>
    </row>
    <row r="466" spans="3:6" x14ac:dyDescent="0.25">
      <c r="C466"/>
      <c r="D466"/>
      <c r="F466" s="20"/>
    </row>
    <row r="467" spans="3:6" x14ac:dyDescent="0.25">
      <c r="C467"/>
      <c r="D467"/>
      <c r="F467" s="20"/>
    </row>
    <row r="468" spans="3:6" x14ac:dyDescent="0.25">
      <c r="C468"/>
      <c r="D468"/>
      <c r="F468" s="20"/>
    </row>
    <row r="469" spans="3:6" x14ac:dyDescent="0.25">
      <c r="C469"/>
      <c r="D469"/>
      <c r="F469" s="20"/>
    </row>
    <row r="470" spans="3:6" x14ac:dyDescent="0.25">
      <c r="C470"/>
      <c r="D470"/>
      <c r="F470" s="20"/>
    </row>
    <row r="471" spans="3:6" x14ac:dyDescent="0.25">
      <c r="C471"/>
      <c r="D471"/>
      <c r="F471" s="20"/>
    </row>
    <row r="472" spans="3:6" x14ac:dyDescent="0.25">
      <c r="C472"/>
      <c r="D472"/>
      <c r="F472" s="20"/>
    </row>
    <row r="473" spans="3:6" x14ac:dyDescent="0.25">
      <c r="C473"/>
      <c r="D473"/>
      <c r="F473" s="20"/>
    </row>
    <row r="474" spans="3:6" x14ac:dyDescent="0.25">
      <c r="C474"/>
      <c r="D474"/>
      <c r="F474" s="20"/>
    </row>
    <row r="475" spans="3:6" x14ac:dyDescent="0.25">
      <c r="C475"/>
      <c r="D475"/>
      <c r="F475" s="20"/>
    </row>
    <row r="476" spans="3:6" x14ac:dyDescent="0.25">
      <c r="C476"/>
      <c r="D476"/>
      <c r="F476" s="20"/>
    </row>
    <row r="477" spans="3:6" x14ac:dyDescent="0.25">
      <c r="C477"/>
      <c r="D477"/>
      <c r="F477" s="20"/>
    </row>
    <row r="478" spans="3:6" x14ac:dyDescent="0.25">
      <c r="C478"/>
      <c r="D478"/>
      <c r="F478" s="20"/>
    </row>
    <row r="479" spans="3:6" x14ac:dyDescent="0.25">
      <c r="C479"/>
      <c r="D479"/>
      <c r="F479" s="20"/>
    </row>
    <row r="480" spans="3:6" x14ac:dyDescent="0.25">
      <c r="C480"/>
      <c r="D480"/>
      <c r="F480" s="20"/>
    </row>
    <row r="481" spans="3:6" x14ac:dyDescent="0.25">
      <c r="C481"/>
      <c r="D481"/>
      <c r="F481" s="20"/>
    </row>
    <row r="482" spans="3:6" x14ac:dyDescent="0.25">
      <c r="C482"/>
      <c r="D482"/>
      <c r="F482" s="20"/>
    </row>
    <row r="483" spans="3:6" x14ac:dyDescent="0.25">
      <c r="C483"/>
      <c r="D483"/>
      <c r="F483" s="20"/>
    </row>
    <row r="484" spans="3:6" x14ac:dyDescent="0.25">
      <c r="C484"/>
      <c r="D484"/>
      <c r="F484" s="20"/>
    </row>
    <row r="485" spans="3:6" x14ac:dyDescent="0.25">
      <c r="C485"/>
      <c r="D485"/>
      <c r="F485" s="20"/>
    </row>
    <row r="486" spans="3:6" x14ac:dyDescent="0.25">
      <c r="C486"/>
      <c r="D486"/>
      <c r="F486" s="20"/>
    </row>
    <row r="487" spans="3:6" x14ac:dyDescent="0.25">
      <c r="C487"/>
      <c r="D487"/>
      <c r="F487" s="20"/>
    </row>
    <row r="488" spans="3:6" x14ac:dyDescent="0.25">
      <c r="C488"/>
      <c r="D488"/>
      <c r="F488" s="20"/>
    </row>
    <row r="489" spans="3:6" x14ac:dyDescent="0.25">
      <c r="C489"/>
      <c r="D489"/>
      <c r="F489" s="20"/>
    </row>
    <row r="490" spans="3:6" x14ac:dyDescent="0.25">
      <c r="C490"/>
      <c r="D490"/>
      <c r="F490" s="20"/>
    </row>
    <row r="491" spans="3:6" x14ac:dyDescent="0.25">
      <c r="C491"/>
      <c r="D491"/>
      <c r="F491" s="20"/>
    </row>
    <row r="492" spans="3:6" x14ac:dyDescent="0.25">
      <c r="C492"/>
      <c r="D492"/>
      <c r="F492" s="20"/>
    </row>
    <row r="493" spans="3:6" x14ac:dyDescent="0.25">
      <c r="C493"/>
      <c r="D493"/>
      <c r="F493" s="20"/>
    </row>
    <row r="494" spans="3:6" x14ac:dyDescent="0.25">
      <c r="C494"/>
      <c r="D494"/>
      <c r="F494" s="20"/>
    </row>
    <row r="495" spans="3:6" x14ac:dyDescent="0.25">
      <c r="C495"/>
      <c r="D495"/>
      <c r="F495" s="20"/>
    </row>
    <row r="496" spans="3:6" x14ac:dyDescent="0.25">
      <c r="C496"/>
      <c r="D496"/>
      <c r="F496" s="20"/>
    </row>
    <row r="497" spans="3:6" x14ac:dyDescent="0.25">
      <c r="C497"/>
      <c r="D497"/>
      <c r="F497" s="20"/>
    </row>
    <row r="498" spans="3:6" x14ac:dyDescent="0.25">
      <c r="C498"/>
      <c r="D498"/>
      <c r="F498" s="20"/>
    </row>
    <row r="499" spans="3:6" x14ac:dyDescent="0.25">
      <c r="C499"/>
      <c r="D499"/>
      <c r="F499" s="20"/>
    </row>
    <row r="500" spans="3:6" x14ac:dyDescent="0.25">
      <c r="C500"/>
      <c r="D500"/>
      <c r="F500" s="20"/>
    </row>
    <row r="501" spans="3:6" x14ac:dyDescent="0.25">
      <c r="C501"/>
      <c r="D501"/>
      <c r="F501" s="20"/>
    </row>
    <row r="502" spans="3:6" x14ac:dyDescent="0.25">
      <c r="C502"/>
      <c r="D502"/>
      <c r="F502" s="20"/>
    </row>
    <row r="503" spans="3:6" x14ac:dyDescent="0.25">
      <c r="C503"/>
      <c r="D503"/>
      <c r="F503" s="20"/>
    </row>
    <row r="504" spans="3:6" x14ac:dyDescent="0.25">
      <c r="C504"/>
      <c r="D504"/>
      <c r="F504" s="20"/>
    </row>
    <row r="505" spans="3:6" x14ac:dyDescent="0.25">
      <c r="C505"/>
      <c r="D505"/>
      <c r="F505" s="20"/>
    </row>
    <row r="506" spans="3:6" x14ac:dyDescent="0.25">
      <c r="C506"/>
      <c r="D506"/>
      <c r="F506" s="20"/>
    </row>
    <row r="507" spans="3:6" x14ac:dyDescent="0.25">
      <c r="C507"/>
      <c r="D507"/>
      <c r="F507" s="20"/>
    </row>
    <row r="508" spans="3:6" x14ac:dyDescent="0.25">
      <c r="C508"/>
      <c r="D508"/>
      <c r="F508" s="20"/>
    </row>
    <row r="509" spans="3:6" x14ac:dyDescent="0.25">
      <c r="C509"/>
      <c r="D509"/>
      <c r="F509" s="20"/>
    </row>
    <row r="510" spans="3:6" x14ac:dyDescent="0.25">
      <c r="C510"/>
      <c r="D510"/>
      <c r="F510" s="20"/>
    </row>
    <row r="511" spans="3:6" x14ac:dyDescent="0.25">
      <c r="C511"/>
      <c r="D511"/>
      <c r="F511" s="20"/>
    </row>
    <row r="512" spans="3:6" x14ac:dyDescent="0.25">
      <c r="C512"/>
      <c r="D512"/>
      <c r="F512" s="20"/>
    </row>
    <row r="513" spans="3:6" x14ac:dyDescent="0.25">
      <c r="C513"/>
      <c r="D513"/>
      <c r="F513" s="20"/>
    </row>
    <row r="514" spans="3:6" x14ac:dyDescent="0.25">
      <c r="C514"/>
      <c r="D514"/>
      <c r="F514" s="20"/>
    </row>
    <row r="515" spans="3:6" x14ac:dyDescent="0.25">
      <c r="C515"/>
      <c r="D515"/>
      <c r="F515" s="20"/>
    </row>
    <row r="516" spans="3:6" x14ac:dyDescent="0.25">
      <c r="C516"/>
      <c r="D516"/>
      <c r="F516" s="20"/>
    </row>
    <row r="517" spans="3:6" x14ac:dyDescent="0.25">
      <c r="C517"/>
      <c r="D517"/>
      <c r="F517" s="20"/>
    </row>
    <row r="518" spans="3:6" x14ac:dyDescent="0.25">
      <c r="C518"/>
      <c r="D518"/>
      <c r="F518" s="20"/>
    </row>
    <row r="519" spans="3:6" x14ac:dyDescent="0.25">
      <c r="C519"/>
      <c r="D519"/>
      <c r="F519" s="20"/>
    </row>
    <row r="520" spans="3:6" x14ac:dyDescent="0.25">
      <c r="C520"/>
      <c r="D520"/>
      <c r="F520" s="20"/>
    </row>
    <row r="521" spans="3:6" x14ac:dyDescent="0.25">
      <c r="C521"/>
      <c r="D521"/>
      <c r="F521" s="20"/>
    </row>
    <row r="522" spans="3:6" x14ac:dyDescent="0.25">
      <c r="C522"/>
      <c r="D522"/>
      <c r="F522" s="20"/>
    </row>
    <row r="523" spans="3:6" x14ac:dyDescent="0.25">
      <c r="C523"/>
      <c r="D523"/>
      <c r="F523" s="20"/>
    </row>
    <row r="524" spans="3:6" x14ac:dyDescent="0.25">
      <c r="C524"/>
      <c r="D524"/>
      <c r="F524" s="20"/>
    </row>
    <row r="525" spans="3:6" x14ac:dyDescent="0.25">
      <c r="C525"/>
      <c r="D525"/>
      <c r="F525" s="20"/>
    </row>
    <row r="526" spans="3:6" x14ac:dyDescent="0.25">
      <c r="C526"/>
      <c r="D526"/>
      <c r="F526" s="20"/>
    </row>
    <row r="527" spans="3:6" x14ac:dyDescent="0.25">
      <c r="C527"/>
      <c r="D527"/>
      <c r="F527" s="20"/>
    </row>
    <row r="528" spans="3:6" x14ac:dyDescent="0.25">
      <c r="C528"/>
      <c r="D528"/>
      <c r="F528" s="20"/>
    </row>
    <row r="529" spans="3:6" x14ac:dyDescent="0.25">
      <c r="C529"/>
      <c r="D529"/>
      <c r="F529" s="20"/>
    </row>
    <row r="530" spans="3:6" x14ac:dyDescent="0.25">
      <c r="C530"/>
      <c r="D530"/>
      <c r="F530" s="20"/>
    </row>
    <row r="531" spans="3:6" x14ac:dyDescent="0.25">
      <c r="C531"/>
      <c r="D531"/>
      <c r="F531" s="20"/>
    </row>
    <row r="532" spans="3:6" x14ac:dyDescent="0.25">
      <c r="C532"/>
      <c r="D532"/>
      <c r="F532" s="20"/>
    </row>
    <row r="533" spans="3:6" x14ac:dyDescent="0.25">
      <c r="C533"/>
      <c r="D533"/>
      <c r="F533" s="20"/>
    </row>
    <row r="534" spans="3:6" x14ac:dyDescent="0.25">
      <c r="C534"/>
      <c r="D534"/>
      <c r="F534" s="20"/>
    </row>
    <row r="535" spans="3:6" x14ac:dyDescent="0.25">
      <c r="C535"/>
      <c r="D535"/>
      <c r="F535" s="20"/>
    </row>
    <row r="536" spans="3:6" x14ac:dyDescent="0.25">
      <c r="C536"/>
      <c r="D536"/>
      <c r="F536" s="20"/>
    </row>
    <row r="537" spans="3:6" x14ac:dyDescent="0.25">
      <c r="C537"/>
      <c r="D537"/>
      <c r="F537" s="20"/>
    </row>
    <row r="538" spans="3:6" x14ac:dyDescent="0.25">
      <c r="C538"/>
      <c r="D538"/>
      <c r="F538" s="20"/>
    </row>
    <row r="539" spans="3:6" x14ac:dyDescent="0.25">
      <c r="C539"/>
      <c r="D539"/>
      <c r="F539" s="20"/>
    </row>
    <row r="540" spans="3:6" x14ac:dyDescent="0.25">
      <c r="C540"/>
      <c r="D540"/>
      <c r="F540" s="20"/>
    </row>
    <row r="541" spans="3:6" x14ac:dyDescent="0.25">
      <c r="C541"/>
      <c r="D541"/>
      <c r="F541" s="20"/>
    </row>
    <row r="542" spans="3:6" x14ac:dyDescent="0.25">
      <c r="C542"/>
      <c r="D542"/>
      <c r="F542" s="20"/>
    </row>
    <row r="543" spans="3:6" x14ac:dyDescent="0.25">
      <c r="C543"/>
      <c r="D543"/>
      <c r="F543" s="20"/>
    </row>
    <row r="544" spans="3:6" x14ac:dyDescent="0.25">
      <c r="C544"/>
      <c r="D544"/>
      <c r="F544" s="20"/>
    </row>
    <row r="545" spans="3:6" x14ac:dyDescent="0.25">
      <c r="C545"/>
      <c r="D545"/>
      <c r="F545" s="20"/>
    </row>
    <row r="546" spans="3:6" x14ac:dyDescent="0.25">
      <c r="C546"/>
      <c r="D546"/>
      <c r="F546" s="20"/>
    </row>
    <row r="547" spans="3:6" x14ac:dyDescent="0.25">
      <c r="C547"/>
      <c r="D547"/>
      <c r="F547" s="20"/>
    </row>
    <row r="548" spans="3:6" x14ac:dyDescent="0.25">
      <c r="C548"/>
      <c r="D548"/>
      <c r="F548" s="20"/>
    </row>
    <row r="549" spans="3:6" x14ac:dyDescent="0.25">
      <c r="C549"/>
      <c r="D549"/>
      <c r="F549" s="20"/>
    </row>
    <row r="550" spans="3:6" x14ac:dyDescent="0.25">
      <c r="C550"/>
      <c r="D550"/>
      <c r="F550" s="20"/>
    </row>
    <row r="551" spans="3:6" x14ac:dyDescent="0.25">
      <c r="C551"/>
      <c r="D551"/>
      <c r="F551" s="20"/>
    </row>
    <row r="552" spans="3:6" x14ac:dyDescent="0.25">
      <c r="C552"/>
      <c r="D552"/>
      <c r="F552" s="20"/>
    </row>
    <row r="553" spans="3:6" x14ac:dyDescent="0.25">
      <c r="C553"/>
      <c r="D553"/>
      <c r="F553" s="20"/>
    </row>
    <row r="554" spans="3:6" x14ac:dyDescent="0.25">
      <c r="C554"/>
      <c r="D554"/>
      <c r="F554" s="20"/>
    </row>
    <row r="555" spans="3:6" x14ac:dyDescent="0.25">
      <c r="C555"/>
      <c r="D555"/>
      <c r="F555" s="20"/>
    </row>
    <row r="556" spans="3:6" x14ac:dyDescent="0.25">
      <c r="C556"/>
      <c r="D556"/>
      <c r="F556" s="20"/>
    </row>
    <row r="557" spans="3:6" x14ac:dyDescent="0.25">
      <c r="C557"/>
      <c r="D557"/>
      <c r="F557" s="20"/>
    </row>
    <row r="558" spans="3:6" x14ac:dyDescent="0.25">
      <c r="C558"/>
      <c r="D558"/>
      <c r="F558" s="20"/>
    </row>
    <row r="559" spans="3:6" x14ac:dyDescent="0.25">
      <c r="C559"/>
      <c r="D559"/>
      <c r="F559" s="20"/>
    </row>
    <row r="560" spans="3:6" x14ac:dyDescent="0.25">
      <c r="C560"/>
      <c r="D560"/>
      <c r="F560" s="20"/>
    </row>
    <row r="561" spans="3:6" x14ac:dyDescent="0.25">
      <c r="C561"/>
      <c r="D561"/>
      <c r="F561" s="20"/>
    </row>
    <row r="562" spans="3:6" x14ac:dyDescent="0.25">
      <c r="C562"/>
      <c r="D562"/>
      <c r="F562" s="20"/>
    </row>
    <row r="563" spans="3:6" x14ac:dyDescent="0.25">
      <c r="C563"/>
      <c r="D563"/>
      <c r="F563" s="20"/>
    </row>
    <row r="564" spans="3:6" x14ac:dyDescent="0.25">
      <c r="C564"/>
      <c r="D564"/>
      <c r="F564" s="20"/>
    </row>
    <row r="565" spans="3:6" x14ac:dyDescent="0.25">
      <c r="C565"/>
      <c r="D565"/>
      <c r="F565" s="20"/>
    </row>
    <row r="566" spans="3:6" x14ac:dyDescent="0.25">
      <c r="C566"/>
      <c r="D566"/>
      <c r="F566" s="20"/>
    </row>
    <row r="567" spans="3:6" x14ac:dyDescent="0.25">
      <c r="C567"/>
      <c r="D567"/>
      <c r="F567" s="20"/>
    </row>
    <row r="568" spans="3:6" x14ac:dyDescent="0.25">
      <c r="C568"/>
      <c r="D568"/>
      <c r="F568" s="20"/>
    </row>
    <row r="569" spans="3:6" x14ac:dyDescent="0.25">
      <c r="C569"/>
      <c r="D569"/>
      <c r="F569" s="20"/>
    </row>
    <row r="570" spans="3:6" x14ac:dyDescent="0.25">
      <c r="C570"/>
      <c r="D570"/>
      <c r="F570" s="20"/>
    </row>
    <row r="571" spans="3:6" x14ac:dyDescent="0.25">
      <c r="C571"/>
      <c r="D571"/>
      <c r="F571" s="20"/>
    </row>
    <row r="572" spans="3:6" x14ac:dyDescent="0.25">
      <c r="C572"/>
      <c r="D572"/>
      <c r="F572" s="20"/>
    </row>
    <row r="573" spans="3:6" x14ac:dyDescent="0.25">
      <c r="C573"/>
      <c r="D573"/>
      <c r="F573" s="20"/>
    </row>
    <row r="574" spans="3:6" x14ac:dyDescent="0.25">
      <c r="C574"/>
      <c r="D574"/>
      <c r="F574" s="20"/>
    </row>
    <row r="575" spans="3:6" x14ac:dyDescent="0.25">
      <c r="C575"/>
      <c r="D575"/>
      <c r="F575" s="20"/>
    </row>
    <row r="576" spans="3:6" x14ac:dyDescent="0.25">
      <c r="C576"/>
      <c r="D576"/>
      <c r="F576" s="20"/>
    </row>
    <row r="577" spans="3:6" x14ac:dyDescent="0.25">
      <c r="C577"/>
      <c r="D577"/>
      <c r="F577" s="20"/>
    </row>
    <row r="578" spans="3:6" x14ac:dyDescent="0.25">
      <c r="C578"/>
      <c r="D578"/>
      <c r="F578" s="20"/>
    </row>
    <row r="579" spans="3:6" x14ac:dyDescent="0.25">
      <c r="C579"/>
      <c r="D579"/>
      <c r="F579" s="20"/>
    </row>
    <row r="580" spans="3:6" x14ac:dyDescent="0.25">
      <c r="C580"/>
      <c r="D580"/>
      <c r="F580" s="20"/>
    </row>
    <row r="581" spans="3:6" x14ac:dyDescent="0.25">
      <c r="C581"/>
      <c r="D581"/>
      <c r="F581" s="20"/>
    </row>
    <row r="582" spans="3:6" x14ac:dyDescent="0.25">
      <c r="C582"/>
      <c r="D582"/>
      <c r="F582" s="20"/>
    </row>
    <row r="583" spans="3:6" x14ac:dyDescent="0.25">
      <c r="C583"/>
      <c r="D583"/>
      <c r="F583" s="20"/>
    </row>
    <row r="584" spans="3:6" x14ac:dyDescent="0.25">
      <c r="C584"/>
      <c r="D584"/>
      <c r="F584" s="20"/>
    </row>
    <row r="585" spans="3:6" x14ac:dyDescent="0.25">
      <c r="C585"/>
      <c r="D585"/>
      <c r="F585" s="20"/>
    </row>
    <row r="586" spans="3:6" x14ac:dyDescent="0.25">
      <c r="C586"/>
      <c r="D586"/>
      <c r="F586" s="20"/>
    </row>
    <row r="587" spans="3:6" x14ac:dyDescent="0.25">
      <c r="C587"/>
      <c r="D587"/>
      <c r="F587" s="20"/>
    </row>
    <row r="588" spans="3:6" x14ac:dyDescent="0.25">
      <c r="C588"/>
      <c r="D588"/>
      <c r="F588" s="20"/>
    </row>
    <row r="589" spans="3:6" x14ac:dyDescent="0.25">
      <c r="C589"/>
      <c r="D589"/>
      <c r="F589" s="20"/>
    </row>
    <row r="590" spans="3:6" x14ac:dyDescent="0.25">
      <c r="C590"/>
      <c r="D590"/>
      <c r="F590" s="20"/>
    </row>
    <row r="591" spans="3:6" x14ac:dyDescent="0.25">
      <c r="C591"/>
      <c r="D591"/>
      <c r="F591" s="20"/>
    </row>
    <row r="592" spans="3:6" x14ac:dyDescent="0.25">
      <c r="C592"/>
      <c r="D592"/>
      <c r="F592" s="20"/>
    </row>
    <row r="593" spans="3:6" x14ac:dyDescent="0.25">
      <c r="C593"/>
      <c r="D593"/>
      <c r="F593" s="20"/>
    </row>
    <row r="594" spans="3:6" x14ac:dyDescent="0.25">
      <c r="C594"/>
      <c r="D594"/>
      <c r="F594" s="20"/>
    </row>
    <row r="595" spans="3:6" x14ac:dyDescent="0.25">
      <c r="C595"/>
      <c r="D595"/>
      <c r="F595" s="20"/>
    </row>
    <row r="596" spans="3:6" x14ac:dyDescent="0.25">
      <c r="C596"/>
      <c r="D596"/>
      <c r="F596" s="20"/>
    </row>
    <row r="597" spans="3:6" x14ac:dyDescent="0.25">
      <c r="C597"/>
      <c r="D597"/>
      <c r="F597" s="20"/>
    </row>
    <row r="598" spans="3:6" x14ac:dyDescent="0.25">
      <c r="C598"/>
      <c r="D598"/>
      <c r="F598" s="20"/>
    </row>
    <row r="599" spans="3:6" x14ac:dyDescent="0.25">
      <c r="C599"/>
      <c r="D599"/>
      <c r="F599" s="20"/>
    </row>
    <row r="600" spans="3:6" x14ac:dyDescent="0.25">
      <c r="C600"/>
      <c r="D600"/>
      <c r="F600" s="20"/>
    </row>
    <row r="601" spans="3:6" x14ac:dyDescent="0.25">
      <c r="C601"/>
      <c r="D601"/>
      <c r="F601" s="20"/>
    </row>
    <row r="602" spans="3:6" x14ac:dyDescent="0.25">
      <c r="C602"/>
      <c r="D602"/>
      <c r="F602" s="20"/>
    </row>
    <row r="603" spans="3:6" x14ac:dyDescent="0.25">
      <c r="C603"/>
      <c r="D603"/>
      <c r="F603" s="20"/>
    </row>
    <row r="604" spans="3:6" x14ac:dyDescent="0.25">
      <c r="C604"/>
      <c r="D604"/>
      <c r="F604" s="20"/>
    </row>
    <row r="605" spans="3:6" x14ac:dyDescent="0.25">
      <c r="C605"/>
      <c r="D605"/>
      <c r="F605" s="20"/>
    </row>
    <row r="606" spans="3:6" x14ac:dyDescent="0.25">
      <c r="C606"/>
      <c r="D606"/>
      <c r="F606" s="20"/>
    </row>
    <row r="607" spans="3:6" x14ac:dyDescent="0.25">
      <c r="C607"/>
      <c r="D607"/>
      <c r="F607" s="20"/>
    </row>
    <row r="608" spans="3:6" x14ac:dyDescent="0.25">
      <c r="C608"/>
      <c r="D608"/>
      <c r="F608" s="20"/>
    </row>
    <row r="609" spans="3:6" x14ac:dyDescent="0.25">
      <c r="C609"/>
      <c r="D609"/>
      <c r="F609" s="20"/>
    </row>
    <row r="610" spans="3:6" x14ac:dyDescent="0.25">
      <c r="C610"/>
      <c r="D610"/>
      <c r="F610" s="20"/>
    </row>
    <row r="611" spans="3:6" x14ac:dyDescent="0.25">
      <c r="C611"/>
      <c r="D611"/>
      <c r="F611" s="20"/>
    </row>
    <row r="612" spans="3:6" x14ac:dyDescent="0.25">
      <c r="C612"/>
      <c r="D612"/>
      <c r="F612" s="20"/>
    </row>
    <row r="613" spans="3:6" x14ac:dyDescent="0.25">
      <c r="C613"/>
      <c r="D613"/>
      <c r="F613" s="20"/>
    </row>
    <row r="614" spans="3:6" x14ac:dyDescent="0.25">
      <c r="C614"/>
      <c r="D614"/>
      <c r="F614" s="20"/>
    </row>
    <row r="615" spans="3:6" x14ac:dyDescent="0.25">
      <c r="C615"/>
      <c r="D615"/>
      <c r="F615" s="20"/>
    </row>
    <row r="616" spans="3:6" x14ac:dyDescent="0.25">
      <c r="C616"/>
      <c r="D616"/>
      <c r="F616" s="20"/>
    </row>
    <row r="617" spans="3:6" x14ac:dyDescent="0.25">
      <c r="C617"/>
      <c r="D617"/>
      <c r="F617" s="20"/>
    </row>
    <row r="618" spans="3:6" x14ac:dyDescent="0.25">
      <c r="C618"/>
      <c r="D618"/>
      <c r="F618" s="20"/>
    </row>
    <row r="619" spans="3:6" x14ac:dyDescent="0.25">
      <c r="C619"/>
      <c r="D619"/>
      <c r="F619" s="20"/>
    </row>
    <row r="620" spans="3:6" x14ac:dyDescent="0.25">
      <c r="C620"/>
      <c r="D620"/>
      <c r="F620" s="20"/>
    </row>
    <row r="621" spans="3:6" x14ac:dyDescent="0.25">
      <c r="C621"/>
      <c r="D621"/>
      <c r="F621" s="20"/>
    </row>
    <row r="622" spans="3:6" x14ac:dyDescent="0.25">
      <c r="C622"/>
      <c r="D622"/>
      <c r="F622" s="20"/>
    </row>
    <row r="623" spans="3:6" x14ac:dyDescent="0.25">
      <c r="C623"/>
      <c r="D623"/>
      <c r="F623" s="20"/>
    </row>
    <row r="624" spans="3:6" x14ac:dyDescent="0.25">
      <c r="C624"/>
      <c r="D624"/>
      <c r="F624" s="20"/>
    </row>
    <row r="625" spans="3:6" x14ac:dyDescent="0.25">
      <c r="C625"/>
      <c r="D625"/>
      <c r="F625" s="20"/>
    </row>
    <row r="626" spans="3:6" x14ac:dyDescent="0.25">
      <c r="C626"/>
      <c r="D626"/>
      <c r="F626" s="20"/>
    </row>
    <row r="627" spans="3:6" x14ac:dyDescent="0.25">
      <c r="C627"/>
      <c r="D627"/>
      <c r="F627" s="20"/>
    </row>
    <row r="628" spans="3:6" x14ac:dyDescent="0.25">
      <c r="C628"/>
      <c r="D628"/>
      <c r="F628" s="20"/>
    </row>
    <row r="629" spans="3:6" x14ac:dyDescent="0.25">
      <c r="C629"/>
      <c r="D629"/>
      <c r="F629" s="20"/>
    </row>
    <row r="630" spans="3:6" x14ac:dyDescent="0.25">
      <c r="C630"/>
      <c r="D630"/>
      <c r="F630" s="20"/>
    </row>
    <row r="631" spans="3:6" x14ac:dyDescent="0.25">
      <c r="C631"/>
      <c r="D631"/>
      <c r="F631" s="20"/>
    </row>
    <row r="632" spans="3:6" x14ac:dyDescent="0.25">
      <c r="C632"/>
      <c r="D632"/>
      <c r="F632" s="20"/>
    </row>
    <row r="633" spans="3:6" x14ac:dyDescent="0.25">
      <c r="C633"/>
      <c r="D633"/>
      <c r="F633" s="20"/>
    </row>
    <row r="634" spans="3:6" x14ac:dyDescent="0.25">
      <c r="C634"/>
      <c r="D634"/>
      <c r="F634" s="20"/>
    </row>
    <row r="635" spans="3:6" x14ac:dyDescent="0.25">
      <c r="C635"/>
      <c r="D635"/>
      <c r="F635" s="20"/>
    </row>
    <row r="636" spans="3:6" x14ac:dyDescent="0.25">
      <c r="C636"/>
      <c r="D636"/>
      <c r="F636" s="20"/>
    </row>
    <row r="637" spans="3:6" x14ac:dyDescent="0.25">
      <c r="C637"/>
      <c r="D637"/>
      <c r="F637" s="20"/>
    </row>
    <row r="638" spans="3:6" x14ac:dyDescent="0.25">
      <c r="C638"/>
      <c r="D638"/>
      <c r="F638" s="20"/>
    </row>
    <row r="639" spans="3:6" x14ac:dyDescent="0.25">
      <c r="C639"/>
      <c r="D639"/>
      <c r="F639" s="20"/>
    </row>
    <row r="640" spans="3:6" x14ac:dyDescent="0.25">
      <c r="C640"/>
      <c r="D640"/>
      <c r="F640" s="20"/>
    </row>
    <row r="641" spans="3:6" x14ac:dyDescent="0.25">
      <c r="C641"/>
      <c r="D641"/>
      <c r="F641" s="20"/>
    </row>
    <row r="642" spans="3:6" x14ac:dyDescent="0.25">
      <c r="C642"/>
      <c r="D642"/>
      <c r="F642" s="20"/>
    </row>
    <row r="643" spans="3:6" x14ac:dyDescent="0.25">
      <c r="C643"/>
      <c r="D643"/>
      <c r="F643" s="20"/>
    </row>
    <row r="644" spans="3:6" x14ac:dyDescent="0.25">
      <c r="C644"/>
      <c r="D644"/>
      <c r="F644" s="20"/>
    </row>
    <row r="645" spans="3:6" x14ac:dyDescent="0.25">
      <c r="C645"/>
      <c r="D645"/>
      <c r="F645" s="20"/>
    </row>
    <row r="646" spans="3:6" x14ac:dyDescent="0.25">
      <c r="C646"/>
      <c r="D646"/>
      <c r="F646" s="20"/>
    </row>
    <row r="647" spans="3:6" x14ac:dyDescent="0.25">
      <c r="C647"/>
      <c r="D647"/>
      <c r="F647" s="20"/>
    </row>
    <row r="648" spans="3:6" x14ac:dyDescent="0.25">
      <c r="C648"/>
      <c r="D648"/>
      <c r="F648" s="20"/>
    </row>
    <row r="649" spans="3:6" x14ac:dyDescent="0.25">
      <c r="C649"/>
      <c r="D649"/>
      <c r="F649" s="20"/>
    </row>
    <row r="650" spans="3:6" x14ac:dyDescent="0.25">
      <c r="C650"/>
      <c r="D650"/>
      <c r="F650" s="20"/>
    </row>
    <row r="651" spans="3:6" x14ac:dyDescent="0.25">
      <c r="C651"/>
      <c r="D651"/>
      <c r="F651" s="20"/>
    </row>
    <row r="652" spans="3:6" x14ac:dyDescent="0.25">
      <c r="C652"/>
      <c r="D652"/>
      <c r="F652" s="20"/>
    </row>
    <row r="653" spans="3:6" x14ac:dyDescent="0.25">
      <c r="C653"/>
      <c r="D653"/>
      <c r="F653" s="20"/>
    </row>
    <row r="654" spans="3:6" x14ac:dyDescent="0.25">
      <c r="C654"/>
      <c r="D654"/>
      <c r="F654" s="20"/>
    </row>
    <row r="655" spans="3:6" x14ac:dyDescent="0.25">
      <c r="C655"/>
      <c r="D655"/>
      <c r="F655" s="20"/>
    </row>
    <row r="656" spans="3:6" x14ac:dyDescent="0.25">
      <c r="C656"/>
      <c r="D656"/>
      <c r="F656" s="20"/>
    </row>
    <row r="657" spans="3:6" x14ac:dyDescent="0.25">
      <c r="C657"/>
      <c r="D657"/>
      <c r="F657" s="20"/>
    </row>
    <row r="658" spans="3:6" x14ac:dyDescent="0.25">
      <c r="C658"/>
      <c r="D658"/>
      <c r="F658" s="20"/>
    </row>
    <row r="659" spans="3:6" x14ac:dyDescent="0.25">
      <c r="C659"/>
      <c r="D659"/>
      <c r="F659" s="20"/>
    </row>
    <row r="660" spans="3:6" x14ac:dyDescent="0.25">
      <c r="C660"/>
      <c r="D660"/>
      <c r="F660" s="20"/>
    </row>
    <row r="661" spans="3:6" x14ac:dyDescent="0.25">
      <c r="C661"/>
      <c r="D661"/>
      <c r="F661" s="20"/>
    </row>
    <row r="662" spans="3:6" x14ac:dyDescent="0.25">
      <c r="C662"/>
      <c r="D662"/>
      <c r="F662" s="20"/>
    </row>
    <row r="663" spans="3:6" x14ac:dyDescent="0.25">
      <c r="C663"/>
      <c r="D663"/>
      <c r="F663" s="20"/>
    </row>
    <row r="664" spans="3:6" x14ac:dyDescent="0.25">
      <c r="C664"/>
      <c r="D664"/>
      <c r="F664" s="20"/>
    </row>
    <row r="665" spans="3:6" x14ac:dyDescent="0.25">
      <c r="C665"/>
      <c r="D665"/>
      <c r="F665" s="20"/>
    </row>
    <row r="666" spans="3:6" x14ac:dyDescent="0.25">
      <c r="C666"/>
      <c r="D666"/>
      <c r="F666" s="20"/>
    </row>
    <row r="667" spans="3:6" x14ac:dyDescent="0.25">
      <c r="C667"/>
      <c r="D667"/>
      <c r="F667" s="20"/>
    </row>
    <row r="668" spans="3:6" x14ac:dyDescent="0.25">
      <c r="C668"/>
      <c r="D668"/>
      <c r="F668" s="20"/>
    </row>
    <row r="669" spans="3:6" x14ac:dyDescent="0.25">
      <c r="C669"/>
      <c r="D669"/>
      <c r="F669" s="20"/>
    </row>
    <row r="670" spans="3:6" x14ac:dyDescent="0.25">
      <c r="C670"/>
      <c r="D670"/>
      <c r="F670" s="20"/>
    </row>
    <row r="671" spans="3:6" x14ac:dyDescent="0.25">
      <c r="C671"/>
      <c r="D671"/>
      <c r="F671" s="20"/>
    </row>
    <row r="672" spans="3:6" x14ac:dyDescent="0.25">
      <c r="C672"/>
      <c r="D672"/>
      <c r="F672" s="20"/>
    </row>
    <row r="673" spans="3:6" x14ac:dyDescent="0.25">
      <c r="C673"/>
      <c r="D673"/>
      <c r="F673" s="20"/>
    </row>
    <row r="674" spans="3:6" x14ac:dyDescent="0.25">
      <c r="C674"/>
      <c r="D674"/>
      <c r="F674" s="20"/>
    </row>
    <row r="675" spans="3:6" x14ac:dyDescent="0.25">
      <c r="C675"/>
      <c r="D675"/>
      <c r="F675" s="20"/>
    </row>
    <row r="676" spans="3:6" x14ac:dyDescent="0.25">
      <c r="C676"/>
      <c r="D676"/>
      <c r="F676" s="20"/>
    </row>
    <row r="677" spans="3:6" x14ac:dyDescent="0.25">
      <c r="C677"/>
      <c r="D677"/>
      <c r="F677" s="20"/>
    </row>
    <row r="678" spans="3:6" x14ac:dyDescent="0.25">
      <c r="C678"/>
      <c r="D678"/>
      <c r="F678" s="20"/>
    </row>
    <row r="679" spans="3:6" x14ac:dyDescent="0.25">
      <c r="C679"/>
      <c r="D679"/>
      <c r="F679" s="20"/>
    </row>
    <row r="680" spans="3:6" x14ac:dyDescent="0.25">
      <c r="C680"/>
      <c r="D680"/>
      <c r="F680" s="20"/>
    </row>
    <row r="681" spans="3:6" x14ac:dyDescent="0.25">
      <c r="C681"/>
      <c r="D681"/>
      <c r="F681" s="20"/>
    </row>
    <row r="682" spans="3:6" x14ac:dyDescent="0.25">
      <c r="C682"/>
      <c r="D682"/>
      <c r="F682" s="20"/>
    </row>
    <row r="683" spans="3:6" x14ac:dyDescent="0.25">
      <c r="C683"/>
      <c r="D683"/>
      <c r="F683" s="20"/>
    </row>
    <row r="684" spans="3:6" x14ac:dyDescent="0.25">
      <c r="C684"/>
      <c r="D684"/>
      <c r="F684" s="20"/>
    </row>
    <row r="685" spans="3:6" x14ac:dyDescent="0.25">
      <c r="C685"/>
      <c r="D685"/>
      <c r="F685" s="20"/>
    </row>
    <row r="686" spans="3:6" x14ac:dyDescent="0.25">
      <c r="C686"/>
      <c r="D686"/>
      <c r="F686" s="20"/>
    </row>
    <row r="687" spans="3:6" x14ac:dyDescent="0.25">
      <c r="C687"/>
      <c r="D687"/>
      <c r="F687" s="20"/>
    </row>
    <row r="688" spans="3:6" x14ac:dyDescent="0.25">
      <c r="C688"/>
      <c r="D688"/>
      <c r="F688" s="20"/>
    </row>
    <row r="689" spans="3:6" x14ac:dyDescent="0.25">
      <c r="C689"/>
      <c r="D689"/>
      <c r="F689" s="20"/>
    </row>
    <row r="690" spans="3:6" x14ac:dyDescent="0.25">
      <c r="C690"/>
      <c r="D690"/>
      <c r="F690" s="20"/>
    </row>
    <row r="691" spans="3:6" x14ac:dyDescent="0.25">
      <c r="C691"/>
      <c r="D691"/>
      <c r="F691" s="20"/>
    </row>
    <row r="692" spans="3:6" x14ac:dyDescent="0.25">
      <c r="C692"/>
      <c r="D692"/>
      <c r="F692" s="20"/>
    </row>
    <row r="693" spans="3:6" x14ac:dyDescent="0.25">
      <c r="C693"/>
      <c r="D693"/>
      <c r="F693" s="20"/>
    </row>
    <row r="694" spans="3:6" x14ac:dyDescent="0.25">
      <c r="C694"/>
      <c r="D694"/>
      <c r="F694" s="20"/>
    </row>
    <row r="695" spans="3:6" x14ac:dyDescent="0.25">
      <c r="C695"/>
      <c r="D695"/>
      <c r="F695" s="20"/>
    </row>
    <row r="696" spans="3:6" x14ac:dyDescent="0.25">
      <c r="C696"/>
      <c r="D696"/>
      <c r="F696" s="20"/>
    </row>
    <row r="697" spans="3:6" x14ac:dyDescent="0.25">
      <c r="C697"/>
      <c r="D697"/>
      <c r="F697" s="20"/>
    </row>
    <row r="698" spans="3:6" x14ac:dyDescent="0.25">
      <c r="C698"/>
      <c r="D698"/>
      <c r="F698" s="20"/>
    </row>
    <row r="699" spans="3:6" x14ac:dyDescent="0.25">
      <c r="C699"/>
      <c r="D699"/>
      <c r="F699" s="20"/>
    </row>
    <row r="700" spans="3:6" x14ac:dyDescent="0.25">
      <c r="C700"/>
      <c r="D700"/>
      <c r="F700" s="20"/>
    </row>
    <row r="701" spans="3:6" x14ac:dyDescent="0.25">
      <c r="C701"/>
      <c r="D701"/>
      <c r="F701" s="20"/>
    </row>
    <row r="702" spans="3:6" x14ac:dyDescent="0.25">
      <c r="C702"/>
      <c r="D702"/>
      <c r="F702" s="20"/>
    </row>
    <row r="703" spans="3:6" x14ac:dyDescent="0.25">
      <c r="C703"/>
      <c r="D703"/>
      <c r="F703" s="20"/>
    </row>
    <row r="704" spans="3:6" x14ac:dyDescent="0.25">
      <c r="C704"/>
      <c r="D704"/>
      <c r="F704" s="20"/>
    </row>
    <row r="705" spans="3:6" x14ac:dyDescent="0.25">
      <c r="C705"/>
      <c r="D705"/>
      <c r="F705" s="20"/>
    </row>
    <row r="706" spans="3:6" x14ac:dyDescent="0.25">
      <c r="C706"/>
      <c r="D706"/>
      <c r="F706" s="20"/>
    </row>
    <row r="707" spans="3:6" x14ac:dyDescent="0.25">
      <c r="C707"/>
      <c r="D707"/>
      <c r="F707" s="20"/>
    </row>
    <row r="708" spans="3:6" x14ac:dyDescent="0.25">
      <c r="C708"/>
      <c r="D708"/>
      <c r="F708" s="20"/>
    </row>
    <row r="709" spans="3:6" x14ac:dyDescent="0.25">
      <c r="C709"/>
      <c r="D709"/>
      <c r="F709" s="20"/>
    </row>
    <row r="710" spans="3:6" x14ac:dyDescent="0.25">
      <c r="C710"/>
      <c r="D710"/>
      <c r="F710" s="20"/>
    </row>
    <row r="711" spans="3:6" x14ac:dyDescent="0.25">
      <c r="C711"/>
      <c r="D711"/>
      <c r="F711" s="20"/>
    </row>
    <row r="712" spans="3:6" x14ac:dyDescent="0.25">
      <c r="C712"/>
      <c r="D712"/>
      <c r="F712" s="20"/>
    </row>
    <row r="713" spans="3:6" x14ac:dyDescent="0.25">
      <c r="C713"/>
      <c r="D713"/>
      <c r="F713" s="20"/>
    </row>
    <row r="714" spans="3:6" x14ac:dyDescent="0.25">
      <c r="C714"/>
      <c r="D714"/>
      <c r="F714" s="20"/>
    </row>
    <row r="715" spans="3:6" x14ac:dyDescent="0.25">
      <c r="C715"/>
      <c r="D715"/>
      <c r="F715" s="20"/>
    </row>
    <row r="716" spans="3:6" x14ac:dyDescent="0.25">
      <c r="C716"/>
      <c r="D716"/>
      <c r="F716" s="20"/>
    </row>
    <row r="717" spans="3:6" x14ac:dyDescent="0.25">
      <c r="C717"/>
      <c r="D717"/>
      <c r="F717" s="20"/>
    </row>
    <row r="718" spans="3:6" x14ac:dyDescent="0.25">
      <c r="C718"/>
      <c r="D718"/>
      <c r="F718" s="20"/>
    </row>
    <row r="719" spans="3:6" x14ac:dyDescent="0.25">
      <c r="C719"/>
      <c r="D719"/>
      <c r="F719" s="20"/>
    </row>
    <row r="720" spans="3:6" x14ac:dyDescent="0.25">
      <c r="C720"/>
      <c r="D720"/>
      <c r="F720" s="20"/>
    </row>
    <row r="721" spans="3:6" x14ac:dyDescent="0.25">
      <c r="C721"/>
      <c r="D721"/>
      <c r="F721" s="20"/>
    </row>
    <row r="722" spans="3:6" x14ac:dyDescent="0.25">
      <c r="C722"/>
      <c r="D722"/>
      <c r="F722" s="20"/>
    </row>
    <row r="723" spans="3:6" x14ac:dyDescent="0.25">
      <c r="C723"/>
      <c r="D723"/>
      <c r="F723" s="20"/>
    </row>
    <row r="724" spans="3:6" x14ac:dyDescent="0.25">
      <c r="C724"/>
      <c r="D724"/>
      <c r="F724" s="20"/>
    </row>
    <row r="725" spans="3:6" x14ac:dyDescent="0.25">
      <c r="C725"/>
      <c r="D725"/>
      <c r="F725" s="20"/>
    </row>
    <row r="726" spans="3:6" x14ac:dyDescent="0.25">
      <c r="C726"/>
      <c r="D726"/>
      <c r="F726" s="20"/>
    </row>
    <row r="727" spans="3:6" x14ac:dyDescent="0.25">
      <c r="C727"/>
      <c r="D727"/>
      <c r="F727" s="20"/>
    </row>
    <row r="728" spans="3:6" x14ac:dyDescent="0.25">
      <c r="C728"/>
      <c r="D728"/>
      <c r="F728" s="20"/>
    </row>
    <row r="729" spans="3:6" x14ac:dyDescent="0.25">
      <c r="C729"/>
      <c r="D729"/>
      <c r="F729" s="20"/>
    </row>
    <row r="730" spans="3:6" x14ac:dyDescent="0.25">
      <c r="C730"/>
      <c r="D730"/>
      <c r="F730" s="20"/>
    </row>
    <row r="731" spans="3:6" x14ac:dyDescent="0.25">
      <c r="C731"/>
      <c r="D731"/>
      <c r="F731" s="20"/>
    </row>
    <row r="732" spans="3:6" x14ac:dyDescent="0.25">
      <c r="C732"/>
      <c r="D732"/>
      <c r="F732" s="20"/>
    </row>
    <row r="733" spans="3:6" x14ac:dyDescent="0.25">
      <c r="C733"/>
      <c r="D733"/>
      <c r="F733" s="20"/>
    </row>
    <row r="734" spans="3:6" x14ac:dyDescent="0.25">
      <c r="C734"/>
      <c r="D734"/>
      <c r="F734" s="20"/>
    </row>
    <row r="735" spans="3:6" x14ac:dyDescent="0.25">
      <c r="C735"/>
      <c r="D735"/>
      <c r="F735" s="20"/>
    </row>
    <row r="736" spans="3:6" x14ac:dyDescent="0.25">
      <c r="C736"/>
      <c r="D736"/>
      <c r="F736" s="20"/>
    </row>
    <row r="737" spans="3:6" x14ac:dyDescent="0.25">
      <c r="C737"/>
      <c r="D737"/>
      <c r="F737" s="20"/>
    </row>
    <row r="738" spans="3:6" x14ac:dyDescent="0.25">
      <c r="C738"/>
      <c r="D738"/>
      <c r="F738" s="20"/>
    </row>
    <row r="739" spans="3:6" x14ac:dyDescent="0.25">
      <c r="C739"/>
      <c r="D739"/>
      <c r="F739" s="20"/>
    </row>
    <row r="740" spans="3:6" x14ac:dyDescent="0.25">
      <c r="C740"/>
      <c r="D740"/>
      <c r="F740" s="20"/>
    </row>
    <row r="741" spans="3:6" x14ac:dyDescent="0.25">
      <c r="C741"/>
      <c r="D741"/>
      <c r="F741" s="20"/>
    </row>
    <row r="742" spans="3:6" x14ac:dyDescent="0.25">
      <c r="C742"/>
      <c r="D742"/>
      <c r="F742" s="20"/>
    </row>
    <row r="743" spans="3:6" x14ac:dyDescent="0.25">
      <c r="C743"/>
      <c r="D743"/>
      <c r="F743" s="20"/>
    </row>
    <row r="744" spans="3:6" x14ac:dyDescent="0.25">
      <c r="C744"/>
      <c r="D744"/>
      <c r="F744" s="20"/>
    </row>
    <row r="745" spans="3:6" x14ac:dyDescent="0.25">
      <c r="C745"/>
      <c r="D745"/>
      <c r="F745" s="20"/>
    </row>
    <row r="746" spans="3:6" x14ac:dyDescent="0.25">
      <c r="C746"/>
      <c r="D746"/>
      <c r="F746" s="20"/>
    </row>
    <row r="747" spans="3:6" x14ac:dyDescent="0.25">
      <c r="C747"/>
      <c r="D747"/>
      <c r="F747" s="20"/>
    </row>
    <row r="748" spans="3:6" x14ac:dyDescent="0.25">
      <c r="C748"/>
      <c r="D748"/>
      <c r="F748" s="20"/>
    </row>
    <row r="749" spans="3:6" x14ac:dyDescent="0.25">
      <c r="C749"/>
      <c r="D749"/>
      <c r="F749" s="20"/>
    </row>
    <row r="750" spans="3:6" x14ac:dyDescent="0.25">
      <c r="C750"/>
      <c r="D750"/>
      <c r="F750" s="20"/>
    </row>
    <row r="751" spans="3:6" x14ac:dyDescent="0.25">
      <c r="C751"/>
      <c r="D751"/>
      <c r="F751" s="20"/>
    </row>
    <row r="752" spans="3:6" x14ac:dyDescent="0.25">
      <c r="C752"/>
      <c r="D752"/>
      <c r="F752" s="20"/>
    </row>
    <row r="753" spans="3:6" x14ac:dyDescent="0.25">
      <c r="C753"/>
      <c r="D753"/>
      <c r="F753" s="20"/>
    </row>
    <row r="754" spans="3:6" x14ac:dyDescent="0.25">
      <c r="C754"/>
      <c r="D754"/>
      <c r="F754" s="20"/>
    </row>
    <row r="755" spans="3:6" x14ac:dyDescent="0.25">
      <c r="C755"/>
      <c r="D755"/>
      <c r="F755" s="20"/>
    </row>
    <row r="756" spans="3:6" x14ac:dyDescent="0.25">
      <c r="C756"/>
      <c r="D756"/>
      <c r="F756" s="20"/>
    </row>
    <row r="757" spans="3:6" x14ac:dyDescent="0.25">
      <c r="C757"/>
      <c r="D757"/>
      <c r="F757" s="20"/>
    </row>
    <row r="758" spans="3:6" x14ac:dyDescent="0.25">
      <c r="C758"/>
      <c r="D758"/>
      <c r="F758" s="20"/>
    </row>
    <row r="759" spans="3:6" x14ac:dyDescent="0.25">
      <c r="C759"/>
      <c r="D759"/>
      <c r="F759" s="20"/>
    </row>
    <row r="760" spans="3:6" x14ac:dyDescent="0.25">
      <c r="C760"/>
      <c r="D760"/>
      <c r="F760" s="20"/>
    </row>
    <row r="761" spans="3:6" x14ac:dyDescent="0.25">
      <c r="C761"/>
      <c r="D761"/>
      <c r="F761" s="20"/>
    </row>
    <row r="762" spans="3:6" x14ac:dyDescent="0.25">
      <c r="C762"/>
      <c r="D762"/>
      <c r="F762" s="20"/>
    </row>
    <row r="763" spans="3:6" x14ac:dyDescent="0.25">
      <c r="C763"/>
      <c r="D763"/>
      <c r="F763" s="20"/>
    </row>
    <row r="764" spans="3:6" x14ac:dyDescent="0.25">
      <c r="C764"/>
      <c r="D764"/>
      <c r="F764" s="20"/>
    </row>
    <row r="765" spans="3:6" x14ac:dyDescent="0.25">
      <c r="C765"/>
      <c r="D765"/>
      <c r="F765" s="20"/>
    </row>
    <row r="766" spans="3:6" x14ac:dyDescent="0.25">
      <c r="C766"/>
      <c r="D766"/>
      <c r="F766" s="20"/>
    </row>
    <row r="767" spans="3:6" x14ac:dyDescent="0.25">
      <c r="C767"/>
      <c r="D767"/>
      <c r="F767" s="20"/>
    </row>
    <row r="768" spans="3:6" x14ac:dyDescent="0.25">
      <c r="C768"/>
      <c r="D768"/>
      <c r="F768" s="20"/>
    </row>
    <row r="769" spans="3:6" x14ac:dyDescent="0.25">
      <c r="C769"/>
      <c r="D769"/>
      <c r="F769" s="20"/>
    </row>
    <row r="770" spans="3:6" x14ac:dyDescent="0.25">
      <c r="C770"/>
      <c r="D770"/>
      <c r="F770" s="20"/>
    </row>
    <row r="771" spans="3:6" x14ac:dyDescent="0.25">
      <c r="C771"/>
      <c r="D771"/>
      <c r="F771" s="20"/>
    </row>
    <row r="772" spans="3:6" x14ac:dyDescent="0.25">
      <c r="C772"/>
      <c r="D772"/>
      <c r="F772" s="20"/>
    </row>
    <row r="773" spans="3:6" x14ac:dyDescent="0.25">
      <c r="C773"/>
      <c r="D773"/>
      <c r="F773" s="20"/>
    </row>
    <row r="774" spans="3:6" x14ac:dyDescent="0.25">
      <c r="C774"/>
      <c r="D774"/>
      <c r="F774" s="20"/>
    </row>
    <row r="775" spans="3:6" x14ac:dyDescent="0.25">
      <c r="C775"/>
      <c r="D775"/>
      <c r="F775" s="20"/>
    </row>
    <row r="776" spans="3:6" x14ac:dyDescent="0.25">
      <c r="C776"/>
      <c r="D776"/>
      <c r="F776" s="20"/>
    </row>
    <row r="777" spans="3:6" x14ac:dyDescent="0.25">
      <c r="C777"/>
      <c r="D777"/>
      <c r="F777" s="20"/>
    </row>
    <row r="778" spans="3:6" x14ac:dyDescent="0.25">
      <c r="C778"/>
      <c r="D778"/>
      <c r="F778" s="20"/>
    </row>
    <row r="779" spans="3:6" x14ac:dyDescent="0.25">
      <c r="C779"/>
      <c r="D779"/>
      <c r="F779" s="20"/>
    </row>
    <row r="780" spans="3:6" x14ac:dyDescent="0.25">
      <c r="C780"/>
      <c r="D780"/>
      <c r="F780" s="20"/>
    </row>
    <row r="781" spans="3:6" x14ac:dyDescent="0.25">
      <c r="C781"/>
      <c r="D781"/>
      <c r="F781" s="20"/>
    </row>
    <row r="782" spans="3:6" x14ac:dyDescent="0.25">
      <c r="C782"/>
      <c r="D782"/>
      <c r="F782" s="20"/>
    </row>
    <row r="783" spans="3:6" x14ac:dyDescent="0.25">
      <c r="C783"/>
      <c r="D783"/>
      <c r="F783" s="20"/>
    </row>
    <row r="784" spans="3:6" x14ac:dyDescent="0.25">
      <c r="C784"/>
      <c r="D784"/>
      <c r="F784" s="20"/>
    </row>
    <row r="785" spans="3:6" x14ac:dyDescent="0.25">
      <c r="C785"/>
      <c r="D785"/>
      <c r="F785" s="20"/>
    </row>
    <row r="786" spans="3:6" x14ac:dyDescent="0.25">
      <c r="C786"/>
      <c r="D786"/>
      <c r="F786" s="20"/>
    </row>
    <row r="787" spans="3:6" x14ac:dyDescent="0.25">
      <c r="C787"/>
      <c r="D787"/>
      <c r="F787" s="20"/>
    </row>
    <row r="788" spans="3:6" x14ac:dyDescent="0.25">
      <c r="C788"/>
      <c r="D788"/>
      <c r="F788" s="20"/>
    </row>
    <row r="789" spans="3:6" x14ac:dyDescent="0.25">
      <c r="C789"/>
      <c r="D789"/>
      <c r="F789" s="20"/>
    </row>
    <row r="790" spans="3:6" x14ac:dyDescent="0.25">
      <c r="C790"/>
      <c r="D790"/>
      <c r="F790" s="20"/>
    </row>
    <row r="791" spans="3:6" x14ac:dyDescent="0.25">
      <c r="C791"/>
      <c r="D791"/>
      <c r="F791" s="20"/>
    </row>
    <row r="792" spans="3:6" x14ac:dyDescent="0.25">
      <c r="C792"/>
      <c r="D792"/>
      <c r="F792" s="20"/>
    </row>
    <row r="793" spans="3:6" x14ac:dyDescent="0.25">
      <c r="C793"/>
      <c r="D793"/>
      <c r="F793" s="20"/>
    </row>
    <row r="794" spans="3:6" x14ac:dyDescent="0.25">
      <c r="C794"/>
      <c r="D794"/>
      <c r="F794" s="20"/>
    </row>
    <row r="795" spans="3:6" x14ac:dyDescent="0.25">
      <c r="C795"/>
      <c r="D795"/>
      <c r="F795" s="20"/>
    </row>
    <row r="796" spans="3:6" x14ac:dyDescent="0.25">
      <c r="C796"/>
      <c r="D796"/>
      <c r="F796" s="20"/>
    </row>
    <row r="797" spans="3:6" x14ac:dyDescent="0.25">
      <c r="C797"/>
      <c r="D797"/>
      <c r="F797" s="20"/>
    </row>
    <row r="798" spans="3:6" x14ac:dyDescent="0.25">
      <c r="C798"/>
      <c r="D798"/>
      <c r="F798" s="20"/>
    </row>
    <row r="799" spans="3:6" x14ac:dyDescent="0.25">
      <c r="C799"/>
      <c r="D799"/>
      <c r="F799" s="20"/>
    </row>
    <row r="800" spans="3:6" x14ac:dyDescent="0.25">
      <c r="C800"/>
      <c r="D800"/>
      <c r="F800" s="20"/>
    </row>
    <row r="801" spans="3:6" x14ac:dyDescent="0.25">
      <c r="C801"/>
      <c r="D801"/>
      <c r="F801" s="20"/>
    </row>
    <row r="802" spans="3:6" x14ac:dyDescent="0.25">
      <c r="C802"/>
      <c r="D802"/>
      <c r="F802" s="20"/>
    </row>
    <row r="803" spans="3:6" x14ac:dyDescent="0.25">
      <c r="C803"/>
      <c r="D803"/>
      <c r="F803" s="20"/>
    </row>
    <row r="804" spans="3:6" x14ac:dyDescent="0.25">
      <c r="C804"/>
      <c r="D804"/>
      <c r="F804" s="20"/>
    </row>
    <row r="805" spans="3:6" x14ac:dyDescent="0.25">
      <c r="C805"/>
      <c r="D805"/>
      <c r="F805" s="20"/>
    </row>
    <row r="806" spans="3:6" x14ac:dyDescent="0.25">
      <c r="C806"/>
      <c r="D806"/>
      <c r="F806" s="20"/>
    </row>
    <row r="807" spans="3:6" x14ac:dyDescent="0.25">
      <c r="C807"/>
      <c r="D807"/>
      <c r="F807" s="20"/>
    </row>
    <row r="808" spans="3:6" x14ac:dyDescent="0.25">
      <c r="C808"/>
      <c r="D808"/>
      <c r="F808" s="20"/>
    </row>
    <row r="809" spans="3:6" x14ac:dyDescent="0.25">
      <c r="C809"/>
      <c r="D809"/>
      <c r="F809" s="20"/>
    </row>
    <row r="810" spans="3:6" x14ac:dyDescent="0.25">
      <c r="C810"/>
      <c r="D810"/>
      <c r="F810" s="20"/>
    </row>
    <row r="811" spans="3:6" x14ac:dyDescent="0.25">
      <c r="C811"/>
      <c r="D811"/>
      <c r="F811" s="20"/>
    </row>
    <row r="812" spans="3:6" x14ac:dyDescent="0.25">
      <c r="C812"/>
      <c r="D812"/>
      <c r="F812" s="20"/>
    </row>
    <row r="813" spans="3:6" x14ac:dyDescent="0.25">
      <c r="C813"/>
      <c r="D813"/>
      <c r="F813" s="20"/>
    </row>
    <row r="814" spans="3:6" x14ac:dyDescent="0.25">
      <c r="C814"/>
      <c r="D814"/>
      <c r="F814" s="20"/>
    </row>
    <row r="815" spans="3:6" x14ac:dyDescent="0.25">
      <c r="C815"/>
      <c r="D815"/>
      <c r="F815" s="20"/>
    </row>
    <row r="816" spans="3:6" x14ac:dyDescent="0.25">
      <c r="C816"/>
      <c r="D816"/>
      <c r="F816" s="20"/>
    </row>
    <row r="817" spans="3:6" x14ac:dyDescent="0.25">
      <c r="C817"/>
      <c r="D817"/>
      <c r="F817" s="20"/>
    </row>
    <row r="818" spans="3:6" x14ac:dyDescent="0.25">
      <c r="C818"/>
      <c r="D818"/>
      <c r="F818" s="20"/>
    </row>
    <row r="819" spans="3:6" x14ac:dyDescent="0.25">
      <c r="C819"/>
      <c r="D819"/>
      <c r="F819" s="20"/>
    </row>
    <row r="820" spans="3:6" x14ac:dyDescent="0.25">
      <c r="C820"/>
      <c r="D820"/>
      <c r="F820" s="20"/>
    </row>
    <row r="821" spans="3:6" x14ac:dyDescent="0.25">
      <c r="C821"/>
      <c r="D821"/>
      <c r="F821" s="20"/>
    </row>
    <row r="822" spans="3:6" x14ac:dyDescent="0.25">
      <c r="C822"/>
      <c r="D822"/>
      <c r="F822" s="20"/>
    </row>
    <row r="823" spans="3:6" x14ac:dyDescent="0.25">
      <c r="C823"/>
      <c r="D823"/>
      <c r="F823" s="20"/>
    </row>
    <row r="824" spans="3:6" x14ac:dyDescent="0.25">
      <c r="C824"/>
      <c r="D824"/>
      <c r="F824" s="20"/>
    </row>
    <row r="825" spans="3:6" x14ac:dyDescent="0.25">
      <c r="C825"/>
      <c r="D825"/>
      <c r="F825" s="20"/>
    </row>
    <row r="826" spans="3:6" x14ac:dyDescent="0.25">
      <c r="C826"/>
      <c r="D826"/>
      <c r="F826" s="20"/>
    </row>
    <row r="827" spans="3:6" x14ac:dyDescent="0.25">
      <c r="C827"/>
      <c r="D827"/>
      <c r="F827" s="20"/>
    </row>
    <row r="828" spans="3:6" x14ac:dyDescent="0.25">
      <c r="C828"/>
      <c r="D828"/>
      <c r="F828" s="20"/>
    </row>
    <row r="829" spans="3:6" x14ac:dyDescent="0.25">
      <c r="C829"/>
      <c r="D829"/>
      <c r="F829" s="20"/>
    </row>
    <row r="830" spans="3:6" x14ac:dyDescent="0.25">
      <c r="C830"/>
      <c r="D830"/>
      <c r="F830" s="20"/>
    </row>
    <row r="831" spans="3:6" x14ac:dyDescent="0.25">
      <c r="C831"/>
      <c r="D831"/>
      <c r="F831" s="20"/>
    </row>
    <row r="832" spans="3:6" x14ac:dyDescent="0.25">
      <c r="C832"/>
      <c r="D832"/>
      <c r="F832" s="20"/>
    </row>
    <row r="833" spans="3:6" x14ac:dyDescent="0.25">
      <c r="C833"/>
      <c r="D833"/>
      <c r="F833" s="20"/>
    </row>
    <row r="834" spans="3:6" x14ac:dyDescent="0.25">
      <c r="C834"/>
      <c r="D834"/>
      <c r="F834" s="20"/>
    </row>
    <row r="835" spans="3:6" x14ac:dyDescent="0.25">
      <c r="C835"/>
      <c r="D835"/>
      <c r="F835" s="20"/>
    </row>
    <row r="836" spans="3:6" x14ac:dyDescent="0.25">
      <c r="C836"/>
      <c r="D836"/>
      <c r="F836" s="20"/>
    </row>
    <row r="837" spans="3:6" x14ac:dyDescent="0.25">
      <c r="C837"/>
      <c r="D837"/>
      <c r="F837" s="20"/>
    </row>
    <row r="838" spans="3:6" x14ac:dyDescent="0.25">
      <c r="C838"/>
      <c r="D838"/>
      <c r="F838" s="20"/>
    </row>
    <row r="839" spans="3:6" x14ac:dyDescent="0.25">
      <c r="C839"/>
      <c r="D839"/>
      <c r="F839" s="20"/>
    </row>
    <row r="840" spans="3:6" x14ac:dyDescent="0.25">
      <c r="C840"/>
      <c r="D840"/>
      <c r="F840" s="20"/>
    </row>
    <row r="841" spans="3:6" x14ac:dyDescent="0.25">
      <c r="C841"/>
      <c r="D841"/>
      <c r="F841" s="20"/>
    </row>
    <row r="842" spans="3:6" x14ac:dyDescent="0.25">
      <c r="C842"/>
      <c r="D842"/>
      <c r="F842" s="20"/>
    </row>
    <row r="843" spans="3:6" x14ac:dyDescent="0.25">
      <c r="C843"/>
      <c r="D843"/>
      <c r="F843" s="20"/>
    </row>
    <row r="844" spans="3:6" x14ac:dyDescent="0.25">
      <c r="C844"/>
      <c r="D844"/>
      <c r="F844" s="20"/>
    </row>
    <row r="845" spans="3:6" x14ac:dyDescent="0.25">
      <c r="C845"/>
      <c r="D845"/>
      <c r="F845" s="20"/>
    </row>
    <row r="846" spans="3:6" x14ac:dyDescent="0.25">
      <c r="C846"/>
      <c r="D846"/>
      <c r="F846" s="20"/>
    </row>
    <row r="847" spans="3:6" x14ac:dyDescent="0.25">
      <c r="C847"/>
      <c r="D847"/>
      <c r="F847" s="20"/>
    </row>
    <row r="848" spans="3:6" x14ac:dyDescent="0.25">
      <c r="C848"/>
      <c r="D848"/>
      <c r="F848" s="20"/>
    </row>
    <row r="849" spans="3:6" x14ac:dyDescent="0.25">
      <c r="C849"/>
      <c r="D849"/>
      <c r="F849" s="20"/>
    </row>
    <row r="850" spans="3:6" x14ac:dyDescent="0.25">
      <c r="C850"/>
      <c r="D850"/>
      <c r="F850" s="20"/>
    </row>
    <row r="851" spans="3:6" x14ac:dyDescent="0.25">
      <c r="C851"/>
      <c r="D851"/>
      <c r="F851" s="20"/>
    </row>
    <row r="852" spans="3:6" x14ac:dyDescent="0.25">
      <c r="C852"/>
      <c r="D852"/>
      <c r="F852" s="20"/>
    </row>
    <row r="853" spans="3:6" x14ac:dyDescent="0.25">
      <c r="C853"/>
      <c r="D853"/>
      <c r="F853" s="20"/>
    </row>
    <row r="854" spans="3:6" x14ac:dyDescent="0.25">
      <c r="C854"/>
      <c r="D854"/>
      <c r="F854" s="20"/>
    </row>
    <row r="855" spans="3:6" x14ac:dyDescent="0.25">
      <c r="C855"/>
      <c r="D855"/>
      <c r="F855" s="20"/>
    </row>
    <row r="856" spans="3:6" x14ac:dyDescent="0.25">
      <c r="C856"/>
      <c r="D856"/>
      <c r="F856" s="20"/>
    </row>
    <row r="857" spans="3:6" x14ac:dyDescent="0.25">
      <c r="C857"/>
      <c r="D857"/>
      <c r="F857" s="20"/>
    </row>
    <row r="858" spans="3:6" x14ac:dyDescent="0.25">
      <c r="C858"/>
      <c r="D858"/>
      <c r="F858" s="20"/>
    </row>
    <row r="859" spans="3:6" x14ac:dyDescent="0.25">
      <c r="C859"/>
      <c r="D859"/>
      <c r="F859" s="20"/>
    </row>
    <row r="860" spans="3:6" x14ac:dyDescent="0.25">
      <c r="C860"/>
      <c r="D860"/>
      <c r="F860" s="20"/>
    </row>
    <row r="861" spans="3:6" x14ac:dyDescent="0.25">
      <c r="C861"/>
      <c r="D861"/>
      <c r="F861" s="20"/>
    </row>
    <row r="862" spans="3:6" x14ac:dyDescent="0.25">
      <c r="C862"/>
      <c r="D862"/>
      <c r="F862" s="20"/>
    </row>
    <row r="863" spans="3:6" x14ac:dyDescent="0.25">
      <c r="C863"/>
      <c r="D863"/>
      <c r="F863" s="20"/>
    </row>
    <row r="864" spans="3:6" x14ac:dyDescent="0.25">
      <c r="C864"/>
      <c r="D864"/>
      <c r="F864" s="20"/>
    </row>
    <row r="865" spans="3:6" x14ac:dyDescent="0.25">
      <c r="C865"/>
      <c r="D865"/>
      <c r="F865" s="20"/>
    </row>
    <row r="866" spans="3:6" x14ac:dyDescent="0.25">
      <c r="C866"/>
      <c r="D866"/>
      <c r="F866" s="20"/>
    </row>
    <row r="867" spans="3:6" x14ac:dyDescent="0.25">
      <c r="C867"/>
      <c r="D867"/>
      <c r="F867" s="20"/>
    </row>
    <row r="868" spans="3:6" x14ac:dyDescent="0.25">
      <c r="C868"/>
      <c r="D868"/>
      <c r="F868" s="20"/>
    </row>
    <row r="869" spans="3:6" x14ac:dyDescent="0.25">
      <c r="C869"/>
      <c r="D869"/>
      <c r="F869" s="20"/>
    </row>
    <row r="870" spans="3:6" x14ac:dyDescent="0.25">
      <c r="C870"/>
      <c r="D870"/>
      <c r="F870" s="20"/>
    </row>
    <row r="871" spans="3:6" x14ac:dyDescent="0.25">
      <c r="C871"/>
      <c r="D871"/>
      <c r="F871" s="20"/>
    </row>
    <row r="872" spans="3:6" x14ac:dyDescent="0.25">
      <c r="C872"/>
      <c r="D872"/>
      <c r="F872" s="20"/>
    </row>
    <row r="873" spans="3:6" x14ac:dyDescent="0.25">
      <c r="C873"/>
      <c r="D873"/>
      <c r="F873" s="20"/>
    </row>
    <row r="874" spans="3:6" x14ac:dyDescent="0.25">
      <c r="C874"/>
      <c r="D874"/>
      <c r="F874" s="20"/>
    </row>
    <row r="875" spans="3:6" x14ac:dyDescent="0.25">
      <c r="C875"/>
      <c r="D875"/>
      <c r="F875" s="20"/>
    </row>
    <row r="876" spans="3:6" x14ac:dyDescent="0.25">
      <c r="C876"/>
      <c r="D876"/>
      <c r="F876" s="20"/>
    </row>
    <row r="877" spans="3:6" x14ac:dyDescent="0.25">
      <c r="C877"/>
      <c r="D877"/>
      <c r="F877" s="20"/>
    </row>
    <row r="878" spans="3:6" x14ac:dyDescent="0.25">
      <c r="C878"/>
      <c r="D878"/>
      <c r="F878" s="20"/>
    </row>
    <row r="879" spans="3:6" x14ac:dyDescent="0.25">
      <c r="C879"/>
      <c r="D879"/>
      <c r="F879" s="20"/>
    </row>
    <row r="880" spans="3:6" x14ac:dyDescent="0.25">
      <c r="C880"/>
      <c r="D880"/>
      <c r="F880" s="20"/>
    </row>
    <row r="881" spans="3:6" x14ac:dyDescent="0.25">
      <c r="C881"/>
      <c r="D881"/>
      <c r="F881" s="20"/>
    </row>
    <row r="882" spans="3:6" x14ac:dyDescent="0.25">
      <c r="C882"/>
      <c r="D882"/>
      <c r="F882" s="20"/>
    </row>
    <row r="883" spans="3:6" x14ac:dyDescent="0.25">
      <c r="C883"/>
      <c r="D883"/>
      <c r="F883" s="20"/>
    </row>
    <row r="884" spans="3:6" x14ac:dyDescent="0.25">
      <c r="C884"/>
      <c r="D884"/>
      <c r="F884" s="20"/>
    </row>
    <row r="885" spans="3:6" x14ac:dyDescent="0.25">
      <c r="C885"/>
      <c r="D885"/>
      <c r="F885" s="20"/>
    </row>
    <row r="886" spans="3:6" x14ac:dyDescent="0.25">
      <c r="C886"/>
      <c r="D886"/>
      <c r="F886" s="20"/>
    </row>
    <row r="887" spans="3:6" x14ac:dyDescent="0.25">
      <c r="C887"/>
      <c r="D887"/>
      <c r="F887" s="20"/>
    </row>
    <row r="888" spans="3:6" x14ac:dyDescent="0.25">
      <c r="C888"/>
      <c r="D888"/>
      <c r="F888" s="20"/>
    </row>
    <row r="889" spans="3:6" x14ac:dyDescent="0.25">
      <c r="C889"/>
      <c r="D889"/>
      <c r="F889" s="20"/>
    </row>
    <row r="890" spans="3:6" x14ac:dyDescent="0.25">
      <c r="C890"/>
      <c r="D890"/>
      <c r="F890" s="20"/>
    </row>
    <row r="891" spans="3:6" x14ac:dyDescent="0.25">
      <c r="C891"/>
      <c r="D891"/>
      <c r="F891" s="20"/>
    </row>
    <row r="892" spans="3:6" x14ac:dyDescent="0.25">
      <c r="C892"/>
      <c r="D892"/>
      <c r="F892" s="20"/>
    </row>
    <row r="893" spans="3:6" x14ac:dyDescent="0.25">
      <c r="C893"/>
      <c r="D893"/>
      <c r="F893" s="20"/>
    </row>
    <row r="894" spans="3:6" x14ac:dyDescent="0.25">
      <c r="C894"/>
      <c r="D894"/>
      <c r="F894" s="20"/>
    </row>
    <row r="895" spans="3:6" x14ac:dyDescent="0.25">
      <c r="C895"/>
      <c r="D895"/>
      <c r="F895" s="20"/>
    </row>
    <row r="896" spans="3:6" x14ac:dyDescent="0.25">
      <c r="C896"/>
      <c r="D896"/>
      <c r="F896" s="20"/>
    </row>
    <row r="897" spans="3:6" x14ac:dyDescent="0.25">
      <c r="C897"/>
      <c r="D897"/>
      <c r="F897" s="20"/>
    </row>
    <row r="898" spans="3:6" x14ac:dyDescent="0.25">
      <c r="C898"/>
      <c r="D898"/>
      <c r="F898" s="20"/>
    </row>
    <row r="899" spans="3:6" x14ac:dyDescent="0.25">
      <c r="C899"/>
      <c r="D899"/>
      <c r="F899" s="20"/>
    </row>
    <row r="900" spans="3:6" x14ac:dyDescent="0.25">
      <c r="C900"/>
      <c r="D900"/>
      <c r="F900" s="20"/>
    </row>
    <row r="901" spans="3:6" x14ac:dyDescent="0.25">
      <c r="C901"/>
      <c r="D901"/>
      <c r="F901" s="20"/>
    </row>
    <row r="902" spans="3:6" x14ac:dyDescent="0.25">
      <c r="C902"/>
      <c r="D902"/>
      <c r="F902" s="20"/>
    </row>
    <row r="903" spans="3:6" x14ac:dyDescent="0.25">
      <c r="C903"/>
      <c r="D903"/>
      <c r="F903" s="20"/>
    </row>
    <row r="904" spans="3:6" x14ac:dyDescent="0.25">
      <c r="C904"/>
      <c r="D904"/>
      <c r="F904" s="20"/>
    </row>
    <row r="905" spans="3:6" x14ac:dyDescent="0.25">
      <c r="C905"/>
      <c r="D905"/>
      <c r="F905" s="20"/>
    </row>
    <row r="906" spans="3:6" x14ac:dyDescent="0.25">
      <c r="C906"/>
      <c r="D906"/>
      <c r="F906" s="20"/>
    </row>
    <row r="907" spans="3:6" x14ac:dyDescent="0.25">
      <c r="C907"/>
      <c r="D907"/>
      <c r="F907" s="20"/>
    </row>
    <row r="908" spans="3:6" x14ac:dyDescent="0.25">
      <c r="C908"/>
      <c r="D908"/>
      <c r="F908" s="20"/>
    </row>
    <row r="909" spans="3:6" x14ac:dyDescent="0.25">
      <c r="C909"/>
      <c r="D909"/>
      <c r="F909" s="20"/>
    </row>
    <row r="910" spans="3:6" x14ac:dyDescent="0.25">
      <c r="C910"/>
      <c r="D910"/>
      <c r="F910" s="20"/>
    </row>
    <row r="911" spans="3:6" x14ac:dyDescent="0.25">
      <c r="C911"/>
      <c r="D911"/>
      <c r="F911" s="20"/>
    </row>
    <row r="912" spans="3:6" x14ac:dyDescent="0.25">
      <c r="C912"/>
      <c r="D912"/>
      <c r="F912" s="20"/>
    </row>
    <row r="913" spans="3:6" x14ac:dyDescent="0.25">
      <c r="C913"/>
      <c r="D913"/>
      <c r="F913" s="20"/>
    </row>
    <row r="914" spans="3:6" x14ac:dyDescent="0.25">
      <c r="C914"/>
      <c r="D914"/>
      <c r="F914" s="20"/>
    </row>
    <row r="915" spans="3:6" x14ac:dyDescent="0.25">
      <c r="C915"/>
      <c r="D915"/>
      <c r="F915" s="20"/>
    </row>
    <row r="916" spans="3:6" x14ac:dyDescent="0.25">
      <c r="C916"/>
      <c r="D916"/>
      <c r="F916" s="20"/>
    </row>
    <row r="917" spans="3:6" x14ac:dyDescent="0.25">
      <c r="C917"/>
      <c r="D917"/>
      <c r="F917" s="20"/>
    </row>
    <row r="918" spans="3:6" x14ac:dyDescent="0.25">
      <c r="C918"/>
      <c r="D918"/>
      <c r="F918" s="20"/>
    </row>
    <row r="919" spans="3:6" x14ac:dyDescent="0.25">
      <c r="C919"/>
      <c r="D919"/>
      <c r="F919" s="20"/>
    </row>
    <row r="920" spans="3:6" x14ac:dyDescent="0.25">
      <c r="C920"/>
      <c r="D920"/>
      <c r="F920" s="20"/>
    </row>
    <row r="921" spans="3:6" x14ac:dyDescent="0.25">
      <c r="C921"/>
      <c r="D921"/>
      <c r="F921" s="20"/>
    </row>
    <row r="922" spans="3:6" x14ac:dyDescent="0.25">
      <c r="C922"/>
      <c r="D922"/>
      <c r="F922" s="20"/>
    </row>
    <row r="923" spans="3:6" x14ac:dyDescent="0.25">
      <c r="C923"/>
      <c r="D923"/>
      <c r="F923" s="20"/>
    </row>
    <row r="924" spans="3:6" x14ac:dyDescent="0.25">
      <c r="C924"/>
      <c r="D924"/>
      <c r="F924" s="20"/>
    </row>
    <row r="925" spans="3:6" x14ac:dyDescent="0.25">
      <c r="C925"/>
      <c r="D925"/>
      <c r="F925" s="20"/>
    </row>
    <row r="926" spans="3:6" x14ac:dyDescent="0.25">
      <c r="C926"/>
      <c r="D926"/>
      <c r="F926" s="20"/>
    </row>
    <row r="927" spans="3:6" x14ac:dyDescent="0.25">
      <c r="C927"/>
      <c r="D927"/>
      <c r="F927" s="20"/>
    </row>
    <row r="928" spans="3:6" x14ac:dyDescent="0.25">
      <c r="C928"/>
      <c r="D928"/>
      <c r="F928" s="20"/>
    </row>
    <row r="929" spans="3:6" x14ac:dyDescent="0.25">
      <c r="C929"/>
      <c r="D929"/>
      <c r="F929" s="20"/>
    </row>
    <row r="930" spans="3:6" x14ac:dyDescent="0.25">
      <c r="C930"/>
      <c r="D930"/>
      <c r="F930" s="20"/>
    </row>
    <row r="931" spans="3:6" x14ac:dyDescent="0.25">
      <c r="C931"/>
      <c r="D931"/>
      <c r="F931" s="20"/>
    </row>
    <row r="932" spans="3:6" x14ac:dyDescent="0.25">
      <c r="C932"/>
      <c r="D932"/>
      <c r="F932" s="20"/>
    </row>
    <row r="933" spans="3:6" x14ac:dyDescent="0.25">
      <c r="C933"/>
      <c r="D933"/>
      <c r="F933" s="20"/>
    </row>
    <row r="934" spans="3:6" x14ac:dyDescent="0.25">
      <c r="C934"/>
      <c r="D934"/>
      <c r="F934" s="20"/>
    </row>
    <row r="935" spans="3:6" x14ac:dyDescent="0.25">
      <c r="C935"/>
      <c r="D935"/>
      <c r="F935" s="20"/>
    </row>
    <row r="936" spans="3:6" x14ac:dyDescent="0.25">
      <c r="C936"/>
      <c r="D936"/>
      <c r="F936" s="20"/>
    </row>
    <row r="937" spans="3:6" x14ac:dyDescent="0.25">
      <c r="C937"/>
      <c r="D937"/>
      <c r="F937" s="20"/>
    </row>
    <row r="938" spans="3:6" x14ac:dyDescent="0.25">
      <c r="C938"/>
      <c r="D938"/>
      <c r="F938" s="20"/>
    </row>
    <row r="939" spans="3:6" x14ac:dyDescent="0.25">
      <c r="C939"/>
      <c r="D939"/>
      <c r="F939" s="20"/>
    </row>
    <row r="940" spans="3:6" x14ac:dyDescent="0.25">
      <c r="C940"/>
      <c r="D940"/>
      <c r="F940" s="20"/>
    </row>
    <row r="941" spans="3:6" x14ac:dyDescent="0.25">
      <c r="C941"/>
      <c r="D941"/>
      <c r="F941" s="20"/>
    </row>
    <row r="942" spans="3:6" x14ac:dyDescent="0.25">
      <c r="C942"/>
      <c r="D942"/>
      <c r="F942" s="20"/>
    </row>
    <row r="943" spans="3:6" x14ac:dyDescent="0.25">
      <c r="C943"/>
      <c r="D943"/>
      <c r="F943" s="20"/>
    </row>
    <row r="944" spans="3:6" x14ac:dyDescent="0.25">
      <c r="C944"/>
      <c r="D944"/>
      <c r="F944" s="20"/>
    </row>
    <row r="945" spans="3:6" x14ac:dyDescent="0.25">
      <c r="C945"/>
      <c r="D945"/>
      <c r="F945" s="20"/>
    </row>
    <row r="946" spans="3:6" x14ac:dyDescent="0.25">
      <c r="C946"/>
      <c r="D946"/>
      <c r="F946" s="20"/>
    </row>
    <row r="947" spans="3:6" x14ac:dyDescent="0.25">
      <c r="C947"/>
      <c r="D947"/>
      <c r="F947" s="20"/>
    </row>
    <row r="948" spans="3:6" x14ac:dyDescent="0.25">
      <c r="C948"/>
      <c r="D948"/>
      <c r="F948" s="20"/>
    </row>
    <row r="949" spans="3:6" x14ac:dyDescent="0.25">
      <c r="C949"/>
      <c r="D949"/>
      <c r="F949" s="20"/>
    </row>
    <row r="950" spans="3:6" x14ac:dyDescent="0.25">
      <c r="C950"/>
      <c r="D950"/>
      <c r="F950" s="20"/>
    </row>
    <row r="951" spans="3:6" x14ac:dyDescent="0.25">
      <c r="C951"/>
      <c r="D951"/>
      <c r="F951" s="20"/>
    </row>
    <row r="952" spans="3:6" x14ac:dyDescent="0.25">
      <c r="C952"/>
      <c r="D952"/>
      <c r="F952" s="20"/>
    </row>
    <row r="953" spans="3:6" x14ac:dyDescent="0.25">
      <c r="C953"/>
      <c r="D953"/>
      <c r="F953" s="20"/>
    </row>
    <row r="954" spans="3:6" x14ac:dyDescent="0.25">
      <c r="C954"/>
      <c r="D954"/>
      <c r="F954" s="20"/>
    </row>
    <row r="955" spans="3:6" x14ac:dyDescent="0.25">
      <c r="C955"/>
      <c r="D955"/>
      <c r="F955" s="20"/>
    </row>
    <row r="956" spans="3:6" x14ac:dyDescent="0.25">
      <c r="C956"/>
      <c r="D956"/>
      <c r="F956" s="20"/>
    </row>
    <row r="957" spans="3:6" x14ac:dyDescent="0.25">
      <c r="C957"/>
      <c r="D957"/>
      <c r="F957" s="20"/>
    </row>
    <row r="958" spans="3:6" x14ac:dyDescent="0.25">
      <c r="C958"/>
      <c r="D958"/>
      <c r="F958" s="20"/>
    </row>
    <row r="959" spans="3:6" x14ac:dyDescent="0.25">
      <c r="C959"/>
      <c r="D959"/>
      <c r="F959" s="20"/>
    </row>
    <row r="960" spans="3:6" x14ac:dyDescent="0.25">
      <c r="C960"/>
      <c r="D960"/>
      <c r="F960" s="20"/>
    </row>
    <row r="961" spans="3:6" x14ac:dyDescent="0.25">
      <c r="C961"/>
      <c r="D961"/>
      <c r="F961" s="20"/>
    </row>
    <row r="962" spans="3:6" x14ac:dyDescent="0.25">
      <c r="C962"/>
      <c r="D962"/>
      <c r="F962" s="20"/>
    </row>
    <row r="963" spans="3:6" x14ac:dyDescent="0.25">
      <c r="C963"/>
      <c r="D963"/>
      <c r="F963" s="20"/>
    </row>
    <row r="964" spans="3:6" x14ac:dyDescent="0.25">
      <c r="C964"/>
      <c r="D964"/>
      <c r="F964" s="20"/>
    </row>
    <row r="965" spans="3:6" x14ac:dyDescent="0.25">
      <c r="C965"/>
      <c r="D965"/>
      <c r="F965" s="20"/>
    </row>
    <row r="966" spans="3:6" x14ac:dyDescent="0.25">
      <c r="C966"/>
      <c r="D966"/>
      <c r="F966" s="20"/>
    </row>
    <row r="967" spans="3:6" x14ac:dyDescent="0.25">
      <c r="C967"/>
      <c r="D967"/>
      <c r="F967" s="20"/>
    </row>
    <row r="968" spans="3:6" x14ac:dyDescent="0.25">
      <c r="C968"/>
      <c r="D968"/>
      <c r="F968" s="20"/>
    </row>
    <row r="969" spans="3:6" x14ac:dyDescent="0.25">
      <c r="C969"/>
      <c r="D969"/>
      <c r="F969" s="20"/>
    </row>
    <row r="970" spans="3:6" x14ac:dyDescent="0.25">
      <c r="C970"/>
      <c r="D970"/>
      <c r="F970" s="20"/>
    </row>
    <row r="971" spans="3:6" x14ac:dyDescent="0.25">
      <c r="C971"/>
      <c r="D971"/>
      <c r="F971" s="20"/>
    </row>
    <row r="972" spans="3:6" x14ac:dyDescent="0.25">
      <c r="C972"/>
      <c r="D972"/>
      <c r="F972" s="20"/>
    </row>
    <row r="973" spans="3:6" x14ac:dyDescent="0.25">
      <c r="C973"/>
      <c r="D973"/>
      <c r="F973" s="20"/>
    </row>
    <row r="974" spans="3:6" x14ac:dyDescent="0.25">
      <c r="C974"/>
      <c r="D974"/>
      <c r="F974" s="20"/>
    </row>
    <row r="975" spans="3:6" x14ac:dyDescent="0.25">
      <c r="C975"/>
      <c r="D975"/>
      <c r="F975" s="20"/>
    </row>
    <row r="976" spans="3:6" x14ac:dyDescent="0.25">
      <c r="C976"/>
      <c r="D976"/>
      <c r="F976" s="20"/>
    </row>
    <row r="977" spans="3:6" x14ac:dyDescent="0.25">
      <c r="C977"/>
      <c r="D977"/>
      <c r="F977" s="20"/>
    </row>
    <row r="978" spans="3:6" x14ac:dyDescent="0.25">
      <c r="C978"/>
      <c r="D978"/>
      <c r="F978" s="20"/>
    </row>
    <row r="979" spans="3:6" x14ac:dyDescent="0.25">
      <c r="C979"/>
      <c r="D979"/>
      <c r="F979" s="20"/>
    </row>
    <row r="980" spans="3:6" x14ac:dyDescent="0.25">
      <c r="C980"/>
      <c r="D980"/>
      <c r="F980" s="20"/>
    </row>
    <row r="981" spans="3:6" x14ac:dyDescent="0.25">
      <c r="C981"/>
      <c r="D981"/>
      <c r="F981" s="20"/>
    </row>
    <row r="982" spans="3:6" x14ac:dyDescent="0.25">
      <c r="C982"/>
      <c r="D982"/>
      <c r="F982" s="20"/>
    </row>
    <row r="983" spans="3:6" x14ac:dyDescent="0.25">
      <c r="C983"/>
      <c r="D983"/>
      <c r="F983" s="20"/>
    </row>
    <row r="984" spans="3:6" x14ac:dyDescent="0.25">
      <c r="C984"/>
      <c r="D984"/>
      <c r="F984" s="20"/>
    </row>
    <row r="985" spans="3:6" x14ac:dyDescent="0.25">
      <c r="C985"/>
      <c r="D985"/>
      <c r="F985" s="20"/>
    </row>
    <row r="986" spans="3:6" x14ac:dyDescent="0.25">
      <c r="C986"/>
      <c r="D986"/>
      <c r="F986" s="20"/>
    </row>
    <row r="987" spans="3:6" x14ac:dyDescent="0.25">
      <c r="C987"/>
      <c r="D987"/>
      <c r="F987" s="20"/>
    </row>
    <row r="988" spans="3:6" x14ac:dyDescent="0.25">
      <c r="C988"/>
      <c r="D988"/>
      <c r="F988" s="20"/>
    </row>
    <row r="989" spans="3:6" x14ac:dyDescent="0.25">
      <c r="C989"/>
      <c r="D989"/>
      <c r="F989" s="20"/>
    </row>
    <row r="990" spans="3:6" x14ac:dyDescent="0.25">
      <c r="C990"/>
      <c r="D990"/>
      <c r="F990" s="20"/>
    </row>
    <row r="991" spans="3:6" x14ac:dyDescent="0.25">
      <c r="C991"/>
      <c r="D991"/>
      <c r="F991" s="20"/>
    </row>
    <row r="992" spans="3:6" x14ac:dyDescent="0.25">
      <c r="C992"/>
      <c r="D992"/>
      <c r="F992" s="20"/>
    </row>
    <row r="993" spans="3:6" x14ac:dyDescent="0.25">
      <c r="C993"/>
      <c r="D993"/>
      <c r="F993" s="20"/>
    </row>
    <row r="994" spans="3:6" x14ac:dyDescent="0.25">
      <c r="C994"/>
      <c r="D994"/>
      <c r="F994" s="20"/>
    </row>
    <row r="995" spans="3:6" x14ac:dyDescent="0.25">
      <c r="C995"/>
      <c r="D995"/>
      <c r="F995" s="20"/>
    </row>
    <row r="996" spans="3:6" x14ac:dyDescent="0.25">
      <c r="C996"/>
      <c r="D996"/>
      <c r="F996" s="20"/>
    </row>
    <row r="997" spans="3:6" x14ac:dyDescent="0.25">
      <c r="C997"/>
      <c r="D997"/>
      <c r="F997" s="20"/>
    </row>
    <row r="998" spans="3:6" x14ac:dyDescent="0.25">
      <c r="C998"/>
      <c r="D998"/>
      <c r="F998" s="20"/>
    </row>
    <row r="999" spans="3:6" x14ac:dyDescent="0.25">
      <c r="C999"/>
      <c r="D999"/>
      <c r="F999" s="20"/>
    </row>
    <row r="1000" spans="3:6" x14ac:dyDescent="0.25">
      <c r="C1000"/>
      <c r="D1000"/>
      <c r="F1000" s="20"/>
    </row>
    <row r="1001" spans="3:6" x14ac:dyDescent="0.25">
      <c r="C1001"/>
      <c r="D1001"/>
      <c r="F1001" s="20"/>
    </row>
    <row r="1002" spans="3:6" x14ac:dyDescent="0.25">
      <c r="C1002"/>
      <c r="D1002"/>
      <c r="F1002" s="20"/>
    </row>
    <row r="1003" spans="3:6" x14ac:dyDescent="0.25">
      <c r="C1003"/>
      <c r="D1003"/>
      <c r="F1003" s="20"/>
    </row>
    <row r="1004" spans="3:6" x14ac:dyDescent="0.25">
      <c r="C1004"/>
      <c r="D1004"/>
      <c r="F1004" s="20"/>
    </row>
    <row r="1005" spans="3:6" x14ac:dyDescent="0.25">
      <c r="C1005"/>
      <c r="D1005"/>
      <c r="F1005" s="20"/>
    </row>
    <row r="1006" spans="3:6" x14ac:dyDescent="0.25">
      <c r="C1006"/>
      <c r="D1006"/>
      <c r="F1006" s="20"/>
    </row>
    <row r="1007" spans="3:6" x14ac:dyDescent="0.25">
      <c r="C1007"/>
      <c r="D1007"/>
      <c r="F1007" s="20"/>
    </row>
    <row r="1008" spans="3:6" x14ac:dyDescent="0.25">
      <c r="C1008"/>
      <c r="D1008"/>
      <c r="F1008" s="20"/>
    </row>
    <row r="1009" spans="3:6" x14ac:dyDescent="0.25">
      <c r="C1009"/>
      <c r="D1009"/>
      <c r="F1009" s="20"/>
    </row>
    <row r="1010" spans="3:6" x14ac:dyDescent="0.25">
      <c r="C1010"/>
      <c r="D1010"/>
      <c r="F1010" s="20"/>
    </row>
    <row r="1011" spans="3:6" x14ac:dyDescent="0.25">
      <c r="C1011"/>
      <c r="D1011"/>
      <c r="F1011" s="20"/>
    </row>
    <row r="1012" spans="3:6" x14ac:dyDescent="0.25">
      <c r="C1012"/>
      <c r="D1012"/>
      <c r="F1012" s="20"/>
    </row>
    <row r="1013" spans="3:6" x14ac:dyDescent="0.25">
      <c r="C1013"/>
      <c r="D1013"/>
      <c r="F1013" s="20"/>
    </row>
    <row r="1014" spans="3:6" x14ac:dyDescent="0.25">
      <c r="C1014"/>
      <c r="D1014"/>
      <c r="F1014" s="20"/>
    </row>
    <row r="1015" spans="3:6" x14ac:dyDescent="0.25">
      <c r="C1015"/>
      <c r="D1015"/>
      <c r="F1015" s="20"/>
    </row>
    <row r="1016" spans="3:6" x14ac:dyDescent="0.25">
      <c r="C1016"/>
      <c r="D1016"/>
      <c r="F1016" s="20"/>
    </row>
    <row r="1017" spans="3:6" x14ac:dyDescent="0.25">
      <c r="C1017"/>
      <c r="D1017"/>
      <c r="F1017" s="20"/>
    </row>
    <row r="1018" spans="3:6" x14ac:dyDescent="0.25">
      <c r="C1018"/>
      <c r="D1018"/>
      <c r="F1018" s="20"/>
    </row>
    <row r="1019" spans="3:6" x14ac:dyDescent="0.25">
      <c r="C1019"/>
      <c r="D1019"/>
      <c r="F1019" s="20"/>
    </row>
    <row r="1020" spans="3:6" x14ac:dyDescent="0.25">
      <c r="C1020"/>
      <c r="D1020"/>
      <c r="F1020" s="20"/>
    </row>
    <row r="1021" spans="3:6" x14ac:dyDescent="0.25">
      <c r="C1021"/>
      <c r="D1021"/>
      <c r="F1021" s="20"/>
    </row>
    <row r="1022" spans="3:6" x14ac:dyDescent="0.25">
      <c r="C1022"/>
      <c r="D1022"/>
      <c r="F1022" s="20"/>
    </row>
    <row r="1023" spans="3:6" x14ac:dyDescent="0.25">
      <c r="C1023"/>
      <c r="D1023"/>
      <c r="F1023" s="20"/>
    </row>
    <row r="1024" spans="3:6" x14ac:dyDescent="0.25">
      <c r="C1024"/>
      <c r="D1024"/>
      <c r="F1024" s="20"/>
    </row>
    <row r="1025" spans="3:6" x14ac:dyDescent="0.25">
      <c r="C1025"/>
      <c r="D1025"/>
      <c r="F1025" s="20"/>
    </row>
    <row r="1026" spans="3:6" x14ac:dyDescent="0.25">
      <c r="C1026"/>
      <c r="D1026"/>
      <c r="F1026" s="20"/>
    </row>
    <row r="1027" spans="3:6" x14ac:dyDescent="0.25">
      <c r="C1027"/>
      <c r="D1027"/>
      <c r="F1027" s="20"/>
    </row>
    <row r="1028" spans="3:6" x14ac:dyDescent="0.25">
      <c r="C1028"/>
      <c r="D1028"/>
      <c r="F1028" s="20"/>
    </row>
    <row r="1029" spans="3:6" x14ac:dyDescent="0.25">
      <c r="C1029"/>
      <c r="D1029"/>
      <c r="F1029" s="20"/>
    </row>
    <row r="1030" spans="3:6" x14ac:dyDescent="0.25">
      <c r="C1030"/>
      <c r="D1030"/>
      <c r="F1030" s="20"/>
    </row>
    <row r="1031" spans="3:6" x14ac:dyDescent="0.25">
      <c r="C1031"/>
      <c r="D1031"/>
      <c r="F1031" s="20"/>
    </row>
    <row r="1032" spans="3:6" x14ac:dyDescent="0.25">
      <c r="C1032"/>
      <c r="D1032"/>
      <c r="F1032" s="20"/>
    </row>
    <row r="1033" spans="3:6" x14ac:dyDescent="0.25">
      <c r="C1033"/>
      <c r="D1033"/>
      <c r="F1033" s="20"/>
    </row>
    <row r="1034" spans="3:6" x14ac:dyDescent="0.25">
      <c r="C1034"/>
      <c r="D1034"/>
      <c r="F1034" s="20"/>
    </row>
    <row r="1035" spans="3:6" x14ac:dyDescent="0.25">
      <c r="C1035"/>
      <c r="D1035"/>
      <c r="F1035" s="20"/>
    </row>
    <row r="1036" spans="3:6" x14ac:dyDescent="0.25">
      <c r="C1036"/>
      <c r="D1036"/>
      <c r="F1036" s="20"/>
    </row>
    <row r="1037" spans="3:6" x14ac:dyDescent="0.25">
      <c r="C1037"/>
      <c r="D1037"/>
      <c r="F1037" s="20"/>
    </row>
    <row r="1038" spans="3:6" x14ac:dyDescent="0.25">
      <c r="C1038"/>
      <c r="D1038"/>
      <c r="F1038" s="20"/>
    </row>
    <row r="1039" spans="3:6" x14ac:dyDescent="0.25">
      <c r="C1039"/>
      <c r="D1039"/>
      <c r="F1039" s="20"/>
    </row>
    <row r="1040" spans="3:6" x14ac:dyDescent="0.25">
      <c r="C1040"/>
      <c r="D1040"/>
      <c r="F1040" s="20"/>
    </row>
    <row r="1041" spans="3:6" x14ac:dyDescent="0.25">
      <c r="C1041"/>
      <c r="D1041"/>
      <c r="F1041" s="20"/>
    </row>
    <row r="1042" spans="3:6" x14ac:dyDescent="0.25">
      <c r="C1042"/>
      <c r="D1042"/>
      <c r="F1042" s="20"/>
    </row>
    <row r="1043" spans="3:6" x14ac:dyDescent="0.25">
      <c r="C1043"/>
      <c r="D1043"/>
      <c r="F1043" s="20"/>
    </row>
    <row r="1044" spans="3:6" x14ac:dyDescent="0.25">
      <c r="C1044"/>
      <c r="D1044"/>
      <c r="F1044" s="20"/>
    </row>
    <row r="1045" spans="3:6" x14ac:dyDescent="0.25">
      <c r="C1045"/>
      <c r="D1045"/>
      <c r="F1045" s="20"/>
    </row>
    <row r="1046" spans="3:6" x14ac:dyDescent="0.25">
      <c r="C1046"/>
      <c r="D1046"/>
      <c r="F1046" s="20"/>
    </row>
    <row r="1047" spans="3:6" x14ac:dyDescent="0.25">
      <c r="C1047"/>
      <c r="D1047"/>
      <c r="F1047" s="20"/>
    </row>
    <row r="1048" spans="3:6" x14ac:dyDescent="0.25">
      <c r="C1048"/>
      <c r="D1048"/>
      <c r="F1048" s="20"/>
    </row>
    <row r="1049" spans="3:6" x14ac:dyDescent="0.25">
      <c r="C1049"/>
      <c r="D1049"/>
      <c r="F1049" s="20"/>
    </row>
    <row r="1050" spans="3:6" x14ac:dyDescent="0.25">
      <c r="C1050"/>
      <c r="D1050"/>
      <c r="F1050" s="20"/>
    </row>
    <row r="1051" spans="3:6" x14ac:dyDescent="0.25">
      <c r="C1051"/>
      <c r="D1051"/>
      <c r="F1051" s="20"/>
    </row>
    <row r="1052" spans="3:6" x14ac:dyDescent="0.25">
      <c r="C1052"/>
      <c r="D1052"/>
      <c r="F1052" s="20"/>
    </row>
    <row r="1053" spans="3:6" x14ac:dyDescent="0.25">
      <c r="C1053"/>
      <c r="D1053"/>
      <c r="F1053" s="20"/>
    </row>
    <row r="1054" spans="3:6" x14ac:dyDescent="0.25">
      <c r="C1054"/>
      <c r="D1054"/>
      <c r="F1054" s="20"/>
    </row>
    <row r="1055" spans="3:6" x14ac:dyDescent="0.25">
      <c r="C1055"/>
      <c r="D1055"/>
      <c r="F1055" s="20"/>
    </row>
    <row r="1056" spans="3:6" x14ac:dyDescent="0.25">
      <c r="C1056"/>
      <c r="D1056"/>
      <c r="F1056" s="20"/>
    </row>
    <row r="1057" spans="3:6" x14ac:dyDescent="0.25">
      <c r="C1057"/>
      <c r="D1057"/>
      <c r="F1057" s="20"/>
    </row>
    <row r="1058" spans="3:6" x14ac:dyDescent="0.25">
      <c r="C1058"/>
      <c r="D1058"/>
      <c r="F1058" s="20"/>
    </row>
    <row r="1059" spans="3:6" x14ac:dyDescent="0.25">
      <c r="C1059"/>
      <c r="D1059"/>
      <c r="F1059" s="20"/>
    </row>
    <row r="1060" spans="3:6" x14ac:dyDescent="0.25">
      <c r="C1060"/>
      <c r="D1060"/>
      <c r="F1060" s="20"/>
    </row>
    <row r="1061" spans="3:6" x14ac:dyDescent="0.25">
      <c r="C1061"/>
      <c r="D1061"/>
      <c r="F1061" s="20"/>
    </row>
    <row r="1062" spans="3:6" x14ac:dyDescent="0.25">
      <c r="C1062"/>
      <c r="D1062"/>
      <c r="F1062" s="20"/>
    </row>
    <row r="1063" spans="3:6" x14ac:dyDescent="0.25">
      <c r="C1063"/>
      <c r="D1063"/>
      <c r="F1063" s="20"/>
    </row>
    <row r="1064" spans="3:6" x14ac:dyDescent="0.25">
      <c r="C1064"/>
      <c r="D1064"/>
      <c r="F1064" s="20"/>
    </row>
    <row r="1065" spans="3:6" x14ac:dyDescent="0.25">
      <c r="C1065"/>
      <c r="D1065"/>
      <c r="F1065" s="20"/>
    </row>
    <row r="1066" spans="3:6" x14ac:dyDescent="0.25">
      <c r="C1066"/>
      <c r="D1066"/>
      <c r="F1066" s="20"/>
    </row>
    <row r="1067" spans="3:6" x14ac:dyDescent="0.25">
      <c r="C1067"/>
      <c r="D1067"/>
      <c r="F1067" s="20"/>
    </row>
    <row r="1068" spans="3:6" x14ac:dyDescent="0.25">
      <c r="C1068"/>
      <c r="D1068"/>
      <c r="F1068" s="20"/>
    </row>
    <row r="1069" spans="3:6" x14ac:dyDescent="0.25">
      <c r="C1069"/>
      <c r="D1069"/>
      <c r="F1069" s="20"/>
    </row>
    <row r="1070" spans="3:6" x14ac:dyDescent="0.25">
      <c r="C1070"/>
      <c r="D1070"/>
      <c r="F1070" s="20"/>
    </row>
    <row r="1071" spans="3:6" x14ac:dyDescent="0.25">
      <c r="C1071"/>
      <c r="D1071"/>
      <c r="F1071" s="20"/>
    </row>
    <row r="1072" spans="3:6" x14ac:dyDescent="0.25">
      <c r="C1072"/>
      <c r="D1072"/>
      <c r="F1072" s="20"/>
    </row>
    <row r="1073" spans="3:6" x14ac:dyDescent="0.25">
      <c r="C1073"/>
      <c r="D1073"/>
      <c r="F1073" s="20"/>
    </row>
    <row r="1074" spans="3:6" x14ac:dyDescent="0.25">
      <c r="C1074"/>
      <c r="D1074"/>
      <c r="F1074" s="20"/>
    </row>
    <row r="1075" spans="3:6" x14ac:dyDescent="0.25">
      <c r="C1075"/>
      <c r="D1075"/>
      <c r="F1075" s="20"/>
    </row>
    <row r="1076" spans="3:6" x14ac:dyDescent="0.25">
      <c r="C1076"/>
      <c r="D1076"/>
      <c r="F1076" s="20"/>
    </row>
    <row r="1077" spans="3:6" x14ac:dyDescent="0.25">
      <c r="C1077"/>
      <c r="D1077"/>
      <c r="F1077" s="20"/>
    </row>
    <row r="1078" spans="3:6" x14ac:dyDescent="0.25">
      <c r="C1078"/>
      <c r="D1078"/>
      <c r="F1078" s="20"/>
    </row>
    <row r="1079" spans="3:6" x14ac:dyDescent="0.25">
      <c r="C1079"/>
      <c r="D1079"/>
      <c r="F1079" s="20"/>
    </row>
    <row r="1080" spans="3:6" x14ac:dyDescent="0.25">
      <c r="C1080"/>
      <c r="D1080"/>
      <c r="F1080" s="20"/>
    </row>
    <row r="1081" spans="3:6" x14ac:dyDescent="0.25">
      <c r="C1081"/>
      <c r="D1081"/>
      <c r="F1081" s="20"/>
    </row>
    <row r="1082" spans="3:6" x14ac:dyDescent="0.25">
      <c r="C1082"/>
      <c r="D1082"/>
      <c r="F1082" s="20"/>
    </row>
    <row r="1083" spans="3:6" x14ac:dyDescent="0.25">
      <c r="C1083"/>
      <c r="D1083"/>
      <c r="F1083" s="20"/>
    </row>
    <row r="1084" spans="3:6" x14ac:dyDescent="0.25">
      <c r="C1084"/>
      <c r="D1084"/>
      <c r="F1084" s="20"/>
    </row>
    <row r="1085" spans="3:6" x14ac:dyDescent="0.25">
      <c r="C1085"/>
      <c r="D1085"/>
      <c r="F1085" s="20"/>
    </row>
    <row r="1086" spans="3:6" x14ac:dyDescent="0.25">
      <c r="C1086"/>
      <c r="D1086"/>
      <c r="F1086" s="20"/>
    </row>
    <row r="1087" spans="3:6" x14ac:dyDescent="0.25">
      <c r="C1087"/>
      <c r="D1087"/>
      <c r="F1087" s="20"/>
    </row>
    <row r="1088" spans="3:6" x14ac:dyDescent="0.25">
      <c r="C1088"/>
      <c r="D1088"/>
      <c r="F1088" s="20"/>
    </row>
    <row r="1089" spans="3:6" x14ac:dyDescent="0.25">
      <c r="C1089"/>
      <c r="D1089"/>
      <c r="F1089" s="20"/>
    </row>
    <row r="1090" spans="3:6" x14ac:dyDescent="0.25">
      <c r="C1090"/>
      <c r="D1090"/>
      <c r="F1090" s="20"/>
    </row>
    <row r="1091" spans="3:6" x14ac:dyDescent="0.25">
      <c r="C1091"/>
      <c r="D1091"/>
      <c r="F1091" s="20"/>
    </row>
    <row r="1092" spans="3:6" x14ac:dyDescent="0.25">
      <c r="C1092"/>
      <c r="D1092"/>
      <c r="F1092" s="20"/>
    </row>
    <row r="1093" spans="3:6" x14ac:dyDescent="0.25">
      <c r="C1093"/>
      <c r="D1093"/>
      <c r="F1093" s="20"/>
    </row>
    <row r="1094" spans="3:6" x14ac:dyDescent="0.25">
      <c r="C1094"/>
      <c r="D1094"/>
      <c r="F1094" s="20"/>
    </row>
    <row r="1095" spans="3:6" x14ac:dyDescent="0.25">
      <c r="C1095"/>
      <c r="D1095"/>
      <c r="F1095" s="20"/>
    </row>
    <row r="1096" spans="3:6" x14ac:dyDescent="0.25">
      <c r="C1096"/>
      <c r="D1096"/>
      <c r="F1096" s="20"/>
    </row>
    <row r="1097" spans="3:6" x14ac:dyDescent="0.25">
      <c r="C1097"/>
      <c r="D1097"/>
      <c r="F1097" s="20"/>
    </row>
    <row r="1098" spans="3:6" x14ac:dyDescent="0.25">
      <c r="C1098"/>
      <c r="D1098"/>
      <c r="F1098" s="20"/>
    </row>
    <row r="1099" spans="3:6" x14ac:dyDescent="0.25">
      <c r="C1099"/>
      <c r="D1099"/>
      <c r="F1099" s="20"/>
    </row>
    <row r="1100" spans="3:6" x14ac:dyDescent="0.25">
      <c r="C1100"/>
      <c r="D1100"/>
      <c r="F1100" s="20"/>
    </row>
    <row r="1101" spans="3:6" x14ac:dyDescent="0.25">
      <c r="C1101"/>
      <c r="D1101"/>
      <c r="F1101" s="20"/>
    </row>
    <row r="1102" spans="3:6" x14ac:dyDescent="0.25">
      <c r="C1102"/>
      <c r="D1102"/>
      <c r="F1102" s="20"/>
    </row>
    <row r="1103" spans="3:6" x14ac:dyDescent="0.25">
      <c r="C1103"/>
      <c r="D1103"/>
      <c r="F1103" s="20"/>
    </row>
    <row r="1104" spans="3:6" x14ac:dyDescent="0.25">
      <c r="C1104"/>
      <c r="D1104"/>
      <c r="F1104" s="20"/>
    </row>
    <row r="1105" spans="3:6" x14ac:dyDescent="0.25">
      <c r="C1105"/>
      <c r="D1105"/>
      <c r="F1105" s="20"/>
    </row>
    <row r="1106" spans="3:6" x14ac:dyDescent="0.25">
      <c r="C1106"/>
      <c r="D1106"/>
      <c r="F1106" s="20"/>
    </row>
    <row r="1107" spans="3:6" x14ac:dyDescent="0.25">
      <c r="C1107"/>
      <c r="D1107"/>
      <c r="F1107" s="20"/>
    </row>
    <row r="1108" spans="3:6" x14ac:dyDescent="0.25">
      <c r="C1108"/>
      <c r="D1108"/>
      <c r="F1108" s="20"/>
    </row>
    <row r="1109" spans="3:6" x14ac:dyDescent="0.25">
      <c r="C1109"/>
      <c r="D1109"/>
      <c r="F1109" s="20"/>
    </row>
    <row r="1110" spans="3:6" x14ac:dyDescent="0.25">
      <c r="C1110"/>
      <c r="D1110"/>
      <c r="F1110" s="20"/>
    </row>
    <row r="1111" spans="3:6" x14ac:dyDescent="0.25">
      <c r="C1111"/>
      <c r="D1111"/>
      <c r="F1111" s="20"/>
    </row>
    <row r="1112" spans="3:6" x14ac:dyDescent="0.25">
      <c r="C1112"/>
      <c r="D1112"/>
      <c r="F1112" s="20"/>
    </row>
    <row r="1113" spans="3:6" x14ac:dyDescent="0.25">
      <c r="C1113"/>
      <c r="D1113"/>
      <c r="F1113" s="20"/>
    </row>
    <row r="1114" spans="3:6" x14ac:dyDescent="0.25">
      <c r="C1114"/>
      <c r="D1114"/>
      <c r="F1114" s="20"/>
    </row>
    <row r="1115" spans="3:6" x14ac:dyDescent="0.25">
      <c r="C1115"/>
      <c r="D1115"/>
      <c r="F1115" s="20"/>
    </row>
    <row r="1116" spans="3:6" x14ac:dyDescent="0.25">
      <c r="C1116"/>
      <c r="D1116"/>
      <c r="F1116" s="20"/>
    </row>
    <row r="1117" spans="3:6" x14ac:dyDescent="0.25">
      <c r="C1117"/>
      <c r="D1117"/>
      <c r="F1117" s="20"/>
    </row>
    <row r="1118" spans="3:6" x14ac:dyDescent="0.25">
      <c r="C1118"/>
      <c r="D1118"/>
      <c r="F1118" s="20"/>
    </row>
    <row r="1119" spans="3:6" x14ac:dyDescent="0.25">
      <c r="C1119"/>
      <c r="D1119"/>
      <c r="F1119" s="20"/>
    </row>
    <row r="1120" spans="3:6" x14ac:dyDescent="0.25">
      <c r="C1120"/>
      <c r="D1120"/>
      <c r="F1120" s="20"/>
    </row>
    <row r="1121" spans="3:6" x14ac:dyDescent="0.25">
      <c r="C1121"/>
      <c r="D1121"/>
      <c r="F1121" s="20"/>
    </row>
    <row r="1122" spans="3:6" x14ac:dyDescent="0.25">
      <c r="C1122"/>
      <c r="D1122"/>
      <c r="F1122" s="20"/>
    </row>
    <row r="1123" spans="3:6" x14ac:dyDescent="0.25">
      <c r="C1123"/>
      <c r="D1123"/>
      <c r="F1123" s="20"/>
    </row>
    <row r="1124" spans="3:6" x14ac:dyDescent="0.25">
      <c r="C1124"/>
      <c r="D1124"/>
      <c r="F1124" s="20"/>
    </row>
    <row r="1125" spans="3:6" x14ac:dyDescent="0.25">
      <c r="C1125"/>
      <c r="D1125"/>
      <c r="F1125" s="20"/>
    </row>
    <row r="1126" spans="3:6" x14ac:dyDescent="0.25">
      <c r="C1126"/>
      <c r="D1126"/>
      <c r="F1126" s="20"/>
    </row>
    <row r="1127" spans="3:6" x14ac:dyDescent="0.25">
      <c r="C1127"/>
      <c r="D1127"/>
      <c r="F1127" s="20"/>
    </row>
    <row r="1128" spans="3:6" x14ac:dyDescent="0.25">
      <c r="C1128"/>
      <c r="D1128"/>
      <c r="F1128" s="20"/>
    </row>
    <row r="1129" spans="3:6" x14ac:dyDescent="0.25">
      <c r="C1129"/>
      <c r="D1129"/>
      <c r="F1129" s="20"/>
    </row>
    <row r="1130" spans="3:6" x14ac:dyDescent="0.25">
      <c r="C1130"/>
      <c r="D1130"/>
      <c r="F1130" s="20"/>
    </row>
    <row r="1131" spans="3:6" x14ac:dyDescent="0.25">
      <c r="C1131"/>
      <c r="D1131"/>
      <c r="F1131" s="20"/>
    </row>
    <row r="1132" spans="3:6" x14ac:dyDescent="0.25">
      <c r="C1132"/>
      <c r="D1132"/>
      <c r="F1132" s="20"/>
    </row>
    <row r="1133" spans="3:6" x14ac:dyDescent="0.25">
      <c r="C1133"/>
      <c r="D1133"/>
      <c r="F1133" s="20"/>
    </row>
    <row r="1134" spans="3:6" x14ac:dyDescent="0.25">
      <c r="C1134"/>
      <c r="D1134"/>
      <c r="F1134" s="20"/>
    </row>
    <row r="1135" spans="3:6" x14ac:dyDescent="0.25">
      <c r="C1135"/>
      <c r="D1135"/>
      <c r="F1135" s="20"/>
    </row>
    <row r="1136" spans="3:6" x14ac:dyDescent="0.25">
      <c r="C1136"/>
      <c r="D1136"/>
      <c r="F1136" s="20"/>
    </row>
    <row r="1137" spans="3:6" x14ac:dyDescent="0.25">
      <c r="C1137"/>
      <c r="D1137"/>
      <c r="F1137" s="20"/>
    </row>
    <row r="1138" spans="3:6" x14ac:dyDescent="0.25">
      <c r="C1138"/>
      <c r="D1138"/>
      <c r="F1138" s="20"/>
    </row>
    <row r="1139" spans="3:6" x14ac:dyDescent="0.25">
      <c r="C1139"/>
      <c r="D1139"/>
      <c r="F1139" s="20"/>
    </row>
    <row r="1140" spans="3:6" x14ac:dyDescent="0.25">
      <c r="C1140"/>
      <c r="D1140"/>
      <c r="F1140" s="20"/>
    </row>
    <row r="1141" spans="3:6" x14ac:dyDescent="0.25">
      <c r="C1141"/>
      <c r="D1141"/>
      <c r="F1141" s="20"/>
    </row>
    <row r="1142" spans="3:6" x14ac:dyDescent="0.25">
      <c r="C1142"/>
      <c r="D1142"/>
      <c r="F1142" s="20"/>
    </row>
    <row r="1143" spans="3:6" x14ac:dyDescent="0.25">
      <c r="C1143"/>
      <c r="D1143"/>
      <c r="F1143" s="20"/>
    </row>
    <row r="1144" spans="3:6" x14ac:dyDescent="0.25">
      <c r="C1144"/>
      <c r="D1144"/>
      <c r="F1144" s="20"/>
    </row>
    <row r="1145" spans="3:6" x14ac:dyDescent="0.25">
      <c r="C1145"/>
      <c r="D1145"/>
      <c r="F1145" s="20"/>
    </row>
    <row r="1146" spans="3:6" x14ac:dyDescent="0.25">
      <c r="C1146"/>
      <c r="D1146"/>
      <c r="F1146" s="20"/>
    </row>
    <row r="1147" spans="3:6" x14ac:dyDescent="0.25">
      <c r="C1147"/>
      <c r="D1147"/>
      <c r="F1147" s="20"/>
    </row>
    <row r="1148" spans="3:6" x14ac:dyDescent="0.25">
      <c r="C1148"/>
      <c r="D1148"/>
      <c r="F1148" s="20"/>
    </row>
    <row r="1149" spans="3:6" x14ac:dyDescent="0.25">
      <c r="C1149"/>
      <c r="D1149"/>
      <c r="F1149" s="20"/>
    </row>
    <row r="1150" spans="3:6" x14ac:dyDescent="0.25">
      <c r="C1150"/>
      <c r="D1150"/>
      <c r="F1150" s="20"/>
    </row>
    <row r="1151" spans="3:6" x14ac:dyDescent="0.25">
      <c r="C1151"/>
      <c r="D1151"/>
      <c r="F1151" s="20"/>
    </row>
    <row r="1152" spans="3:6" x14ac:dyDescent="0.25">
      <c r="C1152"/>
      <c r="D1152"/>
      <c r="F1152" s="20"/>
    </row>
    <row r="1153" spans="3:6" x14ac:dyDescent="0.25">
      <c r="C1153"/>
      <c r="D1153"/>
      <c r="F1153" s="20"/>
    </row>
    <row r="1154" spans="3:6" x14ac:dyDescent="0.25">
      <c r="C1154"/>
      <c r="D1154"/>
      <c r="F1154" s="20"/>
    </row>
    <row r="1155" spans="3:6" x14ac:dyDescent="0.25">
      <c r="C1155"/>
      <c r="D1155"/>
      <c r="F1155" s="20"/>
    </row>
    <row r="1156" spans="3:6" x14ac:dyDescent="0.25">
      <c r="C1156"/>
      <c r="D1156"/>
      <c r="F1156" s="20"/>
    </row>
    <row r="1157" spans="3:6" x14ac:dyDescent="0.25">
      <c r="C1157"/>
      <c r="D1157"/>
      <c r="F1157" s="20"/>
    </row>
    <row r="1158" spans="3:6" x14ac:dyDescent="0.25">
      <c r="C1158"/>
      <c r="D1158"/>
      <c r="F1158" s="20"/>
    </row>
    <row r="1159" spans="3:6" x14ac:dyDescent="0.25">
      <c r="C1159"/>
      <c r="D1159"/>
      <c r="F1159" s="20"/>
    </row>
    <row r="1160" spans="3:6" x14ac:dyDescent="0.25">
      <c r="C1160"/>
      <c r="D1160"/>
      <c r="F1160" s="20"/>
    </row>
    <row r="1161" spans="3:6" x14ac:dyDescent="0.25">
      <c r="C1161"/>
      <c r="D1161"/>
      <c r="F1161" s="20"/>
    </row>
    <row r="1162" spans="3:6" x14ac:dyDescent="0.25">
      <c r="C1162"/>
      <c r="D1162"/>
      <c r="F1162" s="20"/>
    </row>
    <row r="1163" spans="3:6" x14ac:dyDescent="0.25">
      <c r="C1163"/>
      <c r="D1163"/>
      <c r="F1163" s="20"/>
    </row>
    <row r="1164" spans="3:6" x14ac:dyDescent="0.25">
      <c r="C1164"/>
      <c r="D1164"/>
      <c r="F1164" s="20"/>
    </row>
    <row r="1165" spans="3:6" x14ac:dyDescent="0.25">
      <c r="C1165"/>
      <c r="D1165"/>
      <c r="F1165" s="20"/>
    </row>
    <row r="1166" spans="3:6" x14ac:dyDescent="0.25">
      <c r="C1166"/>
      <c r="D1166"/>
      <c r="F1166" s="20"/>
    </row>
    <row r="1167" spans="3:6" x14ac:dyDescent="0.25">
      <c r="C1167"/>
      <c r="D1167"/>
      <c r="F1167" s="20"/>
    </row>
    <row r="1168" spans="3:6" x14ac:dyDescent="0.25">
      <c r="C1168"/>
      <c r="D1168"/>
      <c r="F1168" s="20"/>
    </row>
    <row r="1169" spans="3:6" x14ac:dyDescent="0.25">
      <c r="C1169"/>
      <c r="D1169"/>
      <c r="F1169" s="20"/>
    </row>
    <row r="1170" spans="3:6" x14ac:dyDescent="0.25">
      <c r="C1170"/>
      <c r="D1170"/>
      <c r="F1170" s="20"/>
    </row>
    <row r="1171" spans="3:6" x14ac:dyDescent="0.25">
      <c r="C1171"/>
      <c r="D1171"/>
      <c r="F1171" s="20"/>
    </row>
    <row r="1172" spans="3:6" x14ac:dyDescent="0.25">
      <c r="C1172"/>
      <c r="D1172"/>
      <c r="F1172" s="20"/>
    </row>
    <row r="1173" spans="3:6" x14ac:dyDescent="0.25">
      <c r="C1173"/>
      <c r="D1173"/>
      <c r="F1173" s="20"/>
    </row>
    <row r="1174" spans="3:6" x14ac:dyDescent="0.25">
      <c r="C1174"/>
      <c r="D1174"/>
      <c r="F1174" s="20"/>
    </row>
    <row r="1175" spans="3:6" x14ac:dyDescent="0.25">
      <c r="C1175"/>
      <c r="D1175"/>
      <c r="F1175" s="20"/>
    </row>
    <row r="1176" spans="3:6" x14ac:dyDescent="0.25">
      <c r="C1176"/>
      <c r="D1176"/>
      <c r="F1176" s="20"/>
    </row>
    <row r="1177" spans="3:6" x14ac:dyDescent="0.25">
      <c r="C1177"/>
      <c r="D1177"/>
      <c r="F1177" s="20"/>
    </row>
    <row r="1178" spans="3:6" x14ac:dyDescent="0.25">
      <c r="C1178"/>
      <c r="D1178"/>
      <c r="F1178" s="20"/>
    </row>
    <row r="1179" spans="3:6" x14ac:dyDescent="0.25">
      <c r="C1179"/>
      <c r="D1179"/>
      <c r="F1179" s="20"/>
    </row>
    <row r="1180" spans="3:6" x14ac:dyDescent="0.25">
      <c r="C1180"/>
      <c r="D1180"/>
      <c r="F1180" s="20"/>
    </row>
    <row r="1181" spans="3:6" x14ac:dyDescent="0.25">
      <c r="C1181"/>
      <c r="D1181"/>
      <c r="F1181" s="20"/>
    </row>
    <row r="1182" spans="3:6" x14ac:dyDescent="0.25">
      <c r="C1182"/>
      <c r="D1182"/>
      <c r="F1182" s="20"/>
    </row>
    <row r="1183" spans="3:6" x14ac:dyDescent="0.25">
      <c r="C1183"/>
      <c r="D1183"/>
      <c r="F1183" s="20"/>
    </row>
    <row r="1184" spans="3:6" x14ac:dyDescent="0.25">
      <c r="C1184"/>
      <c r="D1184"/>
      <c r="F1184" s="20"/>
    </row>
    <row r="1185" spans="3:6" x14ac:dyDescent="0.25">
      <c r="C1185"/>
      <c r="D1185"/>
      <c r="F1185" s="20"/>
    </row>
    <row r="1186" spans="3:6" x14ac:dyDescent="0.25">
      <c r="C1186"/>
      <c r="D1186"/>
      <c r="F1186" s="20"/>
    </row>
    <row r="1187" spans="3:6" x14ac:dyDescent="0.25">
      <c r="C1187"/>
      <c r="D1187"/>
      <c r="F1187" s="20"/>
    </row>
    <row r="1188" spans="3:6" x14ac:dyDescent="0.25">
      <c r="C1188"/>
      <c r="D1188"/>
      <c r="F1188" s="20"/>
    </row>
    <row r="1189" spans="3:6" x14ac:dyDescent="0.25">
      <c r="C1189"/>
      <c r="D1189"/>
      <c r="F1189" s="20"/>
    </row>
    <row r="1190" spans="3:6" x14ac:dyDescent="0.25">
      <c r="C1190"/>
      <c r="D1190"/>
      <c r="F1190" s="20"/>
    </row>
    <row r="1191" spans="3:6" x14ac:dyDescent="0.25">
      <c r="C1191"/>
      <c r="D1191"/>
      <c r="F1191" s="20"/>
    </row>
    <row r="1192" spans="3:6" x14ac:dyDescent="0.25">
      <c r="C1192"/>
      <c r="D1192"/>
      <c r="F1192" s="20"/>
    </row>
    <row r="1193" spans="3:6" x14ac:dyDescent="0.25">
      <c r="C1193"/>
      <c r="D1193"/>
      <c r="F1193" s="20"/>
    </row>
    <row r="1194" spans="3:6" x14ac:dyDescent="0.25">
      <c r="C1194"/>
      <c r="D1194"/>
      <c r="F1194" s="20"/>
    </row>
    <row r="1195" spans="3:6" x14ac:dyDescent="0.25">
      <c r="C1195"/>
      <c r="D1195"/>
      <c r="F1195" s="20"/>
    </row>
    <row r="1196" spans="3:6" x14ac:dyDescent="0.25">
      <c r="C1196"/>
      <c r="D1196"/>
      <c r="F1196" s="20"/>
    </row>
    <row r="1197" spans="3:6" x14ac:dyDescent="0.25">
      <c r="C1197"/>
      <c r="D1197"/>
      <c r="F1197" s="20"/>
    </row>
    <row r="1198" spans="3:6" x14ac:dyDescent="0.25">
      <c r="C1198"/>
      <c r="D1198"/>
      <c r="F1198" s="20"/>
    </row>
    <row r="1199" spans="3:6" x14ac:dyDescent="0.25">
      <c r="C1199"/>
      <c r="D1199"/>
      <c r="F1199" s="20"/>
    </row>
    <row r="1200" spans="3:6" x14ac:dyDescent="0.25">
      <c r="C1200"/>
      <c r="D1200"/>
      <c r="F1200" s="20"/>
    </row>
    <row r="1201" spans="3:6" x14ac:dyDescent="0.25">
      <c r="C1201"/>
      <c r="D1201"/>
      <c r="F1201" s="20"/>
    </row>
    <row r="1202" spans="3:6" x14ac:dyDescent="0.25">
      <c r="C1202"/>
      <c r="D1202"/>
      <c r="F1202" s="20"/>
    </row>
    <row r="1203" spans="3:6" x14ac:dyDescent="0.25">
      <c r="C1203"/>
      <c r="D1203"/>
      <c r="F1203" s="20"/>
    </row>
    <row r="1204" spans="3:6" x14ac:dyDescent="0.25">
      <c r="C1204"/>
      <c r="D1204"/>
      <c r="F1204" s="20"/>
    </row>
    <row r="1205" spans="3:6" x14ac:dyDescent="0.25">
      <c r="C1205"/>
      <c r="D1205"/>
      <c r="F1205" s="20"/>
    </row>
    <row r="1206" spans="3:6" x14ac:dyDescent="0.25">
      <c r="C1206"/>
      <c r="D1206"/>
      <c r="F1206" s="20"/>
    </row>
    <row r="1207" spans="3:6" x14ac:dyDescent="0.25">
      <c r="C1207"/>
      <c r="D1207"/>
      <c r="F1207" s="20"/>
    </row>
    <row r="1208" spans="3:6" x14ac:dyDescent="0.25">
      <c r="C1208"/>
      <c r="D1208"/>
      <c r="F1208" s="20"/>
    </row>
    <row r="1209" spans="3:6" x14ac:dyDescent="0.25">
      <c r="C1209"/>
      <c r="D1209"/>
      <c r="F1209" s="20"/>
    </row>
    <row r="1210" spans="3:6" x14ac:dyDescent="0.25">
      <c r="C1210"/>
      <c r="D1210"/>
      <c r="F1210" s="20"/>
    </row>
    <row r="1211" spans="3:6" x14ac:dyDescent="0.25">
      <c r="C1211"/>
      <c r="D1211"/>
      <c r="F1211" s="20"/>
    </row>
    <row r="1212" spans="3:6" x14ac:dyDescent="0.25">
      <c r="C1212"/>
      <c r="D1212"/>
      <c r="F1212" s="20"/>
    </row>
    <row r="1213" spans="3:6" x14ac:dyDescent="0.25">
      <c r="C1213"/>
      <c r="D1213"/>
      <c r="F1213" s="20"/>
    </row>
    <row r="1214" spans="3:6" x14ac:dyDescent="0.25">
      <c r="C1214"/>
      <c r="D1214"/>
      <c r="F1214" s="20"/>
    </row>
    <row r="1215" spans="3:6" x14ac:dyDescent="0.25">
      <c r="C1215"/>
      <c r="D1215"/>
      <c r="F1215" s="20"/>
    </row>
    <row r="1216" spans="3:6" x14ac:dyDescent="0.25">
      <c r="C1216"/>
      <c r="D1216"/>
      <c r="F1216" s="20"/>
    </row>
    <row r="1217" spans="3:6" x14ac:dyDescent="0.25">
      <c r="C1217"/>
      <c r="D1217"/>
      <c r="F1217" s="20"/>
    </row>
    <row r="1218" spans="3:6" x14ac:dyDescent="0.25">
      <c r="C1218"/>
      <c r="D1218"/>
      <c r="F1218" s="20"/>
    </row>
    <row r="1219" spans="3:6" x14ac:dyDescent="0.25">
      <c r="C1219"/>
      <c r="D1219"/>
      <c r="F1219" s="20"/>
    </row>
    <row r="1220" spans="3:6" x14ac:dyDescent="0.25">
      <c r="C1220"/>
      <c r="D1220"/>
      <c r="F1220" s="20"/>
    </row>
    <row r="1221" spans="3:6" x14ac:dyDescent="0.25">
      <c r="C1221"/>
      <c r="D1221"/>
      <c r="F1221" s="20"/>
    </row>
    <row r="1222" spans="3:6" x14ac:dyDescent="0.25">
      <c r="C1222"/>
      <c r="D1222"/>
      <c r="F1222" s="20"/>
    </row>
    <row r="1223" spans="3:6" x14ac:dyDescent="0.25">
      <c r="C1223"/>
      <c r="D1223"/>
      <c r="F1223" s="20"/>
    </row>
    <row r="1224" spans="3:6" x14ac:dyDescent="0.25">
      <c r="C1224"/>
      <c r="D1224"/>
      <c r="F1224" s="20"/>
    </row>
    <row r="1225" spans="3:6" x14ac:dyDescent="0.25">
      <c r="C1225"/>
      <c r="D1225"/>
      <c r="F1225" s="20"/>
    </row>
    <row r="1226" spans="3:6" x14ac:dyDescent="0.25">
      <c r="C1226"/>
      <c r="D1226"/>
      <c r="F1226" s="20"/>
    </row>
    <row r="1227" spans="3:6" x14ac:dyDescent="0.25">
      <c r="C1227"/>
      <c r="D1227"/>
      <c r="F1227" s="20"/>
    </row>
    <row r="1228" spans="3:6" x14ac:dyDescent="0.25">
      <c r="C1228"/>
      <c r="D1228"/>
      <c r="F1228" s="20"/>
    </row>
    <row r="1229" spans="3:6" x14ac:dyDescent="0.25">
      <c r="C1229"/>
      <c r="D1229"/>
      <c r="F1229" s="20"/>
    </row>
    <row r="1230" spans="3:6" x14ac:dyDescent="0.25">
      <c r="C1230"/>
      <c r="D1230"/>
      <c r="F1230" s="20"/>
    </row>
    <row r="1231" spans="3:6" x14ac:dyDescent="0.25">
      <c r="C1231"/>
      <c r="D1231"/>
      <c r="F1231" s="20"/>
    </row>
    <row r="1232" spans="3:6" x14ac:dyDescent="0.25">
      <c r="C1232"/>
      <c r="D1232"/>
      <c r="F1232" s="20"/>
    </row>
    <row r="1233" spans="3:6" x14ac:dyDescent="0.25">
      <c r="C1233"/>
      <c r="D1233"/>
      <c r="F1233" s="20"/>
    </row>
    <row r="1234" spans="3:6" x14ac:dyDescent="0.25">
      <c r="C1234"/>
      <c r="D1234"/>
      <c r="F1234" s="20"/>
    </row>
    <row r="1235" spans="3:6" x14ac:dyDescent="0.25">
      <c r="C1235"/>
      <c r="D1235"/>
      <c r="F1235" s="20"/>
    </row>
    <row r="1236" spans="3:6" x14ac:dyDescent="0.25">
      <c r="C1236"/>
      <c r="D1236"/>
      <c r="F1236" s="20"/>
    </row>
    <row r="1237" spans="3:6" x14ac:dyDescent="0.25">
      <c r="C1237"/>
      <c r="D1237"/>
      <c r="F1237" s="20"/>
    </row>
    <row r="1238" spans="3:6" x14ac:dyDescent="0.25">
      <c r="C1238"/>
      <c r="D1238"/>
      <c r="F1238" s="20"/>
    </row>
    <row r="1239" spans="3:6" x14ac:dyDescent="0.25">
      <c r="C1239"/>
      <c r="D1239"/>
      <c r="F1239" s="20"/>
    </row>
    <row r="1240" spans="3:6" x14ac:dyDescent="0.25">
      <c r="C1240"/>
      <c r="D1240"/>
      <c r="F1240" s="20"/>
    </row>
    <row r="1241" spans="3:6" x14ac:dyDescent="0.25">
      <c r="C1241"/>
      <c r="D1241"/>
      <c r="F1241" s="20"/>
    </row>
    <row r="1242" spans="3:6" x14ac:dyDescent="0.25">
      <c r="C1242"/>
      <c r="D1242"/>
      <c r="F1242" s="20"/>
    </row>
    <row r="1243" spans="3:6" x14ac:dyDescent="0.25">
      <c r="C1243"/>
      <c r="D1243"/>
      <c r="F1243" s="20"/>
    </row>
    <row r="1244" spans="3:6" x14ac:dyDescent="0.25">
      <c r="C1244"/>
      <c r="D1244"/>
      <c r="F1244" s="20"/>
    </row>
    <row r="1245" spans="3:6" x14ac:dyDescent="0.25">
      <c r="C1245"/>
      <c r="D1245"/>
      <c r="F1245" s="20"/>
    </row>
    <row r="1246" spans="3:6" x14ac:dyDescent="0.25">
      <c r="C1246"/>
      <c r="D1246"/>
      <c r="F1246" s="20"/>
    </row>
    <row r="1247" spans="3:6" x14ac:dyDescent="0.25">
      <c r="C1247"/>
      <c r="D1247"/>
      <c r="F1247" s="20"/>
    </row>
    <row r="1248" spans="3:6" x14ac:dyDescent="0.25">
      <c r="C1248"/>
      <c r="D1248"/>
      <c r="F1248" s="20"/>
    </row>
    <row r="1249" spans="3:6" x14ac:dyDescent="0.25">
      <c r="C1249"/>
      <c r="D1249"/>
      <c r="F1249" s="20"/>
    </row>
    <row r="1250" spans="3:6" x14ac:dyDescent="0.25">
      <c r="C1250"/>
      <c r="D1250"/>
      <c r="F1250" s="20"/>
    </row>
    <row r="1251" spans="3:6" x14ac:dyDescent="0.25">
      <c r="C1251"/>
      <c r="D1251"/>
      <c r="F1251" s="20"/>
    </row>
    <row r="1252" spans="3:6" x14ac:dyDescent="0.25">
      <c r="C1252"/>
      <c r="D1252"/>
      <c r="F1252" s="20"/>
    </row>
    <row r="1253" spans="3:6" x14ac:dyDescent="0.25">
      <c r="C1253"/>
      <c r="D1253"/>
      <c r="F1253" s="20"/>
    </row>
    <row r="1254" spans="3:6" x14ac:dyDescent="0.25">
      <c r="C1254"/>
      <c r="D1254"/>
      <c r="F1254" s="20"/>
    </row>
    <row r="1255" spans="3:6" x14ac:dyDescent="0.25">
      <c r="C1255"/>
      <c r="D1255"/>
      <c r="F1255" s="20"/>
    </row>
    <row r="1256" spans="3:6" x14ac:dyDescent="0.25">
      <c r="C1256"/>
      <c r="D1256"/>
      <c r="F1256" s="20"/>
    </row>
    <row r="1257" spans="3:6" x14ac:dyDescent="0.25">
      <c r="C1257"/>
      <c r="D1257"/>
      <c r="F1257" s="20"/>
    </row>
    <row r="1258" spans="3:6" x14ac:dyDescent="0.25">
      <c r="C1258"/>
      <c r="D1258"/>
      <c r="F1258" s="20"/>
    </row>
    <row r="1259" spans="3:6" x14ac:dyDescent="0.25">
      <c r="C1259"/>
      <c r="D1259"/>
      <c r="F1259" s="20"/>
    </row>
    <row r="1260" spans="3:6" x14ac:dyDescent="0.25">
      <c r="C1260"/>
      <c r="D1260"/>
      <c r="F1260" s="20"/>
    </row>
    <row r="1261" spans="3:6" x14ac:dyDescent="0.25">
      <c r="C1261"/>
      <c r="D1261"/>
      <c r="F1261" s="20"/>
    </row>
    <row r="1262" spans="3:6" x14ac:dyDescent="0.25">
      <c r="C1262"/>
      <c r="D1262"/>
      <c r="F1262" s="20"/>
    </row>
    <row r="1263" spans="3:6" x14ac:dyDescent="0.25">
      <c r="C1263"/>
      <c r="D1263"/>
      <c r="F1263" s="20"/>
    </row>
    <row r="1264" spans="3:6" x14ac:dyDescent="0.25">
      <c r="C1264"/>
      <c r="D1264"/>
      <c r="F1264" s="20"/>
    </row>
    <row r="1265" spans="3:6" x14ac:dyDescent="0.25">
      <c r="C1265"/>
      <c r="D1265"/>
      <c r="F1265" s="20"/>
    </row>
    <row r="1266" spans="3:6" x14ac:dyDescent="0.25">
      <c r="C1266"/>
      <c r="D1266"/>
      <c r="F1266" s="20"/>
    </row>
    <row r="1267" spans="3:6" x14ac:dyDescent="0.25">
      <c r="C1267"/>
      <c r="D1267"/>
      <c r="F1267" s="20"/>
    </row>
    <row r="1268" spans="3:6" x14ac:dyDescent="0.25">
      <c r="C1268"/>
      <c r="D1268"/>
      <c r="F1268" s="20"/>
    </row>
    <row r="1269" spans="3:6" x14ac:dyDescent="0.25">
      <c r="C1269"/>
      <c r="D1269"/>
      <c r="F1269" s="20"/>
    </row>
    <row r="1270" spans="3:6" x14ac:dyDescent="0.25">
      <c r="C1270"/>
      <c r="D1270"/>
      <c r="F1270" s="20"/>
    </row>
    <row r="1271" spans="3:6" x14ac:dyDescent="0.25">
      <c r="C1271"/>
      <c r="D1271"/>
      <c r="F1271" s="20"/>
    </row>
    <row r="1272" spans="3:6" x14ac:dyDescent="0.25">
      <c r="C1272"/>
      <c r="D1272"/>
      <c r="F1272" s="20"/>
    </row>
    <row r="1273" spans="3:6" x14ac:dyDescent="0.25">
      <c r="C1273"/>
      <c r="D1273"/>
      <c r="F1273" s="20"/>
    </row>
    <row r="1274" spans="3:6" x14ac:dyDescent="0.25">
      <c r="C1274"/>
      <c r="D1274"/>
      <c r="F1274" s="20"/>
    </row>
    <row r="1275" spans="3:6" x14ac:dyDescent="0.25">
      <c r="C1275"/>
      <c r="D1275"/>
      <c r="F1275" s="20"/>
    </row>
    <row r="1276" spans="3:6" x14ac:dyDescent="0.25">
      <c r="C1276"/>
      <c r="D1276"/>
      <c r="F1276" s="20"/>
    </row>
    <row r="1277" spans="3:6" x14ac:dyDescent="0.25">
      <c r="C1277"/>
      <c r="D1277"/>
      <c r="F1277" s="20"/>
    </row>
    <row r="1278" spans="3:6" x14ac:dyDescent="0.25">
      <c r="C1278"/>
      <c r="D1278"/>
      <c r="F1278" s="20"/>
    </row>
    <row r="1279" spans="3:6" x14ac:dyDescent="0.25">
      <c r="C1279"/>
      <c r="D1279"/>
      <c r="F1279" s="20"/>
    </row>
    <row r="1280" spans="3:6" x14ac:dyDescent="0.25">
      <c r="C1280"/>
      <c r="D1280"/>
      <c r="F1280" s="20"/>
    </row>
    <row r="1281" spans="3:6" x14ac:dyDescent="0.25">
      <c r="C1281"/>
      <c r="D1281"/>
      <c r="F1281" s="20"/>
    </row>
    <row r="1282" spans="3:6" x14ac:dyDescent="0.25">
      <c r="C1282"/>
      <c r="D1282"/>
      <c r="F1282" s="20"/>
    </row>
    <row r="1283" spans="3:6" x14ac:dyDescent="0.25">
      <c r="C1283"/>
      <c r="D1283"/>
      <c r="F1283" s="20"/>
    </row>
    <row r="1284" spans="3:6" x14ac:dyDescent="0.25">
      <c r="C1284"/>
      <c r="D1284"/>
      <c r="F1284" s="20"/>
    </row>
    <row r="1285" spans="3:6" x14ac:dyDescent="0.25">
      <c r="C1285"/>
      <c r="D1285"/>
      <c r="F1285" s="20"/>
    </row>
    <row r="1286" spans="3:6" x14ac:dyDescent="0.25">
      <c r="C1286"/>
      <c r="D1286"/>
      <c r="F1286" s="20"/>
    </row>
    <row r="1287" spans="3:6" x14ac:dyDescent="0.25">
      <c r="C1287"/>
      <c r="D1287"/>
      <c r="F1287" s="20"/>
    </row>
    <row r="1288" spans="3:6" x14ac:dyDescent="0.25">
      <c r="C1288"/>
      <c r="D1288"/>
      <c r="F1288" s="20"/>
    </row>
    <row r="1289" spans="3:6" x14ac:dyDescent="0.25">
      <c r="C1289"/>
      <c r="D1289"/>
      <c r="F1289" s="20"/>
    </row>
    <row r="1290" spans="3:6" x14ac:dyDescent="0.25">
      <c r="C1290"/>
      <c r="D1290"/>
      <c r="F1290" s="20"/>
    </row>
    <row r="1291" spans="3:6" x14ac:dyDescent="0.25">
      <c r="C1291"/>
      <c r="D1291"/>
      <c r="F1291" s="20"/>
    </row>
    <row r="1292" spans="3:6" x14ac:dyDescent="0.25">
      <c r="C1292"/>
      <c r="D1292"/>
      <c r="F1292" s="20"/>
    </row>
    <row r="1293" spans="3:6" x14ac:dyDescent="0.25">
      <c r="C1293"/>
      <c r="D1293"/>
      <c r="F1293" s="20"/>
    </row>
    <row r="1294" spans="3:6" x14ac:dyDescent="0.25">
      <c r="C1294"/>
      <c r="D1294"/>
      <c r="F1294" s="20"/>
    </row>
    <row r="1295" spans="3:6" x14ac:dyDescent="0.25">
      <c r="C1295"/>
      <c r="D1295"/>
      <c r="F1295" s="20"/>
    </row>
    <row r="1296" spans="3:6" x14ac:dyDescent="0.25">
      <c r="C1296"/>
      <c r="D1296"/>
      <c r="F1296" s="20"/>
    </row>
    <row r="1297" spans="3:6" x14ac:dyDescent="0.25">
      <c r="C1297"/>
      <c r="D1297"/>
      <c r="F1297" s="20"/>
    </row>
    <row r="1298" spans="3:6" x14ac:dyDescent="0.25">
      <c r="C1298"/>
      <c r="D1298"/>
      <c r="F1298" s="20"/>
    </row>
    <row r="1299" spans="3:6" x14ac:dyDescent="0.25">
      <c r="C1299"/>
      <c r="D1299"/>
      <c r="F1299" s="20"/>
    </row>
    <row r="1300" spans="3:6" x14ac:dyDescent="0.25">
      <c r="C1300"/>
      <c r="D1300"/>
      <c r="F1300" s="20"/>
    </row>
    <row r="1301" spans="3:6" x14ac:dyDescent="0.25">
      <c r="C1301"/>
      <c r="D1301"/>
      <c r="F1301" s="20"/>
    </row>
    <row r="1302" spans="3:6" x14ac:dyDescent="0.25">
      <c r="C1302"/>
      <c r="D1302"/>
      <c r="F1302" s="20"/>
    </row>
    <row r="1303" spans="3:6" x14ac:dyDescent="0.25">
      <c r="C1303"/>
      <c r="D1303"/>
      <c r="F1303" s="20"/>
    </row>
    <row r="1304" spans="3:6" x14ac:dyDescent="0.25">
      <c r="C1304"/>
      <c r="D1304"/>
      <c r="F1304" s="20"/>
    </row>
    <row r="1305" spans="3:6" x14ac:dyDescent="0.25">
      <c r="C1305"/>
      <c r="D1305"/>
      <c r="F1305" s="20"/>
    </row>
    <row r="1306" spans="3:6" x14ac:dyDescent="0.25">
      <c r="C1306"/>
      <c r="D1306"/>
      <c r="F1306" s="20"/>
    </row>
    <row r="1307" spans="3:6" x14ac:dyDescent="0.25">
      <c r="C1307"/>
      <c r="D1307"/>
      <c r="F1307" s="20"/>
    </row>
    <row r="1308" spans="3:6" x14ac:dyDescent="0.25">
      <c r="C1308"/>
      <c r="D1308"/>
      <c r="F1308" s="20"/>
    </row>
    <row r="1309" spans="3:6" x14ac:dyDescent="0.25">
      <c r="C1309"/>
      <c r="D1309"/>
      <c r="F1309" s="20"/>
    </row>
    <row r="1310" spans="3:6" x14ac:dyDescent="0.25">
      <c r="C1310"/>
      <c r="D1310"/>
      <c r="F1310" s="20"/>
    </row>
    <row r="1311" spans="3:6" x14ac:dyDescent="0.25">
      <c r="C1311"/>
      <c r="D1311"/>
      <c r="F1311" s="20"/>
    </row>
    <row r="1312" spans="3:6" x14ac:dyDescent="0.25">
      <c r="C1312"/>
      <c r="D1312"/>
      <c r="F1312" s="20"/>
    </row>
    <row r="1313" spans="3:6" x14ac:dyDescent="0.25">
      <c r="C1313"/>
      <c r="D1313"/>
      <c r="F1313" s="20"/>
    </row>
    <row r="1314" spans="3:6" x14ac:dyDescent="0.25">
      <c r="C1314"/>
      <c r="D1314"/>
      <c r="F1314" s="20"/>
    </row>
    <row r="1315" spans="3:6" x14ac:dyDescent="0.25">
      <c r="C1315"/>
      <c r="D1315"/>
      <c r="F1315" s="20"/>
    </row>
    <row r="1316" spans="3:6" x14ac:dyDescent="0.25">
      <c r="C1316"/>
      <c r="D1316"/>
      <c r="F1316" s="20"/>
    </row>
    <row r="1317" spans="3:6" x14ac:dyDescent="0.25">
      <c r="C1317"/>
      <c r="D1317"/>
      <c r="F1317" s="20"/>
    </row>
    <row r="1318" spans="3:6" x14ac:dyDescent="0.25">
      <c r="C1318"/>
      <c r="D1318"/>
      <c r="F1318" s="20"/>
    </row>
    <row r="1319" spans="3:6" x14ac:dyDescent="0.25">
      <c r="C1319"/>
      <c r="D1319"/>
      <c r="F1319" s="20"/>
    </row>
    <row r="1320" spans="3:6" x14ac:dyDescent="0.25">
      <c r="C1320"/>
      <c r="D1320"/>
      <c r="F1320" s="20"/>
    </row>
    <row r="1321" spans="3:6" x14ac:dyDescent="0.25">
      <c r="C1321"/>
      <c r="D1321"/>
      <c r="F1321" s="20"/>
    </row>
    <row r="1322" spans="3:6" x14ac:dyDescent="0.25">
      <c r="C1322"/>
      <c r="D1322"/>
      <c r="F1322" s="20"/>
    </row>
    <row r="1323" spans="3:6" x14ac:dyDescent="0.25">
      <c r="C1323"/>
      <c r="D1323"/>
      <c r="F1323" s="20"/>
    </row>
    <row r="1324" spans="3:6" x14ac:dyDescent="0.25">
      <c r="C1324"/>
      <c r="D1324"/>
      <c r="F1324" s="20"/>
    </row>
    <row r="1325" spans="3:6" x14ac:dyDescent="0.25">
      <c r="C1325"/>
      <c r="D1325"/>
      <c r="F1325" s="20"/>
    </row>
    <row r="1326" spans="3:6" x14ac:dyDescent="0.25">
      <c r="C1326"/>
      <c r="D1326"/>
      <c r="F1326" s="20"/>
    </row>
    <row r="1327" spans="3:6" x14ac:dyDescent="0.25">
      <c r="C1327"/>
      <c r="D1327"/>
      <c r="F1327" s="20"/>
    </row>
    <row r="1328" spans="3:6" x14ac:dyDescent="0.25">
      <c r="C1328"/>
      <c r="D1328"/>
      <c r="F1328" s="20"/>
    </row>
    <row r="1329" spans="3:6" x14ac:dyDescent="0.25">
      <c r="C1329"/>
      <c r="D1329"/>
      <c r="F1329" s="20"/>
    </row>
    <row r="1330" spans="3:6" x14ac:dyDescent="0.25">
      <c r="C1330"/>
      <c r="D1330"/>
      <c r="F1330" s="20"/>
    </row>
    <row r="1331" spans="3:6" x14ac:dyDescent="0.25">
      <c r="C1331"/>
      <c r="D1331"/>
      <c r="F1331" s="20"/>
    </row>
    <row r="1332" spans="3:6" x14ac:dyDescent="0.25">
      <c r="C1332"/>
      <c r="D1332"/>
      <c r="F1332" s="20"/>
    </row>
    <row r="1333" spans="3:6" x14ac:dyDescent="0.25">
      <c r="C1333"/>
      <c r="D1333"/>
      <c r="F1333" s="20"/>
    </row>
    <row r="1334" spans="3:6" x14ac:dyDescent="0.25">
      <c r="C1334"/>
      <c r="D1334"/>
      <c r="F1334" s="20"/>
    </row>
    <row r="1335" spans="3:6" x14ac:dyDescent="0.25">
      <c r="C1335"/>
      <c r="D1335"/>
      <c r="F1335" s="20"/>
    </row>
    <row r="1336" spans="3:6" x14ac:dyDescent="0.25">
      <c r="C1336"/>
      <c r="D1336"/>
      <c r="F1336" s="20"/>
    </row>
    <row r="1337" spans="3:6" x14ac:dyDescent="0.25">
      <c r="C1337"/>
      <c r="D1337"/>
      <c r="F1337" s="20"/>
    </row>
    <row r="1338" spans="3:6" x14ac:dyDescent="0.25">
      <c r="C1338"/>
      <c r="D1338"/>
      <c r="F1338" s="20"/>
    </row>
    <row r="1339" spans="3:6" x14ac:dyDescent="0.25">
      <c r="C1339"/>
      <c r="D1339"/>
      <c r="F1339" s="20"/>
    </row>
    <row r="1340" spans="3:6" x14ac:dyDescent="0.25">
      <c r="C1340"/>
      <c r="D1340"/>
      <c r="F1340" s="20"/>
    </row>
    <row r="1341" spans="3:6" x14ac:dyDescent="0.25">
      <c r="C1341"/>
      <c r="D1341"/>
      <c r="F1341" s="20"/>
    </row>
    <row r="1342" spans="3:6" x14ac:dyDescent="0.25">
      <c r="C1342"/>
      <c r="D1342"/>
      <c r="F1342" s="20"/>
    </row>
    <row r="1343" spans="3:6" x14ac:dyDescent="0.25">
      <c r="C1343"/>
      <c r="D1343"/>
      <c r="F1343" s="20"/>
    </row>
    <row r="1344" spans="3:6" x14ac:dyDescent="0.25">
      <c r="C1344"/>
      <c r="D1344"/>
      <c r="F1344" s="20"/>
    </row>
    <row r="1345" spans="3:6" x14ac:dyDescent="0.25">
      <c r="C1345"/>
      <c r="D1345"/>
      <c r="F1345" s="20"/>
    </row>
    <row r="1346" spans="3:6" x14ac:dyDescent="0.25">
      <c r="C1346"/>
      <c r="D1346"/>
      <c r="F1346" s="20"/>
    </row>
    <row r="1347" spans="3:6" x14ac:dyDescent="0.25">
      <c r="C1347"/>
      <c r="D1347"/>
      <c r="F1347" s="20"/>
    </row>
    <row r="1348" spans="3:6" x14ac:dyDescent="0.25">
      <c r="C1348"/>
      <c r="D1348"/>
      <c r="F1348" s="20"/>
    </row>
    <row r="1349" spans="3:6" x14ac:dyDescent="0.25">
      <c r="C1349"/>
      <c r="D1349"/>
      <c r="F1349" s="20"/>
    </row>
    <row r="1350" spans="3:6" x14ac:dyDescent="0.25">
      <c r="C1350"/>
      <c r="D1350"/>
      <c r="F1350" s="20"/>
    </row>
    <row r="1351" spans="3:6" x14ac:dyDescent="0.25">
      <c r="C1351"/>
      <c r="D1351"/>
      <c r="F1351" s="20"/>
    </row>
    <row r="1352" spans="3:6" x14ac:dyDescent="0.25">
      <c r="C1352"/>
      <c r="D1352"/>
      <c r="F1352" s="20"/>
    </row>
    <row r="1353" spans="3:6" x14ac:dyDescent="0.25">
      <c r="C1353"/>
      <c r="D1353"/>
      <c r="F1353" s="20"/>
    </row>
    <row r="1354" spans="3:6" x14ac:dyDescent="0.25">
      <c r="C1354"/>
      <c r="D1354"/>
      <c r="F1354" s="20"/>
    </row>
    <row r="1355" spans="3:6" x14ac:dyDescent="0.25">
      <c r="C1355"/>
      <c r="D1355"/>
      <c r="F1355" s="20"/>
    </row>
    <row r="1356" spans="3:6" x14ac:dyDescent="0.25">
      <c r="C1356"/>
      <c r="D1356"/>
      <c r="F1356" s="20"/>
    </row>
    <row r="1357" spans="3:6" x14ac:dyDescent="0.25">
      <c r="C1357"/>
      <c r="D1357"/>
      <c r="F1357" s="20"/>
    </row>
    <row r="1358" spans="3:6" x14ac:dyDescent="0.25">
      <c r="C1358"/>
      <c r="D1358"/>
      <c r="F1358" s="20"/>
    </row>
    <row r="1359" spans="3:6" x14ac:dyDescent="0.25">
      <c r="C1359"/>
      <c r="D1359"/>
      <c r="F1359" s="20"/>
    </row>
    <row r="1360" spans="3:6" x14ac:dyDescent="0.25">
      <c r="C1360"/>
      <c r="D1360"/>
      <c r="F1360" s="20"/>
    </row>
    <row r="1361" spans="3:6" x14ac:dyDescent="0.25">
      <c r="C1361"/>
      <c r="D1361"/>
      <c r="F1361" s="20"/>
    </row>
    <row r="1362" spans="3:6" x14ac:dyDescent="0.25">
      <c r="C1362"/>
      <c r="D1362"/>
      <c r="F1362" s="20"/>
    </row>
    <row r="1363" spans="3:6" x14ac:dyDescent="0.25">
      <c r="C1363"/>
      <c r="D1363"/>
      <c r="F1363" s="20"/>
    </row>
    <row r="1364" spans="3:6" x14ac:dyDescent="0.25">
      <c r="C1364"/>
      <c r="D1364"/>
      <c r="F1364" s="20"/>
    </row>
    <row r="1365" spans="3:6" x14ac:dyDescent="0.25">
      <c r="C1365"/>
      <c r="D1365"/>
      <c r="F1365" s="20"/>
    </row>
    <row r="1366" spans="3:6" x14ac:dyDescent="0.25">
      <c r="C1366"/>
      <c r="D1366"/>
      <c r="F1366" s="20"/>
    </row>
    <row r="1367" spans="3:6" x14ac:dyDescent="0.25">
      <c r="C1367"/>
      <c r="D1367"/>
      <c r="F1367" s="20"/>
    </row>
    <row r="1368" spans="3:6" x14ac:dyDescent="0.25">
      <c r="C1368"/>
      <c r="D1368"/>
      <c r="F1368" s="20"/>
    </row>
    <row r="1369" spans="3:6" x14ac:dyDescent="0.25">
      <c r="C1369"/>
      <c r="D1369"/>
      <c r="F1369" s="20"/>
    </row>
    <row r="1370" spans="3:6" x14ac:dyDescent="0.25">
      <c r="C1370"/>
      <c r="D1370"/>
      <c r="F1370" s="20"/>
    </row>
    <row r="1371" spans="3:6" x14ac:dyDescent="0.25">
      <c r="C1371"/>
      <c r="D1371"/>
      <c r="F1371" s="20"/>
    </row>
    <row r="1372" spans="3:6" x14ac:dyDescent="0.25">
      <c r="C1372"/>
      <c r="D1372"/>
      <c r="F1372" s="20"/>
    </row>
    <row r="1373" spans="3:6" x14ac:dyDescent="0.25">
      <c r="C1373"/>
      <c r="D1373"/>
      <c r="F1373" s="20"/>
    </row>
    <row r="1374" spans="3:6" x14ac:dyDescent="0.25">
      <c r="C1374"/>
      <c r="D1374"/>
      <c r="F1374" s="20"/>
    </row>
    <row r="1375" spans="3:6" x14ac:dyDescent="0.25">
      <c r="C1375"/>
      <c r="D1375"/>
      <c r="F1375" s="20"/>
    </row>
    <row r="1376" spans="3:6" x14ac:dyDescent="0.25">
      <c r="C1376"/>
      <c r="D1376"/>
      <c r="F1376" s="20"/>
    </row>
    <row r="1377" spans="3:6" x14ac:dyDescent="0.25">
      <c r="C1377"/>
      <c r="D1377"/>
      <c r="F1377" s="20"/>
    </row>
    <row r="1378" spans="3:6" x14ac:dyDescent="0.25">
      <c r="C1378"/>
      <c r="D1378"/>
      <c r="F1378" s="20"/>
    </row>
    <row r="1379" spans="3:6" x14ac:dyDescent="0.25">
      <c r="C1379"/>
      <c r="D1379"/>
      <c r="F1379" s="20"/>
    </row>
    <row r="1380" spans="3:6" x14ac:dyDescent="0.25">
      <c r="C1380"/>
      <c r="D1380"/>
      <c r="F1380" s="20"/>
    </row>
    <row r="1381" spans="3:6" x14ac:dyDescent="0.25">
      <c r="C1381"/>
      <c r="D1381"/>
      <c r="F1381" s="20"/>
    </row>
    <row r="1382" spans="3:6" x14ac:dyDescent="0.25">
      <c r="C1382"/>
      <c r="D1382"/>
      <c r="F1382" s="20"/>
    </row>
    <row r="1383" spans="3:6" x14ac:dyDescent="0.25">
      <c r="C1383"/>
      <c r="D1383"/>
      <c r="F1383" s="20"/>
    </row>
    <row r="1384" spans="3:6" x14ac:dyDescent="0.25">
      <c r="C1384"/>
      <c r="D1384"/>
      <c r="F1384" s="20"/>
    </row>
    <row r="1385" spans="3:6" x14ac:dyDescent="0.25">
      <c r="C1385"/>
      <c r="D1385"/>
      <c r="F1385" s="20"/>
    </row>
    <row r="1386" spans="3:6" x14ac:dyDescent="0.25">
      <c r="C1386"/>
      <c r="D1386"/>
      <c r="F1386" s="20"/>
    </row>
    <row r="1387" spans="3:6" x14ac:dyDescent="0.25">
      <c r="C1387"/>
      <c r="D1387"/>
      <c r="F1387" s="20"/>
    </row>
    <row r="1388" spans="3:6" x14ac:dyDescent="0.25">
      <c r="C1388"/>
      <c r="D1388"/>
      <c r="F1388" s="20"/>
    </row>
    <row r="1389" spans="3:6" x14ac:dyDescent="0.25">
      <c r="C1389"/>
      <c r="D1389"/>
      <c r="F1389" s="20"/>
    </row>
    <row r="1390" spans="3:6" x14ac:dyDescent="0.25">
      <c r="C1390"/>
      <c r="D1390"/>
      <c r="F1390" s="20"/>
    </row>
    <row r="1391" spans="3:6" x14ac:dyDescent="0.25">
      <c r="C1391"/>
      <c r="D1391"/>
      <c r="F1391" s="20"/>
    </row>
    <row r="1392" spans="3:6" x14ac:dyDescent="0.25">
      <c r="C1392"/>
      <c r="D1392"/>
      <c r="F1392" s="20"/>
    </row>
    <row r="1393" spans="3:6" x14ac:dyDescent="0.25">
      <c r="C1393"/>
      <c r="D1393"/>
      <c r="F1393" s="20"/>
    </row>
    <row r="1394" spans="3:6" x14ac:dyDescent="0.25">
      <c r="C1394"/>
      <c r="D1394"/>
      <c r="F1394" s="20"/>
    </row>
    <row r="1395" spans="3:6" x14ac:dyDescent="0.25">
      <c r="C1395"/>
      <c r="D1395"/>
      <c r="F1395" s="20"/>
    </row>
    <row r="1396" spans="3:6" x14ac:dyDescent="0.25">
      <c r="C1396"/>
      <c r="D1396"/>
      <c r="F1396" s="20"/>
    </row>
    <row r="1397" spans="3:6" x14ac:dyDescent="0.25">
      <c r="C1397"/>
      <c r="D1397"/>
      <c r="F1397" s="20"/>
    </row>
    <row r="1398" spans="3:6" x14ac:dyDescent="0.25">
      <c r="C1398"/>
      <c r="D1398"/>
      <c r="F1398" s="20"/>
    </row>
    <row r="1399" spans="3:6" x14ac:dyDescent="0.25">
      <c r="C1399"/>
      <c r="D1399"/>
      <c r="F1399" s="20"/>
    </row>
    <row r="1400" spans="3:6" x14ac:dyDescent="0.25">
      <c r="C1400"/>
      <c r="D1400"/>
      <c r="F1400" s="20"/>
    </row>
    <row r="1401" spans="3:6" x14ac:dyDescent="0.25">
      <c r="C1401"/>
      <c r="D1401"/>
      <c r="F1401" s="20"/>
    </row>
    <row r="1402" spans="3:6" x14ac:dyDescent="0.25">
      <c r="C1402"/>
      <c r="D1402"/>
      <c r="F1402" s="20"/>
    </row>
    <row r="1403" spans="3:6" x14ac:dyDescent="0.25">
      <c r="C1403"/>
      <c r="D1403"/>
      <c r="F1403" s="20"/>
    </row>
    <row r="1404" spans="3:6" x14ac:dyDescent="0.25">
      <c r="C1404"/>
      <c r="D1404"/>
      <c r="F1404" s="20"/>
    </row>
    <row r="1405" spans="3:6" x14ac:dyDescent="0.25">
      <c r="C1405"/>
      <c r="D1405"/>
      <c r="F1405" s="20"/>
    </row>
    <row r="1406" spans="3:6" x14ac:dyDescent="0.25">
      <c r="C1406"/>
      <c r="D1406"/>
      <c r="F1406" s="20"/>
    </row>
    <row r="1407" spans="3:6" x14ac:dyDescent="0.25">
      <c r="C1407"/>
      <c r="D1407"/>
      <c r="F1407" s="20"/>
    </row>
    <row r="1408" spans="3:6" x14ac:dyDescent="0.25">
      <c r="C1408"/>
      <c r="D1408"/>
      <c r="F1408" s="20"/>
    </row>
    <row r="1409" spans="3:6" x14ac:dyDescent="0.25">
      <c r="C1409"/>
      <c r="D1409"/>
      <c r="F1409" s="20"/>
    </row>
    <row r="1410" spans="3:6" x14ac:dyDescent="0.25">
      <c r="C1410"/>
      <c r="D1410"/>
      <c r="F1410" s="20"/>
    </row>
    <row r="1411" spans="3:6" x14ac:dyDescent="0.25">
      <c r="C1411"/>
      <c r="D1411"/>
      <c r="F1411" s="20"/>
    </row>
    <row r="1412" spans="3:6" x14ac:dyDescent="0.25">
      <c r="C1412"/>
      <c r="D1412"/>
      <c r="F1412" s="20"/>
    </row>
    <row r="1413" spans="3:6" x14ac:dyDescent="0.25">
      <c r="C1413"/>
      <c r="D1413"/>
      <c r="F1413" s="20"/>
    </row>
    <row r="1414" spans="3:6" x14ac:dyDescent="0.25">
      <c r="C1414"/>
      <c r="D1414"/>
      <c r="F1414" s="20"/>
    </row>
    <row r="1415" spans="3:6" x14ac:dyDescent="0.25">
      <c r="C1415"/>
      <c r="D1415"/>
      <c r="F1415" s="20"/>
    </row>
    <row r="1416" spans="3:6" x14ac:dyDescent="0.25">
      <c r="C1416"/>
      <c r="D1416"/>
      <c r="F1416" s="20"/>
    </row>
    <row r="1417" spans="3:6" x14ac:dyDescent="0.25">
      <c r="C1417"/>
      <c r="D1417"/>
      <c r="F1417" s="20"/>
    </row>
    <row r="1418" spans="3:6" x14ac:dyDescent="0.25">
      <c r="C1418"/>
      <c r="D1418"/>
      <c r="F1418" s="20"/>
    </row>
    <row r="1419" spans="3:6" x14ac:dyDescent="0.25">
      <c r="C1419"/>
      <c r="D1419"/>
      <c r="F1419" s="20"/>
    </row>
    <row r="1420" spans="3:6" x14ac:dyDescent="0.25">
      <c r="C1420"/>
      <c r="D1420"/>
      <c r="F1420" s="20"/>
    </row>
    <row r="1421" spans="3:6" x14ac:dyDescent="0.25">
      <c r="C1421"/>
      <c r="D1421"/>
      <c r="F1421" s="20"/>
    </row>
    <row r="1422" spans="3:6" x14ac:dyDescent="0.25">
      <c r="C1422"/>
      <c r="D1422"/>
      <c r="F1422" s="20"/>
    </row>
    <row r="1423" spans="3:6" x14ac:dyDescent="0.25">
      <c r="C1423"/>
      <c r="D1423"/>
      <c r="F1423" s="20"/>
    </row>
    <row r="1424" spans="3:6" x14ac:dyDescent="0.25">
      <c r="C1424"/>
      <c r="D1424"/>
      <c r="F1424" s="20"/>
    </row>
    <row r="1425" spans="3:6" x14ac:dyDescent="0.25">
      <c r="C1425"/>
      <c r="D1425"/>
      <c r="F1425" s="20"/>
    </row>
    <row r="1426" spans="3:6" x14ac:dyDescent="0.25">
      <c r="C1426"/>
      <c r="D1426"/>
      <c r="F1426" s="20"/>
    </row>
    <row r="1427" spans="3:6" x14ac:dyDescent="0.25">
      <c r="C1427"/>
      <c r="D1427"/>
      <c r="F1427" s="20"/>
    </row>
    <row r="1428" spans="3:6" x14ac:dyDescent="0.25">
      <c r="C1428"/>
      <c r="D1428"/>
      <c r="F1428" s="20"/>
    </row>
    <row r="1429" spans="3:6" x14ac:dyDescent="0.25">
      <c r="C1429"/>
      <c r="D1429"/>
      <c r="F1429" s="20"/>
    </row>
    <row r="1430" spans="3:6" x14ac:dyDescent="0.25">
      <c r="C1430"/>
      <c r="D1430"/>
      <c r="F1430" s="20"/>
    </row>
    <row r="1431" spans="3:6" x14ac:dyDescent="0.25">
      <c r="C1431"/>
      <c r="D1431"/>
      <c r="F1431" s="20"/>
    </row>
    <row r="1432" spans="3:6" x14ac:dyDescent="0.25">
      <c r="C1432"/>
      <c r="D1432"/>
      <c r="F1432" s="20"/>
    </row>
    <row r="1433" spans="3:6" x14ac:dyDescent="0.25">
      <c r="C1433"/>
      <c r="D1433"/>
      <c r="F1433" s="20"/>
    </row>
    <row r="1434" spans="3:6" x14ac:dyDescent="0.25">
      <c r="C1434"/>
      <c r="D1434"/>
      <c r="F1434" s="20"/>
    </row>
    <row r="1435" spans="3:6" x14ac:dyDescent="0.25">
      <c r="C1435"/>
      <c r="D1435"/>
      <c r="F1435" s="20"/>
    </row>
    <row r="1436" spans="3:6" x14ac:dyDescent="0.25">
      <c r="C1436"/>
      <c r="D1436"/>
      <c r="F1436" s="20"/>
    </row>
    <row r="1437" spans="3:6" x14ac:dyDescent="0.25">
      <c r="C1437"/>
      <c r="D1437"/>
      <c r="F1437" s="20"/>
    </row>
    <row r="1438" spans="3:6" x14ac:dyDescent="0.25">
      <c r="C1438"/>
      <c r="D1438"/>
      <c r="F1438" s="20"/>
    </row>
    <row r="1439" spans="3:6" x14ac:dyDescent="0.25">
      <c r="C1439"/>
      <c r="D1439"/>
      <c r="F1439" s="20"/>
    </row>
    <row r="1440" spans="3:6" x14ac:dyDescent="0.25">
      <c r="C1440"/>
      <c r="D1440"/>
      <c r="F1440" s="20"/>
    </row>
    <row r="1441" spans="3:6" x14ac:dyDescent="0.25">
      <c r="C1441"/>
      <c r="D1441"/>
      <c r="F1441" s="20"/>
    </row>
    <row r="1442" spans="3:6" x14ac:dyDescent="0.25">
      <c r="C1442"/>
      <c r="D1442"/>
      <c r="F1442" s="20"/>
    </row>
    <row r="1443" spans="3:6" x14ac:dyDescent="0.25">
      <c r="C1443"/>
      <c r="D1443"/>
      <c r="F1443" s="20"/>
    </row>
    <row r="1444" spans="3:6" x14ac:dyDescent="0.25">
      <c r="C1444"/>
      <c r="D1444"/>
      <c r="F1444" s="20"/>
    </row>
    <row r="1445" spans="3:6" x14ac:dyDescent="0.25">
      <c r="C1445"/>
      <c r="D1445"/>
      <c r="F1445" s="20"/>
    </row>
    <row r="1446" spans="3:6" x14ac:dyDescent="0.25">
      <c r="C1446"/>
      <c r="D1446"/>
      <c r="F1446" s="20"/>
    </row>
    <row r="1447" spans="3:6" x14ac:dyDescent="0.25">
      <c r="C1447"/>
      <c r="D1447"/>
      <c r="F1447" s="20"/>
    </row>
    <row r="1448" spans="3:6" x14ac:dyDescent="0.25">
      <c r="C1448"/>
      <c r="D1448"/>
      <c r="F1448" s="20"/>
    </row>
    <row r="1449" spans="3:6" x14ac:dyDescent="0.25">
      <c r="C1449"/>
      <c r="D1449"/>
      <c r="F1449" s="20"/>
    </row>
    <row r="1450" spans="3:6" x14ac:dyDescent="0.25">
      <c r="C1450"/>
      <c r="D1450"/>
      <c r="F1450" s="20"/>
    </row>
    <row r="1451" spans="3:6" x14ac:dyDescent="0.25">
      <c r="C1451"/>
      <c r="D1451"/>
      <c r="F1451" s="20"/>
    </row>
    <row r="1452" spans="3:6" x14ac:dyDescent="0.25">
      <c r="C1452"/>
      <c r="D1452"/>
      <c r="F1452" s="20"/>
    </row>
    <row r="1453" spans="3:6" x14ac:dyDescent="0.25">
      <c r="C1453"/>
      <c r="D1453"/>
      <c r="F1453" s="20"/>
    </row>
    <row r="1454" spans="3:6" x14ac:dyDescent="0.25">
      <c r="C1454"/>
      <c r="D1454"/>
      <c r="F1454" s="20"/>
    </row>
    <row r="1455" spans="3:6" x14ac:dyDescent="0.25">
      <c r="C1455"/>
      <c r="D1455"/>
      <c r="F1455" s="20"/>
    </row>
    <row r="1456" spans="3:6" x14ac:dyDescent="0.25">
      <c r="C1456"/>
      <c r="D1456"/>
      <c r="F1456" s="20"/>
    </row>
    <row r="1457" spans="3:6" x14ac:dyDescent="0.25">
      <c r="C1457"/>
      <c r="D1457"/>
      <c r="F1457" s="20"/>
    </row>
    <row r="1458" spans="3:6" x14ac:dyDescent="0.25">
      <c r="C1458"/>
      <c r="D1458"/>
      <c r="F1458" s="20"/>
    </row>
    <row r="1459" spans="3:6" x14ac:dyDescent="0.25">
      <c r="C1459"/>
      <c r="D1459"/>
      <c r="F1459" s="20"/>
    </row>
    <row r="1460" spans="3:6" x14ac:dyDescent="0.25">
      <c r="C1460"/>
      <c r="D1460"/>
      <c r="F1460" s="20"/>
    </row>
    <row r="1461" spans="3:6" x14ac:dyDescent="0.25">
      <c r="C1461"/>
      <c r="D1461"/>
      <c r="F1461" s="20"/>
    </row>
    <row r="1462" spans="3:6" x14ac:dyDescent="0.25">
      <c r="C1462"/>
      <c r="D1462"/>
      <c r="F1462" s="20"/>
    </row>
    <row r="1463" spans="3:6" x14ac:dyDescent="0.25">
      <c r="C1463"/>
      <c r="D1463"/>
      <c r="F1463" s="20"/>
    </row>
    <row r="1464" spans="3:6" x14ac:dyDescent="0.25">
      <c r="C1464"/>
      <c r="D1464"/>
      <c r="F1464" s="20"/>
    </row>
    <row r="1465" spans="3:6" x14ac:dyDescent="0.25">
      <c r="C1465"/>
      <c r="D1465"/>
      <c r="F1465" s="20"/>
    </row>
    <row r="1466" spans="3:6" x14ac:dyDescent="0.25">
      <c r="C1466"/>
      <c r="D1466"/>
      <c r="F1466" s="20"/>
    </row>
    <row r="1467" spans="3:6" x14ac:dyDescent="0.25">
      <c r="C1467"/>
      <c r="D1467"/>
      <c r="F1467" s="20"/>
    </row>
    <row r="1468" spans="3:6" x14ac:dyDescent="0.25">
      <c r="C1468"/>
      <c r="D1468"/>
      <c r="F1468" s="20"/>
    </row>
    <row r="1469" spans="3:6" x14ac:dyDescent="0.25">
      <c r="C1469"/>
      <c r="D1469"/>
      <c r="F1469" s="20"/>
    </row>
    <row r="1470" spans="3:6" x14ac:dyDescent="0.25">
      <c r="C1470"/>
      <c r="D1470"/>
      <c r="F1470" s="20"/>
    </row>
    <row r="1471" spans="3:6" x14ac:dyDescent="0.25">
      <c r="C1471"/>
      <c r="D1471"/>
      <c r="F1471" s="20"/>
    </row>
    <row r="1472" spans="3:6" x14ac:dyDescent="0.25">
      <c r="C1472"/>
      <c r="D1472"/>
      <c r="F1472" s="20"/>
    </row>
    <row r="1473" spans="3:6" x14ac:dyDescent="0.25">
      <c r="C1473"/>
      <c r="D1473"/>
      <c r="F1473" s="20"/>
    </row>
    <row r="1474" spans="3:6" x14ac:dyDescent="0.25">
      <c r="C1474"/>
      <c r="D1474"/>
      <c r="F1474" s="20"/>
    </row>
    <row r="1475" spans="3:6" x14ac:dyDescent="0.25">
      <c r="C1475"/>
      <c r="D1475"/>
      <c r="F1475" s="20"/>
    </row>
    <row r="1476" spans="3:6" x14ac:dyDescent="0.25">
      <c r="C1476"/>
      <c r="D1476"/>
      <c r="F1476" s="20"/>
    </row>
    <row r="1477" spans="3:6" x14ac:dyDescent="0.25">
      <c r="C1477"/>
      <c r="D1477"/>
      <c r="F1477" s="20"/>
    </row>
    <row r="1478" spans="3:6" x14ac:dyDescent="0.25">
      <c r="C1478"/>
      <c r="D1478"/>
      <c r="F1478" s="20"/>
    </row>
    <row r="1479" spans="3:6" x14ac:dyDescent="0.25">
      <c r="C1479"/>
      <c r="D1479"/>
      <c r="F1479" s="20"/>
    </row>
    <row r="1480" spans="3:6" x14ac:dyDescent="0.25">
      <c r="C1480"/>
      <c r="D1480"/>
      <c r="F1480" s="20"/>
    </row>
    <row r="1481" spans="3:6" x14ac:dyDescent="0.25">
      <c r="C1481"/>
      <c r="D1481"/>
      <c r="F1481" s="20"/>
    </row>
    <row r="1482" spans="3:6" x14ac:dyDescent="0.25">
      <c r="C1482"/>
      <c r="D1482"/>
      <c r="F1482" s="20"/>
    </row>
    <row r="1483" spans="3:6" x14ac:dyDescent="0.25">
      <c r="C1483"/>
      <c r="D1483"/>
      <c r="F1483" s="20"/>
    </row>
    <row r="1484" spans="3:6" x14ac:dyDescent="0.25">
      <c r="C1484"/>
      <c r="D1484"/>
      <c r="F1484" s="20"/>
    </row>
    <row r="1485" spans="3:6" x14ac:dyDescent="0.25">
      <c r="C1485"/>
      <c r="D1485"/>
      <c r="F1485" s="20"/>
    </row>
    <row r="1486" spans="3:6" x14ac:dyDescent="0.25">
      <c r="C1486"/>
      <c r="D1486"/>
      <c r="F1486" s="20"/>
    </row>
    <row r="1487" spans="3:6" x14ac:dyDescent="0.25">
      <c r="C1487"/>
      <c r="D1487"/>
      <c r="F1487" s="20"/>
    </row>
    <row r="1488" spans="3:6" x14ac:dyDescent="0.25">
      <c r="C1488"/>
      <c r="D1488"/>
      <c r="F1488" s="20"/>
    </row>
    <row r="1489" spans="3:6" x14ac:dyDescent="0.25">
      <c r="C1489"/>
      <c r="D1489"/>
      <c r="F1489" s="20"/>
    </row>
    <row r="1490" spans="3:6" x14ac:dyDescent="0.25">
      <c r="C1490"/>
      <c r="D1490"/>
      <c r="F1490" s="20"/>
    </row>
    <row r="1491" spans="3:6" x14ac:dyDescent="0.25">
      <c r="C1491"/>
      <c r="D1491"/>
      <c r="F1491" s="20"/>
    </row>
    <row r="1492" spans="3:6" x14ac:dyDescent="0.25">
      <c r="C1492"/>
      <c r="D1492"/>
      <c r="F1492" s="20"/>
    </row>
    <row r="1493" spans="3:6" x14ac:dyDescent="0.25">
      <c r="C1493"/>
      <c r="D1493"/>
      <c r="F1493" s="20"/>
    </row>
    <row r="1494" spans="3:6" x14ac:dyDescent="0.25">
      <c r="C1494"/>
      <c r="D1494"/>
      <c r="F1494" s="20"/>
    </row>
    <row r="1495" spans="3:6" x14ac:dyDescent="0.25">
      <c r="C1495"/>
      <c r="D1495"/>
      <c r="F1495" s="20"/>
    </row>
    <row r="1496" spans="3:6" x14ac:dyDescent="0.25">
      <c r="C1496"/>
      <c r="D1496"/>
      <c r="F1496" s="20"/>
    </row>
    <row r="1497" spans="3:6" x14ac:dyDescent="0.25">
      <c r="C1497"/>
      <c r="D1497"/>
      <c r="F1497" s="20"/>
    </row>
    <row r="1498" spans="3:6" x14ac:dyDescent="0.25">
      <c r="C1498"/>
      <c r="D1498"/>
      <c r="F1498" s="20"/>
    </row>
    <row r="1499" spans="3:6" x14ac:dyDescent="0.25">
      <c r="C1499"/>
      <c r="D1499"/>
      <c r="F1499" s="20"/>
    </row>
    <row r="1500" spans="3:6" x14ac:dyDescent="0.25">
      <c r="C1500"/>
      <c r="D1500"/>
      <c r="F1500" s="20"/>
    </row>
    <row r="1501" spans="3:6" x14ac:dyDescent="0.25">
      <c r="C1501"/>
      <c r="D1501"/>
      <c r="F1501" s="20"/>
    </row>
    <row r="1502" spans="3:6" x14ac:dyDescent="0.25">
      <c r="C1502"/>
      <c r="D1502"/>
      <c r="F1502" s="20"/>
    </row>
    <row r="1503" spans="3:6" x14ac:dyDescent="0.25">
      <c r="C1503"/>
      <c r="D1503"/>
      <c r="F1503" s="20"/>
    </row>
    <row r="1504" spans="3:6" x14ac:dyDescent="0.25">
      <c r="C1504"/>
      <c r="D1504"/>
      <c r="F1504" s="20"/>
    </row>
    <row r="1505" spans="3:6" x14ac:dyDescent="0.25">
      <c r="C1505"/>
      <c r="D1505"/>
      <c r="F1505" s="20"/>
    </row>
    <row r="1506" spans="3:6" x14ac:dyDescent="0.25">
      <c r="C1506"/>
      <c r="D1506"/>
      <c r="F1506" s="20"/>
    </row>
    <row r="1507" spans="3:6" x14ac:dyDescent="0.25">
      <c r="C1507"/>
      <c r="D1507"/>
      <c r="F1507" s="20"/>
    </row>
    <row r="1508" spans="3:6" x14ac:dyDescent="0.25">
      <c r="C1508"/>
      <c r="D1508"/>
      <c r="F1508" s="20"/>
    </row>
    <row r="1509" spans="3:6" x14ac:dyDescent="0.25">
      <c r="C1509"/>
      <c r="D1509"/>
      <c r="F1509" s="20"/>
    </row>
    <row r="1510" spans="3:6" x14ac:dyDescent="0.25">
      <c r="C1510"/>
      <c r="D1510"/>
      <c r="F1510" s="20"/>
    </row>
    <row r="1511" spans="3:6" x14ac:dyDescent="0.25">
      <c r="C1511"/>
      <c r="D1511"/>
      <c r="F1511" s="20"/>
    </row>
    <row r="1512" spans="3:6" x14ac:dyDescent="0.25">
      <c r="C1512"/>
      <c r="D1512"/>
      <c r="F1512" s="20"/>
    </row>
    <row r="1513" spans="3:6" x14ac:dyDescent="0.25">
      <c r="C1513"/>
      <c r="D1513"/>
      <c r="F1513" s="20"/>
    </row>
    <row r="1514" spans="3:6" x14ac:dyDescent="0.25">
      <c r="C1514"/>
      <c r="D1514"/>
      <c r="F1514" s="20"/>
    </row>
    <row r="1515" spans="3:6" x14ac:dyDescent="0.25">
      <c r="C1515"/>
      <c r="D1515"/>
      <c r="F1515" s="20"/>
    </row>
    <row r="1516" spans="3:6" x14ac:dyDescent="0.25">
      <c r="C1516"/>
      <c r="D1516"/>
      <c r="F1516" s="20"/>
    </row>
    <row r="1517" spans="3:6" x14ac:dyDescent="0.25">
      <c r="C1517"/>
      <c r="D1517"/>
      <c r="F1517" s="20"/>
    </row>
    <row r="1518" spans="3:6" x14ac:dyDescent="0.25">
      <c r="C1518"/>
      <c r="D1518"/>
      <c r="F1518" s="20"/>
    </row>
    <row r="1519" spans="3:6" x14ac:dyDescent="0.25">
      <c r="C1519"/>
      <c r="D1519"/>
      <c r="F1519" s="20"/>
    </row>
    <row r="1520" spans="3:6" x14ac:dyDescent="0.25">
      <c r="C1520"/>
      <c r="D1520"/>
      <c r="F1520" s="20"/>
    </row>
    <row r="1521" spans="3:6" x14ac:dyDescent="0.25">
      <c r="C1521"/>
      <c r="D1521"/>
      <c r="F1521" s="20"/>
    </row>
    <row r="1522" spans="3:6" x14ac:dyDescent="0.25">
      <c r="C1522"/>
      <c r="D1522"/>
      <c r="F1522" s="20"/>
    </row>
    <row r="1523" spans="3:6" x14ac:dyDescent="0.25">
      <c r="C1523"/>
      <c r="D1523"/>
      <c r="F1523" s="20"/>
    </row>
    <row r="1524" spans="3:6" x14ac:dyDescent="0.25">
      <c r="C1524"/>
      <c r="D1524"/>
      <c r="F1524" s="20"/>
    </row>
    <row r="1525" spans="3:6" x14ac:dyDescent="0.25">
      <c r="C1525"/>
      <c r="D1525"/>
      <c r="F1525" s="20"/>
    </row>
    <row r="1526" spans="3:6" x14ac:dyDescent="0.25">
      <c r="C1526"/>
      <c r="D1526"/>
      <c r="F1526" s="20"/>
    </row>
    <row r="1527" spans="3:6" x14ac:dyDescent="0.25">
      <c r="C1527"/>
      <c r="D1527"/>
      <c r="F1527" s="20"/>
    </row>
    <row r="1528" spans="3:6" x14ac:dyDescent="0.25">
      <c r="C1528"/>
      <c r="D1528"/>
      <c r="F1528" s="20"/>
    </row>
    <row r="1529" spans="3:6" x14ac:dyDescent="0.25">
      <c r="C1529"/>
      <c r="D1529"/>
      <c r="F1529" s="20"/>
    </row>
    <row r="1530" spans="3:6" x14ac:dyDescent="0.25">
      <c r="C1530"/>
      <c r="D1530"/>
      <c r="F1530" s="20"/>
    </row>
    <row r="1531" spans="3:6" x14ac:dyDescent="0.25">
      <c r="C1531"/>
      <c r="D1531"/>
      <c r="F1531" s="20"/>
    </row>
    <row r="1532" spans="3:6" x14ac:dyDescent="0.25">
      <c r="C1532"/>
      <c r="D1532"/>
      <c r="F1532" s="20"/>
    </row>
    <row r="1533" spans="3:6" x14ac:dyDescent="0.25">
      <c r="C1533"/>
      <c r="D1533"/>
      <c r="F1533" s="20"/>
    </row>
    <row r="1534" spans="3:6" x14ac:dyDescent="0.25">
      <c r="C1534"/>
      <c r="D1534"/>
      <c r="F1534" s="20"/>
    </row>
    <row r="1535" spans="3:6" x14ac:dyDescent="0.25">
      <c r="C1535"/>
      <c r="D1535"/>
      <c r="F1535" s="20"/>
    </row>
    <row r="1536" spans="3:6" x14ac:dyDescent="0.25">
      <c r="C1536"/>
      <c r="D1536"/>
      <c r="F1536" s="20"/>
    </row>
    <row r="1537" spans="3:6" x14ac:dyDescent="0.25">
      <c r="C1537"/>
      <c r="D1537"/>
      <c r="F1537" s="20"/>
    </row>
    <row r="1538" spans="3:6" x14ac:dyDescent="0.25">
      <c r="C1538"/>
      <c r="D1538"/>
      <c r="F1538" s="20"/>
    </row>
    <row r="1539" spans="3:6" x14ac:dyDescent="0.25">
      <c r="C1539"/>
      <c r="D1539"/>
      <c r="F1539" s="20"/>
    </row>
    <row r="1540" spans="3:6" x14ac:dyDescent="0.25">
      <c r="C1540"/>
      <c r="D1540"/>
      <c r="F1540" s="20"/>
    </row>
    <row r="1541" spans="3:6" x14ac:dyDescent="0.25">
      <c r="C1541"/>
      <c r="D1541"/>
      <c r="F1541" s="20"/>
    </row>
    <row r="1542" spans="3:6" x14ac:dyDescent="0.25">
      <c r="C1542"/>
      <c r="D1542"/>
      <c r="F1542" s="20"/>
    </row>
    <row r="1543" spans="3:6" x14ac:dyDescent="0.25">
      <c r="C1543"/>
      <c r="D1543"/>
      <c r="F1543" s="20"/>
    </row>
    <row r="1544" spans="3:6" x14ac:dyDescent="0.25">
      <c r="C1544"/>
      <c r="D1544"/>
      <c r="F1544" s="20"/>
    </row>
    <row r="1545" spans="3:6" x14ac:dyDescent="0.25">
      <c r="C1545"/>
      <c r="D1545"/>
      <c r="F1545" s="20"/>
    </row>
    <row r="1546" spans="3:6" x14ac:dyDescent="0.25">
      <c r="C1546"/>
      <c r="D1546"/>
      <c r="F1546" s="20"/>
    </row>
    <row r="1547" spans="3:6" x14ac:dyDescent="0.25">
      <c r="C1547"/>
      <c r="D1547"/>
      <c r="F1547" s="20"/>
    </row>
    <row r="1548" spans="3:6" x14ac:dyDescent="0.25">
      <c r="C1548"/>
      <c r="D1548"/>
      <c r="F1548" s="20"/>
    </row>
    <row r="1549" spans="3:6" x14ac:dyDescent="0.25">
      <c r="C1549"/>
      <c r="D1549"/>
      <c r="F1549" s="20"/>
    </row>
    <row r="1550" spans="3:6" x14ac:dyDescent="0.25">
      <c r="C1550"/>
      <c r="D1550"/>
      <c r="F1550" s="20"/>
    </row>
    <row r="1551" spans="3:6" x14ac:dyDescent="0.25">
      <c r="C1551"/>
      <c r="D1551"/>
      <c r="F1551" s="20"/>
    </row>
    <row r="1552" spans="3:6" x14ac:dyDescent="0.25">
      <c r="C1552"/>
      <c r="D1552"/>
      <c r="F1552" s="20"/>
    </row>
    <row r="1553" spans="3:6" x14ac:dyDescent="0.25">
      <c r="C1553"/>
      <c r="D1553"/>
      <c r="F1553" s="20"/>
    </row>
    <row r="1554" spans="3:6" x14ac:dyDescent="0.25">
      <c r="C1554"/>
      <c r="D1554"/>
      <c r="F1554" s="20"/>
    </row>
    <row r="1555" spans="3:6" x14ac:dyDescent="0.25">
      <c r="C1555"/>
      <c r="D1555"/>
      <c r="F1555" s="20"/>
    </row>
    <row r="1556" spans="3:6" x14ac:dyDescent="0.25">
      <c r="C1556"/>
      <c r="D1556"/>
      <c r="F1556" s="20"/>
    </row>
    <row r="1557" spans="3:6" x14ac:dyDescent="0.25">
      <c r="C1557"/>
      <c r="D1557"/>
      <c r="F1557" s="20"/>
    </row>
    <row r="1558" spans="3:6" x14ac:dyDescent="0.25">
      <c r="C1558"/>
      <c r="D1558"/>
      <c r="F1558" s="20"/>
    </row>
    <row r="1559" spans="3:6" x14ac:dyDescent="0.25">
      <c r="C1559"/>
      <c r="D1559"/>
      <c r="F1559" s="20"/>
    </row>
    <row r="1560" spans="3:6" x14ac:dyDescent="0.25">
      <c r="C1560"/>
      <c r="D1560"/>
      <c r="F1560" s="20"/>
    </row>
    <row r="1561" spans="3:6" x14ac:dyDescent="0.25">
      <c r="C1561"/>
      <c r="D1561"/>
      <c r="F1561" s="20"/>
    </row>
    <row r="1562" spans="3:6" x14ac:dyDescent="0.25">
      <c r="C1562"/>
      <c r="D1562"/>
      <c r="F1562" s="20"/>
    </row>
    <row r="1563" spans="3:6" x14ac:dyDescent="0.25">
      <c r="C1563"/>
      <c r="D1563"/>
      <c r="F1563" s="20"/>
    </row>
    <row r="1564" spans="3:6" x14ac:dyDescent="0.25">
      <c r="C1564"/>
      <c r="D1564"/>
      <c r="F1564" s="20"/>
    </row>
    <row r="1565" spans="3:6" x14ac:dyDescent="0.25">
      <c r="C1565"/>
      <c r="D1565"/>
      <c r="F1565" s="20"/>
    </row>
    <row r="1566" spans="3:6" x14ac:dyDescent="0.25">
      <c r="C1566"/>
      <c r="D1566"/>
      <c r="F1566" s="20"/>
    </row>
    <row r="1567" spans="3:6" x14ac:dyDescent="0.25">
      <c r="C1567"/>
      <c r="D1567"/>
      <c r="F1567" s="20"/>
    </row>
    <row r="1568" spans="3:6" x14ac:dyDescent="0.25">
      <c r="C1568"/>
      <c r="D1568"/>
      <c r="F1568" s="20"/>
    </row>
    <row r="1569" spans="3:6" x14ac:dyDescent="0.25">
      <c r="C1569"/>
      <c r="D1569"/>
      <c r="F1569" s="20"/>
    </row>
    <row r="1570" spans="3:6" x14ac:dyDescent="0.25">
      <c r="C1570"/>
      <c r="D1570"/>
      <c r="F1570" s="20"/>
    </row>
    <row r="1571" spans="3:6" x14ac:dyDescent="0.25">
      <c r="C1571"/>
      <c r="D1571"/>
      <c r="F1571" s="20"/>
    </row>
    <row r="1572" spans="3:6" x14ac:dyDescent="0.25">
      <c r="C1572"/>
      <c r="D1572"/>
      <c r="F1572" s="20"/>
    </row>
    <row r="1573" spans="3:6" x14ac:dyDescent="0.25">
      <c r="C1573"/>
      <c r="D1573"/>
      <c r="F1573" s="20"/>
    </row>
    <row r="1574" spans="3:6" x14ac:dyDescent="0.25">
      <c r="C1574"/>
      <c r="D1574"/>
      <c r="F1574" s="20"/>
    </row>
    <row r="1575" spans="3:6" x14ac:dyDescent="0.25">
      <c r="C1575"/>
      <c r="D1575"/>
      <c r="F1575" s="20"/>
    </row>
    <row r="1576" spans="3:6" x14ac:dyDescent="0.25">
      <c r="C1576"/>
      <c r="D1576"/>
      <c r="F1576" s="20"/>
    </row>
    <row r="1577" spans="3:6" x14ac:dyDescent="0.25">
      <c r="C1577"/>
      <c r="D1577"/>
      <c r="F1577" s="20"/>
    </row>
    <row r="1578" spans="3:6" x14ac:dyDescent="0.25">
      <c r="C1578"/>
      <c r="D1578"/>
      <c r="F1578" s="20"/>
    </row>
    <row r="1579" spans="3:6" x14ac:dyDescent="0.25">
      <c r="C1579"/>
      <c r="D1579"/>
      <c r="F1579" s="20"/>
    </row>
    <row r="1580" spans="3:6" x14ac:dyDescent="0.25">
      <c r="C1580"/>
      <c r="D1580"/>
      <c r="F1580" s="20"/>
    </row>
    <row r="1581" spans="3:6" x14ac:dyDescent="0.25">
      <c r="C1581"/>
      <c r="D1581"/>
      <c r="F1581" s="20"/>
    </row>
    <row r="1582" spans="3:6" x14ac:dyDescent="0.25">
      <c r="C1582"/>
      <c r="D1582"/>
      <c r="F1582" s="20"/>
    </row>
    <row r="1583" spans="3:6" x14ac:dyDescent="0.25">
      <c r="C1583"/>
      <c r="D1583"/>
      <c r="F1583" s="20"/>
    </row>
    <row r="1584" spans="3:6" x14ac:dyDescent="0.25">
      <c r="C1584"/>
      <c r="D1584"/>
      <c r="F1584" s="20"/>
    </row>
    <row r="1585" spans="3:6" x14ac:dyDescent="0.25">
      <c r="C1585"/>
      <c r="D1585"/>
      <c r="F1585" s="20"/>
    </row>
    <row r="1586" spans="3:6" x14ac:dyDescent="0.25">
      <c r="C1586"/>
      <c r="D1586"/>
      <c r="F1586" s="20"/>
    </row>
    <row r="1587" spans="3:6" x14ac:dyDescent="0.25">
      <c r="C1587"/>
      <c r="D1587"/>
      <c r="F1587" s="20"/>
    </row>
    <row r="1588" spans="3:6" x14ac:dyDescent="0.25">
      <c r="C1588"/>
      <c r="D1588"/>
      <c r="F1588" s="20"/>
    </row>
    <row r="1589" spans="3:6" x14ac:dyDescent="0.25">
      <c r="C1589"/>
      <c r="D1589"/>
      <c r="F1589" s="20"/>
    </row>
    <row r="1590" spans="3:6" x14ac:dyDescent="0.25">
      <c r="C1590"/>
      <c r="D1590"/>
      <c r="F1590" s="20"/>
    </row>
    <row r="1591" spans="3:6" x14ac:dyDescent="0.25">
      <c r="C1591"/>
      <c r="D1591"/>
      <c r="F1591" s="20"/>
    </row>
    <row r="1592" spans="3:6" x14ac:dyDescent="0.25">
      <c r="C1592"/>
      <c r="D1592"/>
      <c r="F1592" s="20"/>
    </row>
    <row r="1593" spans="3:6" x14ac:dyDescent="0.25">
      <c r="C1593"/>
      <c r="D1593"/>
      <c r="F1593" s="20"/>
    </row>
    <row r="1594" spans="3:6" x14ac:dyDescent="0.25">
      <c r="C1594"/>
      <c r="D1594"/>
      <c r="F1594" s="20"/>
    </row>
    <row r="1595" spans="3:6" x14ac:dyDescent="0.25">
      <c r="C1595"/>
      <c r="D1595"/>
      <c r="F1595" s="20"/>
    </row>
    <row r="1596" spans="3:6" x14ac:dyDescent="0.25">
      <c r="C1596"/>
      <c r="D1596"/>
      <c r="F1596" s="20"/>
    </row>
    <row r="1597" spans="3:6" x14ac:dyDescent="0.25">
      <c r="C1597"/>
      <c r="D1597"/>
      <c r="F1597" s="20"/>
    </row>
    <row r="1598" spans="3:6" x14ac:dyDescent="0.25">
      <c r="C1598"/>
      <c r="D1598"/>
      <c r="F1598" s="20"/>
    </row>
    <row r="1599" spans="3:6" x14ac:dyDescent="0.25">
      <c r="C1599"/>
      <c r="D1599"/>
      <c r="F1599" s="20"/>
    </row>
    <row r="1600" spans="3:6" x14ac:dyDescent="0.25">
      <c r="C1600"/>
      <c r="D1600"/>
      <c r="F1600" s="20"/>
    </row>
    <row r="1601" spans="3:6" x14ac:dyDescent="0.25">
      <c r="C1601"/>
      <c r="D1601"/>
      <c r="F1601" s="20"/>
    </row>
    <row r="1602" spans="3:6" x14ac:dyDescent="0.25">
      <c r="C1602"/>
      <c r="D1602"/>
      <c r="F1602" s="20"/>
    </row>
    <row r="1603" spans="3:6" x14ac:dyDescent="0.25">
      <c r="C1603"/>
      <c r="D1603"/>
      <c r="F1603" s="20"/>
    </row>
    <row r="1604" spans="3:6" x14ac:dyDescent="0.25">
      <c r="C1604"/>
      <c r="D1604"/>
      <c r="F1604" s="20"/>
    </row>
    <row r="1605" spans="3:6" x14ac:dyDescent="0.25">
      <c r="C1605"/>
      <c r="D1605"/>
      <c r="F1605" s="20"/>
    </row>
    <row r="1606" spans="3:6" x14ac:dyDescent="0.25">
      <c r="C1606"/>
      <c r="D1606"/>
      <c r="F1606" s="20"/>
    </row>
    <row r="1607" spans="3:6" x14ac:dyDescent="0.25">
      <c r="C1607"/>
      <c r="D1607"/>
      <c r="F1607" s="20"/>
    </row>
    <row r="1608" spans="3:6" x14ac:dyDescent="0.25">
      <c r="C1608"/>
      <c r="D1608"/>
      <c r="F1608" s="20"/>
    </row>
    <row r="1609" spans="3:6" x14ac:dyDescent="0.25">
      <c r="C1609"/>
      <c r="D1609"/>
      <c r="F1609" s="20"/>
    </row>
    <row r="1610" spans="3:6" x14ac:dyDescent="0.25">
      <c r="C1610"/>
      <c r="D1610"/>
      <c r="F1610" s="20"/>
    </row>
    <row r="1611" spans="3:6" x14ac:dyDescent="0.25">
      <c r="C1611"/>
      <c r="D1611"/>
      <c r="F1611" s="20"/>
    </row>
    <row r="1612" spans="3:6" x14ac:dyDescent="0.25">
      <c r="C1612"/>
      <c r="D1612"/>
      <c r="F1612" s="20"/>
    </row>
    <row r="1613" spans="3:6" x14ac:dyDescent="0.25">
      <c r="C1613"/>
      <c r="D1613"/>
      <c r="F1613" s="20"/>
    </row>
    <row r="1614" spans="3:6" x14ac:dyDescent="0.25">
      <c r="C1614"/>
      <c r="D1614"/>
      <c r="F1614" s="20"/>
    </row>
    <row r="1615" spans="3:6" x14ac:dyDescent="0.25">
      <c r="C1615"/>
      <c r="D1615"/>
      <c r="F1615" s="20"/>
    </row>
    <row r="1616" spans="3:6" x14ac:dyDescent="0.25">
      <c r="C1616"/>
      <c r="D1616"/>
      <c r="F1616" s="20"/>
    </row>
    <row r="1617" spans="3:6" x14ac:dyDescent="0.25">
      <c r="C1617"/>
      <c r="D1617"/>
      <c r="F1617" s="20"/>
    </row>
    <row r="1618" spans="3:6" x14ac:dyDescent="0.25">
      <c r="C1618"/>
      <c r="D1618"/>
      <c r="F1618" s="20"/>
    </row>
    <row r="1619" spans="3:6" x14ac:dyDescent="0.25">
      <c r="C1619"/>
      <c r="D1619"/>
      <c r="F1619" s="20"/>
    </row>
    <row r="1620" spans="3:6" x14ac:dyDescent="0.25">
      <c r="C1620"/>
      <c r="D1620"/>
      <c r="F1620" s="20"/>
    </row>
    <row r="1621" spans="3:6" x14ac:dyDescent="0.25">
      <c r="C1621"/>
      <c r="D1621"/>
      <c r="F1621" s="20"/>
    </row>
    <row r="1622" spans="3:6" x14ac:dyDescent="0.25">
      <c r="C1622"/>
      <c r="D1622"/>
      <c r="F1622" s="20"/>
    </row>
    <row r="1623" spans="3:6" x14ac:dyDescent="0.25">
      <c r="C1623"/>
      <c r="D1623"/>
      <c r="F1623" s="20"/>
    </row>
    <row r="1624" spans="3:6" x14ac:dyDescent="0.25">
      <c r="C1624"/>
      <c r="D1624"/>
      <c r="F1624" s="20"/>
    </row>
    <row r="1625" spans="3:6" x14ac:dyDescent="0.25">
      <c r="C1625"/>
      <c r="D1625"/>
      <c r="F1625" s="20"/>
    </row>
    <row r="1626" spans="3:6" x14ac:dyDescent="0.25">
      <c r="C1626"/>
      <c r="D1626"/>
      <c r="F1626" s="20"/>
    </row>
    <row r="1627" spans="3:6" x14ac:dyDescent="0.25">
      <c r="C1627"/>
      <c r="D1627"/>
      <c r="F1627" s="20"/>
    </row>
    <row r="1628" spans="3:6" x14ac:dyDescent="0.25">
      <c r="C1628"/>
      <c r="D1628"/>
      <c r="F1628" s="20"/>
    </row>
    <row r="1629" spans="3:6" x14ac:dyDescent="0.25">
      <c r="C1629"/>
      <c r="D1629"/>
      <c r="F1629" s="20"/>
    </row>
    <row r="1630" spans="3:6" x14ac:dyDescent="0.25">
      <c r="C1630"/>
      <c r="D1630"/>
      <c r="F1630" s="20"/>
    </row>
    <row r="1631" spans="3:6" x14ac:dyDescent="0.25">
      <c r="C1631"/>
      <c r="D1631"/>
      <c r="F1631" s="20"/>
    </row>
    <row r="1632" spans="3:6" x14ac:dyDescent="0.25">
      <c r="C1632"/>
      <c r="D1632"/>
      <c r="F1632" s="20"/>
    </row>
    <row r="1633" spans="3:6" x14ac:dyDescent="0.25">
      <c r="C1633"/>
      <c r="D1633"/>
      <c r="F1633" s="20"/>
    </row>
    <row r="1634" spans="3:6" x14ac:dyDescent="0.25">
      <c r="C1634"/>
      <c r="D1634"/>
      <c r="F1634" s="20"/>
    </row>
    <row r="1635" spans="3:6" x14ac:dyDescent="0.25">
      <c r="C1635"/>
      <c r="D1635"/>
      <c r="F1635" s="20"/>
    </row>
    <row r="1636" spans="3:6" x14ac:dyDescent="0.25">
      <c r="C1636"/>
      <c r="D1636"/>
      <c r="F1636" s="20"/>
    </row>
    <row r="1637" spans="3:6" x14ac:dyDescent="0.25">
      <c r="C1637"/>
      <c r="D1637"/>
      <c r="F1637" s="20"/>
    </row>
    <row r="1638" spans="3:6" x14ac:dyDescent="0.25">
      <c r="C1638"/>
      <c r="D1638"/>
      <c r="F1638" s="20"/>
    </row>
    <row r="1639" spans="3:6" x14ac:dyDescent="0.25">
      <c r="C1639"/>
      <c r="D1639"/>
      <c r="F1639" s="20"/>
    </row>
    <row r="1640" spans="3:6" x14ac:dyDescent="0.25">
      <c r="C1640"/>
      <c r="D1640"/>
      <c r="F1640" s="20"/>
    </row>
    <row r="1641" spans="3:6" x14ac:dyDescent="0.25">
      <c r="C1641"/>
      <c r="D1641"/>
      <c r="F1641" s="20"/>
    </row>
    <row r="1642" spans="3:6" x14ac:dyDescent="0.25">
      <c r="C1642"/>
      <c r="D1642"/>
      <c r="F1642" s="20"/>
    </row>
    <row r="1643" spans="3:6" x14ac:dyDescent="0.25">
      <c r="C1643"/>
      <c r="D1643"/>
      <c r="F1643" s="20"/>
    </row>
    <row r="1644" spans="3:6" x14ac:dyDescent="0.25">
      <c r="C1644"/>
      <c r="D1644"/>
      <c r="F1644" s="20"/>
    </row>
    <row r="1645" spans="3:6" x14ac:dyDescent="0.25">
      <c r="C1645"/>
      <c r="D1645"/>
      <c r="F1645" s="20"/>
    </row>
    <row r="1646" spans="3:6" x14ac:dyDescent="0.25">
      <c r="C1646"/>
      <c r="D1646"/>
      <c r="F1646" s="20"/>
    </row>
    <row r="1647" spans="3:6" x14ac:dyDescent="0.25">
      <c r="C1647"/>
      <c r="D1647"/>
      <c r="F1647" s="20"/>
    </row>
    <row r="1648" spans="3:6" x14ac:dyDescent="0.25">
      <c r="C1648"/>
      <c r="D1648"/>
      <c r="F1648" s="20"/>
    </row>
    <row r="1649" spans="3:6" x14ac:dyDescent="0.25">
      <c r="C1649"/>
      <c r="D1649"/>
      <c r="F1649" s="20"/>
    </row>
    <row r="1650" spans="3:6" x14ac:dyDescent="0.25">
      <c r="C1650"/>
      <c r="D1650"/>
      <c r="F1650" s="20"/>
    </row>
    <row r="1651" spans="3:6" x14ac:dyDescent="0.25">
      <c r="C1651"/>
      <c r="D1651"/>
      <c r="F1651" s="20"/>
    </row>
    <row r="1652" spans="3:6" x14ac:dyDescent="0.25">
      <c r="C1652"/>
      <c r="D1652"/>
      <c r="F1652" s="20"/>
    </row>
    <row r="1653" spans="3:6" x14ac:dyDescent="0.25">
      <c r="C1653"/>
      <c r="D1653"/>
      <c r="F1653" s="20"/>
    </row>
    <row r="1654" spans="3:6" x14ac:dyDescent="0.25">
      <c r="C1654"/>
      <c r="D1654"/>
      <c r="F1654" s="20"/>
    </row>
    <row r="1655" spans="3:6" x14ac:dyDescent="0.25">
      <c r="C1655"/>
      <c r="D1655"/>
      <c r="F1655" s="20"/>
    </row>
    <row r="1656" spans="3:6" x14ac:dyDescent="0.25">
      <c r="C1656"/>
      <c r="D1656"/>
      <c r="F1656" s="20"/>
    </row>
    <row r="1657" spans="3:6" x14ac:dyDescent="0.25">
      <c r="C1657"/>
      <c r="D1657"/>
      <c r="F1657" s="20"/>
    </row>
    <row r="1658" spans="3:6" x14ac:dyDescent="0.25">
      <c r="C1658"/>
      <c r="D1658"/>
      <c r="F1658" s="20"/>
    </row>
    <row r="1659" spans="3:6" x14ac:dyDescent="0.25">
      <c r="C1659"/>
      <c r="D1659"/>
      <c r="F1659" s="20"/>
    </row>
    <row r="1660" spans="3:6" x14ac:dyDescent="0.25">
      <c r="C1660"/>
      <c r="D1660"/>
      <c r="F1660" s="20"/>
    </row>
    <row r="1661" spans="3:6" x14ac:dyDescent="0.25">
      <c r="C1661"/>
      <c r="D1661"/>
      <c r="F1661" s="20"/>
    </row>
    <row r="1662" spans="3:6" x14ac:dyDescent="0.25">
      <c r="C1662"/>
      <c r="D1662"/>
      <c r="F1662" s="20"/>
    </row>
    <row r="1663" spans="3:6" x14ac:dyDescent="0.25">
      <c r="C1663"/>
      <c r="D1663"/>
      <c r="F1663" s="20"/>
    </row>
    <row r="1664" spans="3:6" x14ac:dyDescent="0.25">
      <c r="C1664"/>
      <c r="D1664"/>
      <c r="F1664" s="20"/>
    </row>
    <row r="1665" spans="3:6" x14ac:dyDescent="0.25">
      <c r="C1665"/>
      <c r="D1665"/>
      <c r="F1665" s="20"/>
    </row>
    <row r="1666" spans="3:6" x14ac:dyDescent="0.25">
      <c r="C1666"/>
      <c r="D1666"/>
      <c r="F1666" s="20"/>
    </row>
    <row r="1667" spans="3:6" x14ac:dyDescent="0.25">
      <c r="C1667"/>
      <c r="D1667"/>
      <c r="F1667" s="20"/>
    </row>
    <row r="1668" spans="3:6" x14ac:dyDescent="0.25">
      <c r="C1668"/>
      <c r="D1668"/>
      <c r="F1668" s="20"/>
    </row>
    <row r="1669" spans="3:6" x14ac:dyDescent="0.25">
      <c r="C1669"/>
      <c r="D1669"/>
      <c r="F1669" s="20"/>
    </row>
    <row r="1670" spans="3:6" x14ac:dyDescent="0.25">
      <c r="C1670"/>
      <c r="D1670"/>
      <c r="F1670" s="20"/>
    </row>
    <row r="1671" spans="3:6" x14ac:dyDescent="0.25">
      <c r="C1671"/>
      <c r="D1671"/>
      <c r="F1671" s="20"/>
    </row>
    <row r="1672" spans="3:6" x14ac:dyDescent="0.25">
      <c r="C1672"/>
      <c r="D1672"/>
      <c r="F1672" s="20"/>
    </row>
    <row r="1673" spans="3:6" x14ac:dyDescent="0.25">
      <c r="C1673"/>
      <c r="D1673"/>
      <c r="F1673" s="20"/>
    </row>
    <row r="1674" spans="3:6" x14ac:dyDescent="0.25">
      <c r="C1674"/>
      <c r="D1674"/>
      <c r="F1674" s="20"/>
    </row>
    <row r="1675" spans="3:6" x14ac:dyDescent="0.25">
      <c r="C1675"/>
      <c r="D1675"/>
      <c r="F1675" s="20"/>
    </row>
    <row r="1676" spans="3:6" x14ac:dyDescent="0.25">
      <c r="C1676"/>
      <c r="D1676"/>
      <c r="F1676" s="20"/>
    </row>
    <row r="1677" spans="3:6" x14ac:dyDescent="0.25">
      <c r="C1677"/>
      <c r="D1677"/>
      <c r="F1677" s="20"/>
    </row>
    <row r="1678" spans="3:6" x14ac:dyDescent="0.25">
      <c r="C1678"/>
      <c r="D1678"/>
      <c r="F1678" s="20"/>
    </row>
    <row r="1679" spans="3:6" x14ac:dyDescent="0.25">
      <c r="C1679"/>
      <c r="D1679"/>
      <c r="F1679" s="20"/>
    </row>
    <row r="1680" spans="3:6" x14ac:dyDescent="0.25">
      <c r="C1680"/>
      <c r="D1680"/>
      <c r="F1680" s="20"/>
    </row>
    <row r="1681" spans="3:6" x14ac:dyDescent="0.25">
      <c r="C1681"/>
      <c r="D1681"/>
      <c r="F1681" s="20"/>
    </row>
    <row r="1682" spans="3:6" x14ac:dyDescent="0.25">
      <c r="C1682"/>
      <c r="D1682"/>
      <c r="F1682" s="20"/>
    </row>
    <row r="1683" spans="3:6" x14ac:dyDescent="0.25">
      <c r="C1683"/>
      <c r="D1683"/>
      <c r="F1683" s="20"/>
    </row>
    <row r="1684" spans="3:6" x14ac:dyDescent="0.25">
      <c r="C1684"/>
      <c r="D1684"/>
      <c r="F1684" s="20"/>
    </row>
    <row r="1685" spans="3:6" x14ac:dyDescent="0.25">
      <c r="C1685"/>
      <c r="D1685"/>
      <c r="F1685" s="20"/>
    </row>
    <row r="1686" spans="3:6" x14ac:dyDescent="0.25">
      <c r="C1686"/>
      <c r="D1686"/>
      <c r="F1686" s="20"/>
    </row>
    <row r="1687" spans="3:6" x14ac:dyDescent="0.25">
      <c r="C1687"/>
      <c r="D1687"/>
      <c r="F1687" s="20"/>
    </row>
    <row r="1688" spans="3:6" x14ac:dyDescent="0.25">
      <c r="C1688"/>
      <c r="D1688"/>
      <c r="F1688" s="20"/>
    </row>
    <row r="1689" spans="3:6" x14ac:dyDescent="0.25">
      <c r="C1689"/>
      <c r="D1689"/>
      <c r="F1689" s="20"/>
    </row>
    <row r="1690" spans="3:6" x14ac:dyDescent="0.25">
      <c r="C1690"/>
      <c r="D1690"/>
      <c r="F1690" s="20"/>
    </row>
    <row r="1691" spans="3:6" x14ac:dyDescent="0.25">
      <c r="C1691"/>
      <c r="D1691"/>
      <c r="F1691" s="20"/>
    </row>
    <row r="1692" spans="3:6" x14ac:dyDescent="0.25">
      <c r="C1692"/>
      <c r="D1692"/>
      <c r="F1692" s="20"/>
    </row>
    <row r="1693" spans="3:6" x14ac:dyDescent="0.25">
      <c r="C1693"/>
      <c r="D1693"/>
      <c r="F1693" s="20"/>
    </row>
    <row r="1694" spans="3:6" x14ac:dyDescent="0.25">
      <c r="C1694"/>
      <c r="D1694"/>
      <c r="F1694" s="20"/>
    </row>
    <row r="1695" spans="3:6" x14ac:dyDescent="0.25">
      <c r="C1695"/>
      <c r="D1695"/>
      <c r="F1695" s="20"/>
    </row>
    <row r="1696" spans="3:6" x14ac:dyDescent="0.25">
      <c r="C1696"/>
      <c r="D1696"/>
      <c r="F1696" s="20"/>
    </row>
    <row r="1697" spans="3:6" x14ac:dyDescent="0.25">
      <c r="C1697"/>
      <c r="D1697"/>
      <c r="F1697" s="20"/>
    </row>
    <row r="1698" spans="3:6" x14ac:dyDescent="0.25">
      <c r="C1698"/>
      <c r="D1698"/>
      <c r="F1698" s="20"/>
    </row>
    <row r="1699" spans="3:6" x14ac:dyDescent="0.25">
      <c r="C1699"/>
      <c r="D1699"/>
      <c r="F1699" s="20"/>
    </row>
    <row r="1700" spans="3:6" x14ac:dyDescent="0.25">
      <c r="C1700"/>
      <c r="D1700"/>
      <c r="F1700" s="20"/>
    </row>
    <row r="1701" spans="3:6" x14ac:dyDescent="0.25">
      <c r="C1701"/>
      <c r="D1701"/>
      <c r="F1701" s="20"/>
    </row>
    <row r="1702" spans="3:6" x14ac:dyDescent="0.25">
      <c r="C1702"/>
      <c r="D1702"/>
      <c r="F1702" s="20"/>
    </row>
    <row r="1703" spans="3:6" x14ac:dyDescent="0.25">
      <c r="C1703"/>
      <c r="D1703"/>
      <c r="F1703" s="20"/>
    </row>
    <row r="1704" spans="3:6" x14ac:dyDescent="0.25">
      <c r="C1704"/>
      <c r="D1704"/>
      <c r="F1704" s="20"/>
    </row>
    <row r="1705" spans="3:6" x14ac:dyDescent="0.25">
      <c r="C1705"/>
      <c r="D1705"/>
      <c r="F1705" s="20"/>
    </row>
    <row r="1706" spans="3:6" x14ac:dyDescent="0.25">
      <c r="C1706"/>
      <c r="D1706"/>
      <c r="F1706" s="20"/>
    </row>
    <row r="1707" spans="3:6" x14ac:dyDescent="0.25">
      <c r="C1707"/>
      <c r="D1707"/>
      <c r="F1707" s="20"/>
    </row>
    <row r="1708" spans="3:6" x14ac:dyDescent="0.25">
      <c r="C1708"/>
      <c r="D1708"/>
      <c r="F1708" s="20"/>
    </row>
    <row r="1709" spans="3:6" x14ac:dyDescent="0.25">
      <c r="C1709"/>
      <c r="D1709"/>
      <c r="F1709" s="20"/>
    </row>
    <row r="1710" spans="3:6" x14ac:dyDescent="0.25">
      <c r="C1710"/>
      <c r="D1710"/>
      <c r="F1710" s="20"/>
    </row>
    <row r="1711" spans="3:6" x14ac:dyDescent="0.25">
      <c r="C1711"/>
      <c r="D1711"/>
      <c r="F1711" s="20"/>
    </row>
    <row r="1712" spans="3:6" x14ac:dyDescent="0.25">
      <c r="C1712"/>
      <c r="D1712"/>
      <c r="F1712" s="20"/>
    </row>
    <row r="1713" spans="3:6" x14ac:dyDescent="0.25">
      <c r="C1713"/>
      <c r="D1713"/>
      <c r="F1713" s="20"/>
    </row>
    <row r="1714" spans="3:6" x14ac:dyDescent="0.25">
      <c r="C1714"/>
      <c r="D1714"/>
      <c r="F1714" s="20"/>
    </row>
    <row r="1715" spans="3:6" x14ac:dyDescent="0.25">
      <c r="C1715"/>
      <c r="D1715"/>
      <c r="F1715" s="20"/>
    </row>
    <row r="1716" spans="3:6" x14ac:dyDescent="0.25">
      <c r="C1716"/>
      <c r="D1716"/>
      <c r="F1716" s="20"/>
    </row>
    <row r="1717" spans="3:6" x14ac:dyDescent="0.25">
      <c r="C1717"/>
      <c r="D1717"/>
      <c r="F1717" s="20"/>
    </row>
    <row r="1718" spans="3:6" x14ac:dyDescent="0.25">
      <c r="C1718"/>
      <c r="D1718"/>
      <c r="F1718" s="20"/>
    </row>
    <row r="1719" spans="3:6" x14ac:dyDescent="0.25">
      <c r="C1719"/>
      <c r="D1719"/>
      <c r="F1719" s="20"/>
    </row>
    <row r="1720" spans="3:6" x14ac:dyDescent="0.25">
      <c r="C1720"/>
      <c r="D1720"/>
      <c r="F1720" s="20"/>
    </row>
    <row r="1721" spans="3:6" x14ac:dyDescent="0.25">
      <c r="C1721"/>
      <c r="D1721"/>
      <c r="F1721" s="20"/>
    </row>
    <row r="1722" spans="3:6" x14ac:dyDescent="0.25">
      <c r="C1722"/>
      <c r="D1722"/>
      <c r="F1722" s="20"/>
    </row>
    <row r="1723" spans="3:6" x14ac:dyDescent="0.25">
      <c r="C1723"/>
      <c r="D1723"/>
      <c r="F1723" s="20"/>
    </row>
    <row r="1724" spans="3:6" x14ac:dyDescent="0.25">
      <c r="C1724"/>
      <c r="D1724"/>
      <c r="F1724" s="20"/>
    </row>
    <row r="1725" spans="3:6" x14ac:dyDescent="0.25">
      <c r="C1725"/>
      <c r="D1725"/>
      <c r="F1725" s="20"/>
    </row>
    <row r="1726" spans="3:6" x14ac:dyDescent="0.25">
      <c r="C1726"/>
      <c r="D1726"/>
      <c r="F1726" s="20"/>
    </row>
    <row r="1727" spans="3:6" x14ac:dyDescent="0.25">
      <c r="C1727"/>
      <c r="D1727"/>
      <c r="F1727" s="20"/>
    </row>
    <row r="1728" spans="3:6" x14ac:dyDescent="0.25">
      <c r="C1728"/>
      <c r="D1728"/>
      <c r="F1728" s="20"/>
    </row>
    <row r="1729" spans="3:6" x14ac:dyDescent="0.25">
      <c r="C1729"/>
      <c r="D1729"/>
      <c r="F1729" s="20"/>
    </row>
    <row r="1730" spans="3:6" x14ac:dyDescent="0.25">
      <c r="C1730"/>
      <c r="D1730"/>
      <c r="F1730" s="20"/>
    </row>
    <row r="1731" spans="3:6" x14ac:dyDescent="0.25">
      <c r="C1731"/>
      <c r="D1731"/>
      <c r="F1731" s="20"/>
    </row>
    <row r="1732" spans="3:6" x14ac:dyDescent="0.25">
      <c r="C1732"/>
      <c r="D1732"/>
      <c r="F1732" s="20"/>
    </row>
    <row r="1733" spans="3:6" x14ac:dyDescent="0.25">
      <c r="C1733"/>
      <c r="D1733"/>
      <c r="F1733" s="20"/>
    </row>
    <row r="1734" spans="3:6" x14ac:dyDescent="0.25">
      <c r="C1734"/>
      <c r="D1734"/>
      <c r="F1734" s="20"/>
    </row>
    <row r="1735" spans="3:6" x14ac:dyDescent="0.25">
      <c r="C1735"/>
      <c r="D1735"/>
      <c r="F1735" s="20"/>
    </row>
    <row r="1736" spans="3:6" x14ac:dyDescent="0.25">
      <c r="C1736"/>
      <c r="D1736"/>
      <c r="F1736" s="20"/>
    </row>
    <row r="1737" spans="3:6" x14ac:dyDescent="0.25">
      <c r="C1737"/>
      <c r="D1737"/>
      <c r="F1737" s="20"/>
    </row>
    <row r="1738" spans="3:6" x14ac:dyDescent="0.25">
      <c r="C1738"/>
      <c r="D1738"/>
      <c r="F1738" s="20"/>
    </row>
    <row r="1739" spans="3:6" x14ac:dyDescent="0.25">
      <c r="C1739"/>
      <c r="D1739"/>
      <c r="F1739" s="20"/>
    </row>
    <row r="1740" spans="3:6" x14ac:dyDescent="0.25">
      <c r="C1740"/>
      <c r="D1740"/>
      <c r="F1740" s="20"/>
    </row>
    <row r="1741" spans="3:6" x14ac:dyDescent="0.25">
      <c r="C1741"/>
      <c r="D1741"/>
      <c r="F1741" s="20"/>
    </row>
    <row r="1742" spans="3:6" x14ac:dyDescent="0.25">
      <c r="C1742"/>
      <c r="D1742"/>
      <c r="F1742" s="20"/>
    </row>
    <row r="1743" spans="3:6" x14ac:dyDescent="0.25">
      <c r="C1743"/>
      <c r="D1743"/>
      <c r="F1743" s="20"/>
    </row>
    <row r="1744" spans="3:6" x14ac:dyDescent="0.25">
      <c r="C1744"/>
      <c r="D1744"/>
      <c r="F1744" s="20"/>
    </row>
    <row r="1745" spans="3:6" x14ac:dyDescent="0.25">
      <c r="C1745"/>
      <c r="D1745"/>
      <c r="F1745" s="20"/>
    </row>
    <row r="1746" spans="3:6" x14ac:dyDescent="0.25">
      <c r="C1746"/>
      <c r="D1746"/>
      <c r="F1746" s="20"/>
    </row>
    <row r="1747" spans="3:6" x14ac:dyDescent="0.25">
      <c r="C1747"/>
      <c r="D1747"/>
      <c r="F1747" s="20"/>
    </row>
    <row r="1748" spans="3:6" x14ac:dyDescent="0.25">
      <c r="C1748"/>
      <c r="D1748"/>
      <c r="F1748" s="20"/>
    </row>
    <row r="1749" spans="3:6" x14ac:dyDescent="0.25">
      <c r="C1749"/>
      <c r="D1749"/>
      <c r="F1749" s="20"/>
    </row>
    <row r="1750" spans="3:6" x14ac:dyDescent="0.25">
      <c r="C1750"/>
      <c r="D1750"/>
      <c r="F1750" s="20"/>
    </row>
    <row r="1751" spans="3:6" x14ac:dyDescent="0.25">
      <c r="C1751"/>
      <c r="D1751"/>
      <c r="F1751" s="20"/>
    </row>
    <row r="1752" spans="3:6" x14ac:dyDescent="0.25">
      <c r="C1752"/>
      <c r="D1752"/>
      <c r="F1752" s="20"/>
    </row>
    <row r="1753" spans="3:6" x14ac:dyDescent="0.25">
      <c r="C1753"/>
      <c r="D1753"/>
      <c r="F1753" s="20"/>
    </row>
    <row r="1754" spans="3:6" x14ac:dyDescent="0.25">
      <c r="C1754"/>
      <c r="D1754"/>
      <c r="F1754" s="20"/>
    </row>
    <row r="1755" spans="3:6" x14ac:dyDescent="0.25">
      <c r="C1755"/>
      <c r="D1755"/>
      <c r="F1755" s="20"/>
    </row>
    <row r="1756" spans="3:6" x14ac:dyDescent="0.25">
      <c r="C1756"/>
      <c r="D1756"/>
      <c r="F1756" s="20"/>
    </row>
    <row r="1757" spans="3:6" x14ac:dyDescent="0.25">
      <c r="C1757"/>
      <c r="D1757"/>
      <c r="F1757" s="20"/>
    </row>
    <row r="1758" spans="3:6" x14ac:dyDescent="0.25">
      <c r="C1758"/>
      <c r="D1758"/>
      <c r="F1758" s="20"/>
    </row>
    <row r="1759" spans="3:6" x14ac:dyDescent="0.25">
      <c r="C1759"/>
      <c r="D1759"/>
      <c r="F1759" s="20"/>
    </row>
    <row r="1760" spans="3:6" x14ac:dyDescent="0.25">
      <c r="C1760"/>
      <c r="D1760"/>
      <c r="F1760" s="20"/>
    </row>
    <row r="1761" spans="3:6" x14ac:dyDescent="0.25">
      <c r="C1761"/>
      <c r="D1761"/>
      <c r="F1761" s="20"/>
    </row>
    <row r="1762" spans="3:6" x14ac:dyDescent="0.25">
      <c r="C1762"/>
      <c r="D1762"/>
      <c r="F1762" s="20"/>
    </row>
    <row r="1763" spans="3:6" x14ac:dyDescent="0.25">
      <c r="C1763"/>
      <c r="D1763"/>
      <c r="F1763" s="20"/>
    </row>
    <row r="1764" spans="3:6" x14ac:dyDescent="0.25">
      <c r="C1764"/>
      <c r="D1764"/>
      <c r="F1764" s="20"/>
    </row>
    <row r="1765" spans="3:6" x14ac:dyDescent="0.25">
      <c r="C1765"/>
      <c r="D1765"/>
      <c r="F1765" s="20"/>
    </row>
    <row r="1766" spans="3:6" x14ac:dyDescent="0.25">
      <c r="C1766"/>
      <c r="D1766"/>
      <c r="F1766" s="20"/>
    </row>
    <row r="1767" spans="3:6" x14ac:dyDescent="0.25">
      <c r="C1767"/>
      <c r="D1767"/>
      <c r="F1767" s="20"/>
    </row>
    <row r="1768" spans="3:6" x14ac:dyDescent="0.25">
      <c r="C1768"/>
      <c r="D1768"/>
      <c r="F1768" s="20"/>
    </row>
    <row r="1769" spans="3:6" x14ac:dyDescent="0.25">
      <c r="C1769"/>
      <c r="D1769"/>
      <c r="F1769" s="20"/>
    </row>
    <row r="1770" spans="3:6" x14ac:dyDescent="0.25">
      <c r="C1770"/>
      <c r="D1770"/>
      <c r="F1770" s="20"/>
    </row>
    <row r="1771" spans="3:6" x14ac:dyDescent="0.25">
      <c r="C1771"/>
      <c r="D1771"/>
      <c r="F1771" s="20"/>
    </row>
    <row r="1772" spans="3:6" x14ac:dyDescent="0.25">
      <c r="C1772"/>
      <c r="D1772"/>
      <c r="F1772" s="20"/>
    </row>
    <row r="1773" spans="3:6" x14ac:dyDescent="0.25">
      <c r="C1773"/>
      <c r="D1773"/>
      <c r="F1773" s="20"/>
    </row>
    <row r="1774" spans="3:6" x14ac:dyDescent="0.25">
      <c r="C1774"/>
      <c r="D1774"/>
      <c r="F1774" s="20"/>
    </row>
    <row r="1775" spans="3:6" x14ac:dyDescent="0.25">
      <c r="C1775"/>
      <c r="D1775"/>
      <c r="F1775" s="20"/>
    </row>
    <row r="1776" spans="3:6" x14ac:dyDescent="0.25">
      <c r="C1776"/>
      <c r="D1776"/>
      <c r="F1776" s="20"/>
    </row>
    <row r="1777" spans="3:6" x14ac:dyDescent="0.25">
      <c r="C1777"/>
      <c r="D1777"/>
      <c r="F1777" s="20"/>
    </row>
    <row r="1778" spans="3:6" x14ac:dyDescent="0.25">
      <c r="C1778"/>
      <c r="D1778"/>
      <c r="F1778" s="20"/>
    </row>
    <row r="1779" spans="3:6" x14ac:dyDescent="0.25">
      <c r="C1779"/>
      <c r="D1779"/>
      <c r="F1779" s="20"/>
    </row>
    <row r="1780" spans="3:6" x14ac:dyDescent="0.25">
      <c r="C1780"/>
      <c r="D1780"/>
      <c r="F1780" s="20"/>
    </row>
    <row r="1781" spans="3:6" x14ac:dyDescent="0.25">
      <c r="C1781"/>
      <c r="D1781"/>
      <c r="F1781" s="20"/>
    </row>
    <row r="1782" spans="3:6" x14ac:dyDescent="0.25">
      <c r="C1782"/>
      <c r="D1782"/>
      <c r="F1782" s="20"/>
    </row>
    <row r="1783" spans="3:6" x14ac:dyDescent="0.25">
      <c r="C1783"/>
      <c r="D1783"/>
      <c r="F1783" s="20"/>
    </row>
    <row r="1784" spans="3:6" x14ac:dyDescent="0.25">
      <c r="C1784"/>
      <c r="D1784"/>
      <c r="F1784" s="20"/>
    </row>
    <row r="1785" spans="3:6" x14ac:dyDescent="0.25">
      <c r="C1785"/>
      <c r="D1785"/>
      <c r="F1785" s="20"/>
    </row>
    <row r="1786" spans="3:6" x14ac:dyDescent="0.25">
      <c r="C1786"/>
      <c r="D1786"/>
      <c r="F1786" s="20"/>
    </row>
    <row r="1787" spans="3:6" x14ac:dyDescent="0.25">
      <c r="C1787"/>
      <c r="D1787"/>
      <c r="F1787" s="20"/>
    </row>
    <row r="1788" spans="3:6" x14ac:dyDescent="0.25">
      <c r="C1788"/>
      <c r="D1788"/>
      <c r="F1788" s="20"/>
    </row>
    <row r="1789" spans="3:6" x14ac:dyDescent="0.25">
      <c r="C1789"/>
      <c r="D1789"/>
      <c r="F1789" s="20"/>
    </row>
    <row r="1790" spans="3:6" x14ac:dyDescent="0.25">
      <c r="C1790"/>
      <c r="D1790"/>
      <c r="F1790" s="20"/>
    </row>
    <row r="1791" spans="3:6" x14ac:dyDescent="0.25">
      <c r="C1791"/>
      <c r="D1791"/>
      <c r="F1791" s="20"/>
    </row>
    <row r="1792" spans="3:6" x14ac:dyDescent="0.25">
      <c r="C1792"/>
      <c r="D1792"/>
      <c r="F1792" s="20"/>
    </row>
    <row r="1793" spans="3:6" x14ac:dyDescent="0.25">
      <c r="C1793"/>
      <c r="D1793"/>
      <c r="F1793" s="20"/>
    </row>
    <row r="1794" spans="3:6" x14ac:dyDescent="0.25">
      <c r="C1794"/>
      <c r="D1794"/>
      <c r="F1794" s="20"/>
    </row>
    <row r="1795" spans="3:6" x14ac:dyDescent="0.25">
      <c r="C1795"/>
      <c r="D1795"/>
      <c r="F1795" s="20"/>
    </row>
    <row r="1796" spans="3:6" x14ac:dyDescent="0.25">
      <c r="C1796"/>
      <c r="D1796"/>
      <c r="F1796" s="20"/>
    </row>
    <row r="1797" spans="3:6" x14ac:dyDescent="0.25">
      <c r="C1797"/>
      <c r="D1797"/>
      <c r="F1797" s="20"/>
    </row>
    <row r="1798" spans="3:6" x14ac:dyDescent="0.25">
      <c r="C1798"/>
      <c r="D1798"/>
      <c r="F1798" s="20"/>
    </row>
    <row r="1799" spans="3:6" x14ac:dyDescent="0.25">
      <c r="C1799"/>
      <c r="D1799"/>
      <c r="F1799" s="20"/>
    </row>
    <row r="1800" spans="3:6" x14ac:dyDescent="0.25">
      <c r="C1800"/>
      <c r="D1800"/>
      <c r="F1800" s="20"/>
    </row>
    <row r="1801" spans="3:6" x14ac:dyDescent="0.25">
      <c r="C1801"/>
      <c r="D1801"/>
      <c r="F1801" s="20"/>
    </row>
    <row r="1802" spans="3:6" x14ac:dyDescent="0.25">
      <c r="C1802"/>
      <c r="D1802"/>
      <c r="F1802" s="20"/>
    </row>
    <row r="1803" spans="3:6" x14ac:dyDescent="0.25">
      <c r="C1803"/>
      <c r="D1803"/>
      <c r="F1803" s="20"/>
    </row>
    <row r="1804" spans="3:6" x14ac:dyDescent="0.25">
      <c r="C1804"/>
      <c r="D1804"/>
      <c r="F1804" s="20"/>
    </row>
    <row r="1805" spans="3:6" x14ac:dyDescent="0.25">
      <c r="C1805"/>
      <c r="D1805"/>
      <c r="F1805" s="20"/>
    </row>
    <row r="1806" spans="3:6" x14ac:dyDescent="0.25">
      <c r="C1806"/>
      <c r="D1806"/>
      <c r="F1806" s="20"/>
    </row>
    <row r="1807" spans="3:6" x14ac:dyDescent="0.25">
      <c r="C1807"/>
      <c r="D1807"/>
      <c r="F1807" s="20"/>
    </row>
    <row r="1808" spans="3:6" x14ac:dyDescent="0.25">
      <c r="C1808"/>
      <c r="D1808"/>
      <c r="F1808" s="20"/>
    </row>
    <row r="1809" spans="3:6" x14ac:dyDescent="0.25">
      <c r="C1809"/>
      <c r="D1809"/>
      <c r="F1809" s="20"/>
    </row>
    <row r="1810" spans="3:6" x14ac:dyDescent="0.25">
      <c r="C1810"/>
      <c r="D1810"/>
      <c r="F1810" s="20"/>
    </row>
    <row r="1811" spans="3:6" x14ac:dyDescent="0.25">
      <c r="C1811"/>
      <c r="D1811"/>
      <c r="F1811" s="20"/>
    </row>
    <row r="1812" spans="3:6" x14ac:dyDescent="0.25">
      <c r="C1812"/>
      <c r="D1812"/>
      <c r="F1812" s="20"/>
    </row>
    <row r="1813" spans="3:6" x14ac:dyDescent="0.25">
      <c r="C1813"/>
      <c r="D1813"/>
      <c r="F1813" s="20"/>
    </row>
    <row r="1814" spans="3:6" x14ac:dyDescent="0.25">
      <c r="C1814"/>
      <c r="D1814"/>
      <c r="F1814" s="20"/>
    </row>
    <row r="1815" spans="3:6" x14ac:dyDescent="0.25">
      <c r="C1815"/>
      <c r="D1815"/>
      <c r="F1815" s="20"/>
    </row>
    <row r="1816" spans="3:6" x14ac:dyDescent="0.25">
      <c r="C1816"/>
      <c r="D1816"/>
      <c r="F1816" s="20"/>
    </row>
    <row r="1817" spans="3:6" x14ac:dyDescent="0.25">
      <c r="C1817"/>
      <c r="D1817"/>
      <c r="F1817" s="20"/>
    </row>
    <row r="1818" spans="3:6" x14ac:dyDescent="0.25">
      <c r="C1818"/>
      <c r="D1818"/>
      <c r="F1818" s="20"/>
    </row>
    <row r="1819" spans="3:6" x14ac:dyDescent="0.25">
      <c r="C1819"/>
      <c r="D1819"/>
      <c r="F1819" s="20"/>
    </row>
    <row r="1820" spans="3:6" x14ac:dyDescent="0.25">
      <c r="C1820"/>
      <c r="D1820"/>
      <c r="F1820" s="20"/>
    </row>
    <row r="1821" spans="3:6" x14ac:dyDescent="0.25">
      <c r="C1821"/>
      <c r="D1821"/>
      <c r="F1821" s="20"/>
    </row>
    <row r="1822" spans="3:6" x14ac:dyDescent="0.25">
      <c r="C1822"/>
      <c r="D1822"/>
      <c r="F1822" s="20"/>
    </row>
    <row r="1823" spans="3:6" x14ac:dyDescent="0.25">
      <c r="C1823"/>
      <c r="D1823"/>
      <c r="F1823" s="20"/>
    </row>
    <row r="1824" spans="3:6" x14ac:dyDescent="0.25">
      <c r="C1824"/>
      <c r="D1824"/>
      <c r="F1824" s="20"/>
    </row>
    <row r="1825" spans="3:6" x14ac:dyDescent="0.25">
      <c r="C1825"/>
      <c r="D1825"/>
      <c r="F1825" s="20"/>
    </row>
    <row r="1826" spans="3:6" x14ac:dyDescent="0.25">
      <c r="C1826"/>
      <c r="D1826"/>
      <c r="F1826" s="20"/>
    </row>
    <row r="1827" spans="3:6" x14ac:dyDescent="0.25">
      <c r="C1827"/>
      <c r="D1827"/>
      <c r="F1827" s="20"/>
    </row>
    <row r="1828" spans="3:6" x14ac:dyDescent="0.25">
      <c r="C1828"/>
      <c r="D1828"/>
      <c r="F1828" s="20"/>
    </row>
    <row r="1829" spans="3:6" x14ac:dyDescent="0.25">
      <c r="C1829"/>
      <c r="D1829"/>
      <c r="F1829" s="20"/>
    </row>
    <row r="1830" spans="3:6" x14ac:dyDescent="0.25">
      <c r="C1830"/>
      <c r="D1830"/>
      <c r="F1830" s="20"/>
    </row>
    <row r="1831" spans="3:6" x14ac:dyDescent="0.25">
      <c r="C1831"/>
      <c r="D1831"/>
      <c r="F1831" s="20"/>
    </row>
    <row r="1832" spans="3:6" x14ac:dyDescent="0.25">
      <c r="C1832"/>
      <c r="D1832"/>
      <c r="F1832" s="20"/>
    </row>
    <row r="1833" spans="3:6" x14ac:dyDescent="0.25">
      <c r="C1833"/>
      <c r="D1833"/>
      <c r="F1833" s="20"/>
    </row>
    <row r="1834" spans="3:6" x14ac:dyDescent="0.25">
      <c r="C1834"/>
      <c r="D1834"/>
      <c r="F1834" s="20"/>
    </row>
    <row r="1835" spans="3:6" x14ac:dyDescent="0.25">
      <c r="C1835"/>
      <c r="D1835"/>
      <c r="F1835" s="20"/>
    </row>
    <row r="1836" spans="3:6" x14ac:dyDescent="0.25">
      <c r="C1836"/>
      <c r="D1836"/>
      <c r="F1836" s="20"/>
    </row>
    <row r="1837" spans="3:6" x14ac:dyDescent="0.25">
      <c r="C1837"/>
      <c r="D1837"/>
      <c r="F1837" s="20"/>
    </row>
    <row r="1838" spans="3:6" x14ac:dyDescent="0.25">
      <c r="C1838"/>
      <c r="D1838"/>
      <c r="F1838" s="20"/>
    </row>
    <row r="1839" spans="3:6" x14ac:dyDescent="0.25">
      <c r="C1839"/>
      <c r="D1839"/>
      <c r="F1839" s="20"/>
    </row>
    <row r="1840" spans="3:6" x14ac:dyDescent="0.25">
      <c r="C1840"/>
      <c r="D1840"/>
      <c r="F1840" s="20"/>
    </row>
    <row r="1841" spans="3:6" x14ac:dyDescent="0.25">
      <c r="C1841"/>
      <c r="D1841"/>
      <c r="F1841" s="20"/>
    </row>
    <row r="1842" spans="3:6" x14ac:dyDescent="0.25">
      <c r="C1842"/>
      <c r="D1842"/>
      <c r="F1842" s="20"/>
    </row>
    <row r="1843" spans="3:6" x14ac:dyDescent="0.25">
      <c r="C1843"/>
      <c r="D1843"/>
      <c r="F1843" s="20"/>
    </row>
    <row r="1844" spans="3:6" x14ac:dyDescent="0.25">
      <c r="C1844"/>
      <c r="D1844"/>
      <c r="F1844" s="20"/>
    </row>
    <row r="1845" spans="3:6" x14ac:dyDescent="0.25">
      <c r="C1845"/>
      <c r="D1845"/>
      <c r="F1845" s="20"/>
    </row>
    <row r="1846" spans="3:6" x14ac:dyDescent="0.25">
      <c r="C1846"/>
      <c r="D1846"/>
      <c r="F1846" s="20"/>
    </row>
    <row r="1847" spans="3:6" x14ac:dyDescent="0.25">
      <c r="C1847"/>
      <c r="D1847"/>
      <c r="F1847" s="20"/>
    </row>
    <row r="1848" spans="3:6" x14ac:dyDescent="0.25">
      <c r="C1848"/>
      <c r="D1848"/>
      <c r="F1848" s="20"/>
    </row>
    <row r="1849" spans="3:6" x14ac:dyDescent="0.25">
      <c r="C1849"/>
      <c r="D1849"/>
      <c r="F1849" s="20"/>
    </row>
    <row r="1850" spans="3:6" x14ac:dyDescent="0.25">
      <c r="C1850"/>
      <c r="D1850"/>
      <c r="F1850" s="20"/>
    </row>
    <row r="1851" spans="3:6" x14ac:dyDescent="0.25">
      <c r="C1851"/>
      <c r="D1851"/>
      <c r="F1851" s="20"/>
    </row>
    <row r="1852" spans="3:6" x14ac:dyDescent="0.25">
      <c r="C1852"/>
      <c r="D1852"/>
      <c r="F1852" s="20"/>
    </row>
    <row r="1853" spans="3:6" x14ac:dyDescent="0.25">
      <c r="C1853"/>
      <c r="D1853"/>
      <c r="F1853" s="20"/>
    </row>
    <row r="1854" spans="3:6" x14ac:dyDescent="0.25">
      <c r="C1854"/>
      <c r="D1854"/>
      <c r="F1854" s="20"/>
    </row>
    <row r="1855" spans="3:6" x14ac:dyDescent="0.25">
      <c r="C1855"/>
      <c r="D1855"/>
      <c r="F1855" s="20"/>
    </row>
    <row r="1856" spans="3:6" x14ac:dyDescent="0.25">
      <c r="C1856"/>
      <c r="D1856"/>
      <c r="F1856" s="20"/>
    </row>
    <row r="1857" spans="3:6" x14ac:dyDescent="0.25">
      <c r="C1857"/>
      <c r="D1857"/>
      <c r="F1857" s="20"/>
    </row>
    <row r="1858" spans="3:6" x14ac:dyDescent="0.25">
      <c r="C1858"/>
      <c r="D1858"/>
      <c r="F1858" s="20"/>
    </row>
    <row r="1859" spans="3:6" x14ac:dyDescent="0.25">
      <c r="C1859"/>
      <c r="D1859"/>
      <c r="F1859" s="20"/>
    </row>
    <row r="1860" spans="3:6" x14ac:dyDescent="0.25">
      <c r="C1860"/>
      <c r="D1860"/>
      <c r="F1860" s="20"/>
    </row>
    <row r="1861" spans="3:6" x14ac:dyDescent="0.25">
      <c r="C1861"/>
      <c r="D1861"/>
      <c r="F1861" s="20"/>
    </row>
    <row r="1862" spans="3:6" x14ac:dyDescent="0.25">
      <c r="C1862"/>
      <c r="D1862"/>
      <c r="F1862" s="20"/>
    </row>
    <row r="1863" spans="3:6" x14ac:dyDescent="0.25">
      <c r="C1863"/>
      <c r="D1863"/>
      <c r="F1863" s="20"/>
    </row>
    <row r="1864" spans="3:6" x14ac:dyDescent="0.25">
      <c r="C1864"/>
      <c r="D1864"/>
      <c r="F1864" s="20"/>
    </row>
    <row r="1865" spans="3:6" x14ac:dyDescent="0.25">
      <c r="C1865"/>
      <c r="D1865"/>
      <c r="F1865" s="20"/>
    </row>
    <row r="1866" spans="3:6" x14ac:dyDescent="0.25">
      <c r="C1866"/>
      <c r="D1866"/>
      <c r="F1866" s="20"/>
    </row>
    <row r="1867" spans="3:6" x14ac:dyDescent="0.25">
      <c r="C1867"/>
      <c r="D1867"/>
      <c r="F1867" s="20"/>
    </row>
    <row r="1868" spans="3:6" x14ac:dyDescent="0.25">
      <c r="C1868"/>
      <c r="D1868"/>
      <c r="F1868" s="20"/>
    </row>
    <row r="1869" spans="3:6" x14ac:dyDescent="0.25">
      <c r="C1869"/>
      <c r="D1869"/>
      <c r="F1869" s="20"/>
    </row>
    <row r="1870" spans="3:6" x14ac:dyDescent="0.25">
      <c r="C1870"/>
      <c r="D1870"/>
      <c r="F1870" s="20"/>
    </row>
    <row r="1871" spans="3:6" x14ac:dyDescent="0.25">
      <c r="C1871"/>
      <c r="D1871"/>
      <c r="F1871" s="20"/>
    </row>
    <row r="1872" spans="3:6" x14ac:dyDescent="0.25">
      <c r="C1872"/>
      <c r="D1872"/>
      <c r="F1872" s="20"/>
    </row>
    <row r="1873" spans="3:6" x14ac:dyDescent="0.25">
      <c r="C1873"/>
      <c r="D1873"/>
      <c r="F1873" s="20"/>
    </row>
    <row r="1874" spans="3:6" x14ac:dyDescent="0.25">
      <c r="C1874"/>
      <c r="D1874"/>
      <c r="F1874" s="20"/>
    </row>
    <row r="1875" spans="3:6" x14ac:dyDescent="0.25">
      <c r="C1875"/>
      <c r="D1875"/>
      <c r="F1875" s="20"/>
    </row>
    <row r="1876" spans="3:6" x14ac:dyDescent="0.25">
      <c r="C1876"/>
      <c r="D1876"/>
      <c r="F1876" s="20"/>
    </row>
    <row r="1877" spans="3:6" x14ac:dyDescent="0.25">
      <c r="C1877"/>
      <c r="D1877"/>
      <c r="F1877" s="20"/>
    </row>
    <row r="1878" spans="3:6" x14ac:dyDescent="0.25">
      <c r="C1878"/>
      <c r="D1878"/>
      <c r="F1878" s="20"/>
    </row>
    <row r="1879" spans="3:6" x14ac:dyDescent="0.25">
      <c r="C1879"/>
      <c r="D1879"/>
      <c r="F1879" s="20"/>
    </row>
    <row r="1880" spans="3:6" x14ac:dyDescent="0.25">
      <c r="C1880"/>
      <c r="D1880"/>
      <c r="F1880" s="20"/>
    </row>
    <row r="1881" spans="3:6" x14ac:dyDescent="0.25">
      <c r="C1881"/>
      <c r="D1881"/>
      <c r="F1881" s="20"/>
    </row>
    <row r="1882" spans="3:6" x14ac:dyDescent="0.25">
      <c r="C1882"/>
      <c r="D1882"/>
      <c r="F1882" s="20"/>
    </row>
    <row r="1883" spans="3:6" x14ac:dyDescent="0.25">
      <c r="C1883"/>
      <c r="D1883"/>
      <c r="F1883" s="20"/>
    </row>
    <row r="1884" spans="3:6" x14ac:dyDescent="0.25">
      <c r="C1884"/>
      <c r="D1884"/>
      <c r="F1884" s="20"/>
    </row>
    <row r="1885" spans="3:6" x14ac:dyDescent="0.25">
      <c r="C1885"/>
      <c r="D1885"/>
      <c r="F1885" s="20"/>
    </row>
    <row r="1886" spans="3:6" x14ac:dyDescent="0.25">
      <c r="C1886"/>
      <c r="D1886"/>
      <c r="F1886" s="20"/>
    </row>
    <row r="1887" spans="3:6" x14ac:dyDescent="0.25">
      <c r="C1887"/>
      <c r="D1887"/>
      <c r="F1887" s="20"/>
    </row>
    <row r="1888" spans="3:6" x14ac:dyDescent="0.25">
      <c r="C1888"/>
      <c r="D1888"/>
      <c r="F1888" s="20"/>
    </row>
    <row r="1889" spans="3:6" x14ac:dyDescent="0.25">
      <c r="C1889"/>
      <c r="D1889"/>
      <c r="F1889" s="20"/>
    </row>
    <row r="1890" spans="3:6" x14ac:dyDescent="0.25">
      <c r="C1890"/>
      <c r="D1890"/>
      <c r="F1890" s="20"/>
    </row>
    <row r="1891" spans="3:6" x14ac:dyDescent="0.25">
      <c r="C1891"/>
      <c r="D1891"/>
      <c r="F1891" s="20"/>
    </row>
    <row r="1892" spans="3:6" x14ac:dyDescent="0.25">
      <c r="C1892"/>
      <c r="D1892"/>
      <c r="F1892" s="20"/>
    </row>
    <row r="1893" spans="3:6" x14ac:dyDescent="0.25">
      <c r="C1893"/>
      <c r="D1893"/>
      <c r="F1893" s="20"/>
    </row>
    <row r="1894" spans="3:6" x14ac:dyDescent="0.25">
      <c r="C1894"/>
      <c r="D1894"/>
      <c r="F1894" s="20"/>
    </row>
    <row r="1895" spans="3:6" x14ac:dyDescent="0.25">
      <c r="C1895"/>
      <c r="D1895"/>
      <c r="F1895" s="20"/>
    </row>
    <row r="1896" spans="3:6" x14ac:dyDescent="0.25">
      <c r="C1896"/>
      <c r="D1896"/>
      <c r="F1896" s="20"/>
    </row>
    <row r="1897" spans="3:6" x14ac:dyDescent="0.25">
      <c r="C1897"/>
      <c r="D1897"/>
      <c r="F1897" s="20"/>
    </row>
    <row r="1898" spans="3:6" x14ac:dyDescent="0.25">
      <c r="C1898"/>
      <c r="D1898"/>
      <c r="F1898" s="20"/>
    </row>
    <row r="1899" spans="3:6" x14ac:dyDescent="0.25">
      <c r="C1899"/>
      <c r="D1899"/>
      <c r="F1899" s="20"/>
    </row>
    <row r="1900" spans="3:6" x14ac:dyDescent="0.25">
      <c r="C1900"/>
      <c r="D1900"/>
      <c r="F1900" s="20"/>
    </row>
    <row r="1901" spans="3:6" x14ac:dyDescent="0.25">
      <c r="C1901"/>
      <c r="D1901"/>
      <c r="F1901" s="20"/>
    </row>
    <row r="1902" spans="3:6" x14ac:dyDescent="0.25">
      <c r="C1902"/>
      <c r="D1902"/>
      <c r="F1902" s="20"/>
    </row>
    <row r="1903" spans="3:6" x14ac:dyDescent="0.25">
      <c r="C1903"/>
      <c r="D1903"/>
      <c r="F1903" s="20"/>
    </row>
    <row r="1904" spans="3:6" x14ac:dyDescent="0.25">
      <c r="C1904"/>
      <c r="D1904"/>
      <c r="F1904" s="20"/>
    </row>
    <row r="1905" spans="3:6" x14ac:dyDescent="0.25">
      <c r="C1905"/>
      <c r="D1905"/>
      <c r="F1905" s="20"/>
    </row>
    <row r="1906" spans="3:6" x14ac:dyDescent="0.25">
      <c r="C1906"/>
      <c r="D1906"/>
      <c r="F1906" s="20"/>
    </row>
    <row r="1907" spans="3:6" x14ac:dyDescent="0.25">
      <c r="C1907"/>
      <c r="D1907"/>
      <c r="F1907" s="20"/>
    </row>
    <row r="1908" spans="3:6" x14ac:dyDescent="0.25">
      <c r="C1908"/>
      <c r="D1908"/>
      <c r="F1908" s="20"/>
    </row>
    <row r="1909" spans="3:6" x14ac:dyDescent="0.25">
      <c r="C1909"/>
      <c r="D1909"/>
      <c r="F1909" s="20"/>
    </row>
    <row r="1910" spans="3:6" x14ac:dyDescent="0.25">
      <c r="C1910"/>
      <c r="D1910"/>
      <c r="F1910" s="20"/>
    </row>
    <row r="1911" spans="3:6" x14ac:dyDescent="0.25">
      <c r="C1911"/>
      <c r="D1911"/>
      <c r="F1911" s="20"/>
    </row>
    <row r="1912" spans="3:6" x14ac:dyDescent="0.25">
      <c r="C1912"/>
      <c r="D1912"/>
      <c r="F1912" s="20"/>
    </row>
    <row r="1913" spans="3:6" x14ac:dyDescent="0.25">
      <c r="C1913"/>
      <c r="D1913"/>
      <c r="F1913" s="20"/>
    </row>
    <row r="1914" spans="3:6" x14ac:dyDescent="0.25">
      <c r="C1914"/>
      <c r="D1914"/>
      <c r="F1914" s="20"/>
    </row>
    <row r="1915" spans="3:6" x14ac:dyDescent="0.25">
      <c r="C1915"/>
      <c r="D1915"/>
      <c r="F1915" s="20"/>
    </row>
    <row r="1916" spans="3:6" x14ac:dyDescent="0.25">
      <c r="C1916"/>
      <c r="D1916"/>
      <c r="F1916" s="20"/>
    </row>
    <row r="1917" spans="3:6" x14ac:dyDescent="0.25">
      <c r="C1917"/>
      <c r="D1917"/>
      <c r="F1917" s="20"/>
    </row>
    <row r="1918" spans="3:6" x14ac:dyDescent="0.25">
      <c r="C1918"/>
      <c r="D1918"/>
      <c r="F1918" s="20"/>
    </row>
    <row r="1919" spans="3:6" x14ac:dyDescent="0.25">
      <c r="C1919"/>
      <c r="D1919"/>
      <c r="F1919" s="20"/>
    </row>
    <row r="1920" spans="3:6" x14ac:dyDescent="0.25">
      <c r="C1920"/>
      <c r="D1920"/>
      <c r="F1920" s="20"/>
    </row>
    <row r="1921" spans="3:6" x14ac:dyDescent="0.25">
      <c r="C1921"/>
      <c r="D1921"/>
      <c r="F1921" s="20"/>
    </row>
    <row r="1922" spans="3:6" x14ac:dyDescent="0.25">
      <c r="C1922"/>
      <c r="D1922"/>
      <c r="F1922" s="20"/>
    </row>
    <row r="1923" spans="3:6" x14ac:dyDescent="0.25">
      <c r="C1923"/>
      <c r="D1923"/>
      <c r="F1923" s="20"/>
    </row>
    <row r="1924" spans="3:6" x14ac:dyDescent="0.25">
      <c r="C1924"/>
      <c r="D1924"/>
      <c r="F1924" s="20"/>
    </row>
    <row r="1925" spans="3:6" x14ac:dyDescent="0.25">
      <c r="C1925"/>
      <c r="D1925"/>
      <c r="F1925" s="20"/>
    </row>
    <row r="1926" spans="3:6" x14ac:dyDescent="0.25">
      <c r="C1926"/>
      <c r="D1926"/>
      <c r="F1926" s="20"/>
    </row>
    <row r="1927" spans="3:6" x14ac:dyDescent="0.25">
      <c r="C1927"/>
      <c r="D1927"/>
      <c r="F1927" s="20"/>
    </row>
    <row r="1928" spans="3:6" x14ac:dyDescent="0.25">
      <c r="C1928"/>
      <c r="D1928"/>
      <c r="F1928" s="20"/>
    </row>
    <row r="1929" spans="3:6" x14ac:dyDescent="0.25">
      <c r="C1929"/>
      <c r="D1929"/>
      <c r="F1929" s="20"/>
    </row>
    <row r="1930" spans="3:6" x14ac:dyDescent="0.25">
      <c r="C1930"/>
      <c r="D1930"/>
      <c r="F1930" s="20"/>
    </row>
    <row r="1931" spans="3:6" x14ac:dyDescent="0.25">
      <c r="C1931"/>
      <c r="D1931"/>
      <c r="F1931" s="20"/>
    </row>
    <row r="1932" spans="3:6" x14ac:dyDescent="0.25">
      <c r="C1932"/>
      <c r="D1932"/>
      <c r="F1932" s="20"/>
    </row>
    <row r="1933" spans="3:6" x14ac:dyDescent="0.25">
      <c r="C1933"/>
      <c r="D1933"/>
      <c r="F1933" s="20"/>
    </row>
    <row r="1934" spans="3:6" x14ac:dyDescent="0.25">
      <c r="C1934"/>
      <c r="D1934"/>
      <c r="F1934" s="20"/>
    </row>
    <row r="1935" spans="3:6" x14ac:dyDescent="0.25">
      <c r="C1935"/>
      <c r="D1935"/>
      <c r="F1935" s="20"/>
    </row>
    <row r="1936" spans="3:6" x14ac:dyDescent="0.25">
      <c r="C1936"/>
      <c r="D1936"/>
      <c r="F1936" s="20"/>
    </row>
    <row r="1937" spans="3:6" x14ac:dyDescent="0.25">
      <c r="C1937"/>
      <c r="D1937"/>
      <c r="F1937" s="20"/>
    </row>
    <row r="1938" spans="3:6" x14ac:dyDescent="0.25">
      <c r="C1938"/>
      <c r="D1938"/>
      <c r="F1938" s="20"/>
    </row>
    <row r="1939" spans="3:6" x14ac:dyDescent="0.25">
      <c r="C1939"/>
      <c r="D1939"/>
      <c r="F1939" s="20"/>
    </row>
    <row r="1940" spans="3:6" x14ac:dyDescent="0.25">
      <c r="C1940"/>
      <c r="D1940"/>
      <c r="F1940" s="20"/>
    </row>
    <row r="1941" spans="3:6" x14ac:dyDescent="0.25">
      <c r="C1941"/>
      <c r="D1941"/>
      <c r="F1941" s="20"/>
    </row>
    <row r="1942" spans="3:6" x14ac:dyDescent="0.25">
      <c r="C1942"/>
      <c r="D1942"/>
      <c r="F1942" s="20"/>
    </row>
    <row r="1943" spans="3:6" x14ac:dyDescent="0.25">
      <c r="C1943"/>
      <c r="D1943"/>
      <c r="F1943" s="20"/>
    </row>
    <row r="1944" spans="3:6" x14ac:dyDescent="0.25">
      <c r="C1944"/>
      <c r="D1944"/>
      <c r="F1944" s="20"/>
    </row>
    <row r="1945" spans="3:6" x14ac:dyDescent="0.25">
      <c r="C1945"/>
      <c r="D1945"/>
      <c r="F1945" s="20"/>
    </row>
    <row r="1946" spans="3:6" x14ac:dyDescent="0.25">
      <c r="C1946"/>
      <c r="D1946"/>
      <c r="F1946" s="20"/>
    </row>
    <row r="1947" spans="3:6" x14ac:dyDescent="0.25">
      <c r="C1947"/>
      <c r="D1947"/>
      <c r="F1947" s="20"/>
    </row>
    <row r="1948" spans="3:6" x14ac:dyDescent="0.25">
      <c r="C1948"/>
      <c r="D1948"/>
      <c r="F1948" s="20"/>
    </row>
    <row r="1949" spans="3:6" x14ac:dyDescent="0.25">
      <c r="C1949"/>
      <c r="D1949"/>
      <c r="F1949" s="20"/>
    </row>
    <row r="1950" spans="3:6" x14ac:dyDescent="0.25">
      <c r="C1950"/>
      <c r="D1950"/>
      <c r="F1950" s="20"/>
    </row>
    <row r="1951" spans="3:6" x14ac:dyDescent="0.25">
      <c r="C1951"/>
      <c r="D1951"/>
      <c r="F1951" s="20"/>
    </row>
    <row r="1952" spans="3:6" x14ac:dyDescent="0.25">
      <c r="C1952"/>
      <c r="D1952"/>
      <c r="F1952" s="20"/>
    </row>
    <row r="1953" spans="3:6" x14ac:dyDescent="0.25">
      <c r="C1953"/>
      <c r="D1953"/>
      <c r="F1953" s="20"/>
    </row>
    <row r="1954" spans="3:6" x14ac:dyDescent="0.25">
      <c r="C1954"/>
      <c r="D1954"/>
      <c r="F1954" s="20"/>
    </row>
    <row r="1955" spans="3:6" x14ac:dyDescent="0.25">
      <c r="C1955"/>
      <c r="D1955"/>
      <c r="F1955" s="20"/>
    </row>
    <row r="1956" spans="3:6" x14ac:dyDescent="0.25">
      <c r="C1956"/>
      <c r="D1956"/>
      <c r="F1956" s="20"/>
    </row>
    <row r="1957" spans="3:6" x14ac:dyDescent="0.25">
      <c r="C1957"/>
      <c r="D1957"/>
      <c r="F1957" s="20"/>
    </row>
    <row r="1958" spans="3:6" x14ac:dyDescent="0.25">
      <c r="C1958"/>
      <c r="D1958"/>
      <c r="F1958" s="20"/>
    </row>
    <row r="1959" spans="3:6" x14ac:dyDescent="0.25">
      <c r="C1959"/>
      <c r="D1959"/>
      <c r="F1959" s="20"/>
    </row>
    <row r="1960" spans="3:6" x14ac:dyDescent="0.25">
      <c r="C1960"/>
      <c r="D1960"/>
      <c r="F1960" s="20"/>
    </row>
    <row r="1961" spans="3:6" x14ac:dyDescent="0.25">
      <c r="C1961"/>
      <c r="D1961"/>
      <c r="F1961" s="20"/>
    </row>
    <row r="1962" spans="3:6" x14ac:dyDescent="0.25">
      <c r="C1962"/>
      <c r="D1962"/>
      <c r="F1962" s="20"/>
    </row>
    <row r="1963" spans="3:6" x14ac:dyDescent="0.25">
      <c r="C1963"/>
      <c r="D1963"/>
      <c r="F1963" s="20"/>
    </row>
    <row r="1964" spans="3:6" x14ac:dyDescent="0.25">
      <c r="C1964"/>
      <c r="D1964"/>
      <c r="F1964" s="20"/>
    </row>
    <row r="1965" spans="3:6" x14ac:dyDescent="0.25">
      <c r="C1965"/>
      <c r="D1965"/>
      <c r="F1965" s="20"/>
    </row>
    <row r="1966" spans="3:6" x14ac:dyDescent="0.25">
      <c r="C1966"/>
      <c r="D1966"/>
      <c r="F1966" s="20"/>
    </row>
    <row r="1967" spans="3:6" x14ac:dyDescent="0.25">
      <c r="C1967"/>
      <c r="D1967"/>
      <c r="F1967" s="20"/>
    </row>
    <row r="1968" spans="3:6" x14ac:dyDescent="0.25">
      <c r="C1968"/>
      <c r="D1968"/>
      <c r="F1968" s="20"/>
    </row>
    <row r="1969" spans="3:6" x14ac:dyDescent="0.25">
      <c r="C1969"/>
      <c r="D1969"/>
      <c r="F1969" s="20"/>
    </row>
    <row r="1970" spans="3:6" x14ac:dyDescent="0.25">
      <c r="C1970"/>
      <c r="D1970"/>
      <c r="F1970" s="20"/>
    </row>
    <row r="1971" spans="3:6" x14ac:dyDescent="0.25">
      <c r="C1971"/>
      <c r="D1971"/>
      <c r="F1971" s="20"/>
    </row>
    <row r="1972" spans="3:6" x14ac:dyDescent="0.25">
      <c r="C1972"/>
      <c r="D1972"/>
      <c r="F1972" s="20"/>
    </row>
    <row r="1973" spans="3:6" x14ac:dyDescent="0.25">
      <c r="C1973"/>
      <c r="D1973"/>
      <c r="F1973" s="20"/>
    </row>
    <row r="1974" spans="3:6" x14ac:dyDescent="0.25">
      <c r="C1974"/>
      <c r="D1974"/>
      <c r="F1974" s="20"/>
    </row>
    <row r="1975" spans="3:6" x14ac:dyDescent="0.25">
      <c r="C1975"/>
      <c r="D1975"/>
      <c r="F1975" s="20"/>
    </row>
    <row r="1976" spans="3:6" x14ac:dyDescent="0.25">
      <c r="C1976"/>
      <c r="D1976"/>
      <c r="F1976" s="20"/>
    </row>
    <row r="1977" spans="3:6" x14ac:dyDescent="0.25">
      <c r="C1977"/>
      <c r="D1977"/>
      <c r="F1977" s="20"/>
    </row>
    <row r="1978" spans="3:6" x14ac:dyDescent="0.25">
      <c r="C1978"/>
      <c r="D1978"/>
      <c r="F1978" s="20"/>
    </row>
    <row r="1979" spans="3:6" x14ac:dyDescent="0.25">
      <c r="C1979"/>
      <c r="D1979"/>
      <c r="F1979" s="20"/>
    </row>
    <row r="1980" spans="3:6" x14ac:dyDescent="0.25">
      <c r="C1980"/>
      <c r="D1980"/>
      <c r="F1980" s="20"/>
    </row>
    <row r="1981" spans="3:6" x14ac:dyDescent="0.25">
      <c r="C1981"/>
      <c r="D1981"/>
      <c r="F1981" s="20"/>
    </row>
    <row r="1982" spans="3:6" x14ac:dyDescent="0.25">
      <c r="C1982"/>
      <c r="D1982"/>
      <c r="F1982" s="20"/>
    </row>
    <row r="1983" spans="3:6" x14ac:dyDescent="0.25">
      <c r="C1983"/>
      <c r="D1983"/>
      <c r="F1983" s="20"/>
    </row>
    <row r="1984" spans="3:6" x14ac:dyDescent="0.25">
      <c r="C1984"/>
      <c r="D1984"/>
      <c r="F1984" s="20"/>
    </row>
    <row r="1985" spans="3:6" x14ac:dyDescent="0.25">
      <c r="C1985"/>
      <c r="D1985"/>
      <c r="F1985" s="20"/>
    </row>
    <row r="1986" spans="3:6" x14ac:dyDescent="0.25">
      <c r="C1986"/>
      <c r="D1986"/>
      <c r="F1986" s="20"/>
    </row>
    <row r="1987" spans="3:6" x14ac:dyDescent="0.25">
      <c r="C1987"/>
      <c r="D1987"/>
      <c r="F1987" s="20"/>
    </row>
    <row r="1988" spans="3:6" x14ac:dyDescent="0.25">
      <c r="C1988"/>
      <c r="D1988"/>
      <c r="F1988" s="20"/>
    </row>
    <row r="1989" spans="3:6" x14ac:dyDescent="0.25">
      <c r="C1989"/>
      <c r="D1989"/>
      <c r="F1989" s="20"/>
    </row>
    <row r="1990" spans="3:6" x14ac:dyDescent="0.25">
      <c r="C1990"/>
      <c r="D1990"/>
      <c r="F1990" s="20"/>
    </row>
    <row r="1991" spans="3:6" x14ac:dyDescent="0.25">
      <c r="C1991"/>
      <c r="D1991"/>
      <c r="F1991" s="20"/>
    </row>
    <row r="1992" spans="3:6" x14ac:dyDescent="0.25">
      <c r="C1992"/>
      <c r="D1992"/>
      <c r="F1992" s="20"/>
    </row>
    <row r="1993" spans="3:6" x14ac:dyDescent="0.25">
      <c r="C1993"/>
      <c r="D1993"/>
      <c r="F1993" s="20"/>
    </row>
    <row r="1994" spans="3:6" x14ac:dyDescent="0.25">
      <c r="C1994"/>
      <c r="D1994"/>
      <c r="F1994" s="20"/>
    </row>
    <row r="1995" spans="3:6" x14ac:dyDescent="0.25">
      <c r="C1995"/>
      <c r="D1995"/>
      <c r="F1995" s="20"/>
    </row>
    <row r="1996" spans="3:6" x14ac:dyDescent="0.25">
      <c r="C1996"/>
      <c r="D1996"/>
      <c r="F1996" s="20"/>
    </row>
    <row r="1997" spans="3:6" x14ac:dyDescent="0.25">
      <c r="C1997"/>
      <c r="D1997"/>
      <c r="F1997" s="20"/>
    </row>
    <row r="1998" spans="3:6" x14ac:dyDescent="0.25">
      <c r="C1998"/>
      <c r="D1998"/>
      <c r="F1998" s="20"/>
    </row>
    <row r="1999" spans="3:6" x14ac:dyDescent="0.25">
      <c r="C1999"/>
      <c r="D1999"/>
      <c r="F1999" s="20"/>
    </row>
    <row r="2000" spans="3:6" x14ac:dyDescent="0.25">
      <c r="C2000"/>
      <c r="D2000"/>
      <c r="F2000" s="20"/>
    </row>
    <row r="2001" spans="3:6" x14ac:dyDescent="0.25">
      <c r="C2001"/>
      <c r="D2001"/>
      <c r="F2001" s="20"/>
    </row>
    <row r="2002" spans="3:6" x14ac:dyDescent="0.25">
      <c r="C2002"/>
      <c r="D2002"/>
      <c r="F2002" s="20"/>
    </row>
    <row r="2003" spans="3:6" x14ac:dyDescent="0.25">
      <c r="C2003"/>
      <c r="D2003"/>
      <c r="F2003" s="20"/>
    </row>
    <row r="2004" spans="3:6" x14ac:dyDescent="0.25">
      <c r="C2004"/>
      <c r="D2004"/>
      <c r="F2004" s="20"/>
    </row>
    <row r="2005" spans="3:6" x14ac:dyDescent="0.25">
      <c r="C2005"/>
      <c r="D2005"/>
      <c r="F2005" s="20"/>
    </row>
    <row r="2006" spans="3:6" x14ac:dyDescent="0.25">
      <c r="C2006"/>
      <c r="D2006"/>
      <c r="F2006" s="20"/>
    </row>
    <row r="2007" spans="3:6" x14ac:dyDescent="0.25">
      <c r="C2007"/>
      <c r="D2007"/>
      <c r="F2007" s="20"/>
    </row>
    <row r="2008" spans="3:6" x14ac:dyDescent="0.25">
      <c r="C2008"/>
      <c r="D2008"/>
      <c r="F2008" s="20"/>
    </row>
    <row r="2009" spans="3:6" x14ac:dyDescent="0.25">
      <c r="C2009"/>
      <c r="D2009"/>
      <c r="F2009" s="20"/>
    </row>
    <row r="2010" spans="3:6" x14ac:dyDescent="0.25">
      <c r="C2010"/>
      <c r="D2010"/>
      <c r="F2010" s="20"/>
    </row>
    <row r="2011" spans="3:6" x14ac:dyDescent="0.25">
      <c r="C2011"/>
      <c r="D2011"/>
      <c r="F2011" s="20"/>
    </row>
    <row r="2012" spans="3:6" x14ac:dyDescent="0.25">
      <c r="C2012"/>
      <c r="D2012"/>
      <c r="F2012" s="20"/>
    </row>
    <row r="2013" spans="3:6" x14ac:dyDescent="0.25">
      <c r="C2013"/>
      <c r="D2013"/>
      <c r="F2013" s="20"/>
    </row>
    <row r="2014" spans="3:6" x14ac:dyDescent="0.25">
      <c r="C2014"/>
      <c r="D2014"/>
      <c r="F2014" s="20"/>
    </row>
    <row r="2015" spans="3:6" x14ac:dyDescent="0.25">
      <c r="C2015"/>
      <c r="D2015"/>
      <c r="F2015" s="20"/>
    </row>
    <row r="2016" spans="3:6" x14ac:dyDescent="0.25">
      <c r="C2016"/>
      <c r="D2016"/>
      <c r="F2016" s="20"/>
    </row>
    <row r="2017" spans="3:6" x14ac:dyDescent="0.25">
      <c r="C2017"/>
      <c r="D2017"/>
      <c r="F2017" s="20"/>
    </row>
    <row r="2018" spans="3:6" x14ac:dyDescent="0.25">
      <c r="C2018"/>
      <c r="D2018"/>
      <c r="F2018" s="20"/>
    </row>
    <row r="2019" spans="3:6" x14ac:dyDescent="0.25">
      <c r="C2019"/>
      <c r="D2019"/>
      <c r="F2019" s="20"/>
    </row>
    <row r="2020" spans="3:6" x14ac:dyDescent="0.25">
      <c r="C2020"/>
      <c r="D2020"/>
      <c r="F2020" s="20"/>
    </row>
    <row r="2021" spans="3:6" x14ac:dyDescent="0.25">
      <c r="C2021"/>
      <c r="D2021"/>
      <c r="F2021" s="20"/>
    </row>
    <row r="2022" spans="3:6" x14ac:dyDescent="0.25">
      <c r="C2022"/>
      <c r="D2022"/>
      <c r="F2022" s="20"/>
    </row>
    <row r="2023" spans="3:6" x14ac:dyDescent="0.25">
      <c r="C2023"/>
      <c r="D2023"/>
      <c r="F2023" s="20"/>
    </row>
    <row r="2024" spans="3:6" x14ac:dyDescent="0.25">
      <c r="C2024"/>
      <c r="D2024"/>
      <c r="F2024" s="20"/>
    </row>
    <row r="2025" spans="3:6" x14ac:dyDescent="0.25">
      <c r="C2025"/>
      <c r="D2025"/>
      <c r="F2025" s="20"/>
    </row>
    <row r="2026" spans="3:6" x14ac:dyDescent="0.25">
      <c r="C2026"/>
      <c r="D2026"/>
      <c r="F2026" s="20"/>
    </row>
    <row r="2027" spans="3:6" x14ac:dyDescent="0.25">
      <c r="C2027"/>
      <c r="D2027"/>
      <c r="F2027" s="20"/>
    </row>
    <row r="2028" spans="3:6" x14ac:dyDescent="0.25">
      <c r="C2028"/>
      <c r="D2028"/>
      <c r="F2028" s="20"/>
    </row>
    <row r="2029" spans="3:6" x14ac:dyDescent="0.25">
      <c r="C2029"/>
      <c r="D2029"/>
      <c r="F2029" s="20"/>
    </row>
    <row r="2030" spans="3:6" x14ac:dyDescent="0.25">
      <c r="C2030"/>
      <c r="D2030"/>
      <c r="F2030" s="20"/>
    </row>
    <row r="2031" spans="3:6" x14ac:dyDescent="0.25">
      <c r="C2031"/>
      <c r="D2031"/>
      <c r="F2031" s="20"/>
    </row>
    <row r="2032" spans="3:6" x14ac:dyDescent="0.25">
      <c r="C2032"/>
      <c r="D2032"/>
      <c r="F2032" s="20"/>
    </row>
    <row r="2033" spans="3:6" x14ac:dyDescent="0.25">
      <c r="C2033"/>
      <c r="D2033"/>
      <c r="F2033" s="20"/>
    </row>
    <row r="2034" spans="3:6" x14ac:dyDescent="0.25">
      <c r="C2034"/>
      <c r="D2034"/>
      <c r="F2034" s="20"/>
    </row>
    <row r="2035" spans="3:6" x14ac:dyDescent="0.25">
      <c r="C2035"/>
      <c r="D2035"/>
      <c r="F2035" s="20"/>
    </row>
    <row r="2036" spans="3:6" x14ac:dyDescent="0.25">
      <c r="C2036"/>
      <c r="D2036"/>
      <c r="F2036" s="20"/>
    </row>
    <row r="2037" spans="3:6" x14ac:dyDescent="0.25">
      <c r="C2037"/>
      <c r="D2037"/>
      <c r="F2037" s="20"/>
    </row>
    <row r="2038" spans="3:6" x14ac:dyDescent="0.25">
      <c r="C2038"/>
      <c r="D2038"/>
      <c r="F2038" s="20"/>
    </row>
    <row r="2039" spans="3:6" x14ac:dyDescent="0.25">
      <c r="C2039"/>
      <c r="D2039"/>
      <c r="F2039" s="20"/>
    </row>
    <row r="2040" spans="3:6" x14ac:dyDescent="0.25">
      <c r="C2040"/>
      <c r="D2040"/>
      <c r="F2040" s="20"/>
    </row>
    <row r="2041" spans="3:6" x14ac:dyDescent="0.25">
      <c r="C2041"/>
      <c r="D2041"/>
      <c r="F2041" s="20"/>
    </row>
    <row r="2042" spans="3:6" x14ac:dyDescent="0.25">
      <c r="C2042"/>
      <c r="D2042"/>
      <c r="F2042" s="20"/>
    </row>
    <row r="2043" spans="3:6" x14ac:dyDescent="0.25">
      <c r="C2043"/>
      <c r="D2043"/>
      <c r="F2043" s="20"/>
    </row>
    <row r="2044" spans="3:6" x14ac:dyDescent="0.25">
      <c r="C2044"/>
      <c r="D2044"/>
      <c r="F2044" s="20"/>
    </row>
    <row r="2045" spans="3:6" x14ac:dyDescent="0.25">
      <c r="C2045"/>
      <c r="D2045"/>
      <c r="F2045" s="20"/>
    </row>
    <row r="2046" spans="3:6" x14ac:dyDescent="0.25">
      <c r="C2046"/>
      <c r="D2046"/>
      <c r="F2046" s="20"/>
    </row>
    <row r="2047" spans="3:6" x14ac:dyDescent="0.25">
      <c r="C2047"/>
      <c r="D2047"/>
      <c r="F2047" s="20"/>
    </row>
    <row r="2048" spans="3:6" x14ac:dyDescent="0.25">
      <c r="C2048"/>
      <c r="D2048"/>
      <c r="F2048" s="20"/>
    </row>
    <row r="2049" spans="3:6" x14ac:dyDescent="0.25">
      <c r="C2049"/>
      <c r="D2049"/>
      <c r="F2049" s="20"/>
    </row>
    <row r="2050" spans="3:6" x14ac:dyDescent="0.25">
      <c r="C2050"/>
      <c r="D2050"/>
      <c r="F2050" s="20"/>
    </row>
    <row r="2051" spans="3:6" x14ac:dyDescent="0.25">
      <c r="C2051"/>
      <c r="D2051"/>
      <c r="F2051" s="20"/>
    </row>
    <row r="2052" spans="3:6" x14ac:dyDescent="0.25">
      <c r="C2052"/>
      <c r="D2052"/>
      <c r="F2052" s="20"/>
    </row>
    <row r="2053" spans="3:6" x14ac:dyDescent="0.25">
      <c r="C2053"/>
      <c r="D2053"/>
      <c r="F2053" s="20"/>
    </row>
    <row r="2054" spans="3:6" x14ac:dyDescent="0.25">
      <c r="C2054"/>
      <c r="D2054"/>
      <c r="F2054" s="20"/>
    </row>
    <row r="2055" spans="3:6" x14ac:dyDescent="0.25">
      <c r="C2055"/>
      <c r="D2055"/>
      <c r="F2055" s="20"/>
    </row>
    <row r="2056" spans="3:6" x14ac:dyDescent="0.25">
      <c r="C2056"/>
      <c r="D2056"/>
      <c r="F2056" s="20"/>
    </row>
    <row r="2057" spans="3:6" x14ac:dyDescent="0.25">
      <c r="C2057"/>
      <c r="D2057"/>
      <c r="F2057" s="20"/>
    </row>
    <row r="2058" spans="3:6" x14ac:dyDescent="0.25">
      <c r="C2058"/>
      <c r="D2058"/>
      <c r="F2058" s="20"/>
    </row>
    <row r="2059" spans="3:6" x14ac:dyDescent="0.25">
      <c r="C2059"/>
      <c r="D2059"/>
      <c r="F2059" s="20"/>
    </row>
    <row r="2060" spans="3:6" x14ac:dyDescent="0.25">
      <c r="C2060"/>
      <c r="D2060"/>
      <c r="F2060" s="20"/>
    </row>
    <row r="2061" spans="3:6" x14ac:dyDescent="0.25">
      <c r="C2061"/>
      <c r="D2061"/>
      <c r="F2061" s="20"/>
    </row>
    <row r="2062" spans="3:6" x14ac:dyDescent="0.25">
      <c r="C2062"/>
      <c r="D2062"/>
      <c r="F2062" s="20"/>
    </row>
    <row r="2063" spans="3:6" x14ac:dyDescent="0.25">
      <c r="C2063"/>
      <c r="D2063"/>
      <c r="F2063" s="20"/>
    </row>
    <row r="2064" spans="3:6" x14ac:dyDescent="0.25">
      <c r="C2064"/>
      <c r="D2064"/>
      <c r="F2064" s="20"/>
    </row>
    <row r="2065" spans="3:6" x14ac:dyDescent="0.25">
      <c r="C2065"/>
      <c r="D2065"/>
      <c r="F2065" s="20"/>
    </row>
    <row r="2066" spans="3:6" x14ac:dyDescent="0.25">
      <c r="C2066"/>
      <c r="D2066"/>
      <c r="F2066" s="20"/>
    </row>
    <row r="2067" spans="3:6" x14ac:dyDescent="0.25">
      <c r="C2067"/>
      <c r="D2067"/>
      <c r="F2067" s="20"/>
    </row>
    <row r="2068" spans="3:6" x14ac:dyDescent="0.25">
      <c r="C2068"/>
      <c r="D2068"/>
      <c r="F2068" s="20"/>
    </row>
    <row r="2069" spans="3:6" x14ac:dyDescent="0.25">
      <c r="C2069"/>
      <c r="D2069"/>
      <c r="F2069" s="20"/>
    </row>
    <row r="2070" spans="3:6" x14ac:dyDescent="0.25">
      <c r="C2070"/>
      <c r="D2070"/>
      <c r="F2070" s="20"/>
    </row>
    <row r="2071" spans="3:6" x14ac:dyDescent="0.25">
      <c r="C2071"/>
      <c r="D2071"/>
      <c r="F2071" s="20"/>
    </row>
    <row r="2072" spans="3:6" x14ac:dyDescent="0.25">
      <c r="C2072"/>
      <c r="D2072"/>
      <c r="F2072" s="20"/>
    </row>
    <row r="2073" spans="3:6" x14ac:dyDescent="0.25">
      <c r="C2073"/>
      <c r="D2073"/>
      <c r="F2073" s="20"/>
    </row>
    <row r="2074" spans="3:6" x14ac:dyDescent="0.25">
      <c r="C2074"/>
      <c r="D2074"/>
      <c r="F2074" s="20"/>
    </row>
    <row r="2075" spans="3:6" x14ac:dyDescent="0.25">
      <c r="C2075"/>
      <c r="D2075"/>
      <c r="F2075" s="20"/>
    </row>
    <row r="2076" spans="3:6" x14ac:dyDescent="0.25">
      <c r="C2076"/>
      <c r="D2076"/>
      <c r="F2076" s="20"/>
    </row>
    <row r="2077" spans="3:6" x14ac:dyDescent="0.25">
      <c r="C2077"/>
      <c r="D2077"/>
      <c r="F2077" s="20"/>
    </row>
    <row r="2078" spans="3:6" x14ac:dyDescent="0.25">
      <c r="C2078"/>
      <c r="D2078"/>
      <c r="F2078" s="20"/>
    </row>
    <row r="2079" spans="3:6" x14ac:dyDescent="0.25">
      <c r="C2079"/>
      <c r="D2079"/>
      <c r="F2079" s="20"/>
    </row>
    <row r="2080" spans="3:6" x14ac:dyDescent="0.25">
      <c r="C2080"/>
      <c r="D2080"/>
      <c r="F2080" s="20"/>
    </row>
    <row r="2081" spans="3:6" x14ac:dyDescent="0.25">
      <c r="C2081"/>
      <c r="D2081"/>
      <c r="F2081" s="20"/>
    </row>
    <row r="2082" spans="3:6" x14ac:dyDescent="0.25">
      <c r="C2082"/>
      <c r="D2082"/>
      <c r="F2082" s="20"/>
    </row>
    <row r="2083" spans="3:6" x14ac:dyDescent="0.25">
      <c r="C2083"/>
      <c r="D2083"/>
      <c r="F2083" s="20"/>
    </row>
    <row r="2084" spans="3:6" x14ac:dyDescent="0.25">
      <c r="C2084"/>
      <c r="D2084"/>
      <c r="F2084" s="20"/>
    </row>
    <row r="2085" spans="3:6" x14ac:dyDescent="0.25">
      <c r="C2085"/>
      <c r="D2085"/>
      <c r="F2085" s="20"/>
    </row>
    <row r="2086" spans="3:6" x14ac:dyDescent="0.25">
      <c r="C2086"/>
      <c r="D2086"/>
      <c r="F2086" s="20"/>
    </row>
    <row r="2087" spans="3:6" x14ac:dyDescent="0.25">
      <c r="C2087"/>
      <c r="D2087"/>
      <c r="F2087" s="20"/>
    </row>
    <row r="2088" spans="3:6" x14ac:dyDescent="0.25">
      <c r="C2088"/>
      <c r="D2088"/>
      <c r="F2088" s="20"/>
    </row>
    <row r="2089" spans="3:6" x14ac:dyDescent="0.25">
      <c r="C2089"/>
      <c r="D2089"/>
      <c r="F2089" s="20"/>
    </row>
    <row r="2090" spans="3:6" x14ac:dyDescent="0.25">
      <c r="C2090"/>
      <c r="D2090"/>
      <c r="F2090" s="20"/>
    </row>
    <row r="2091" spans="3:6" x14ac:dyDescent="0.25">
      <c r="C2091"/>
      <c r="D2091"/>
      <c r="F2091" s="20"/>
    </row>
    <row r="2092" spans="3:6" x14ac:dyDescent="0.25">
      <c r="C2092"/>
      <c r="D2092"/>
      <c r="F2092" s="20"/>
    </row>
    <row r="2093" spans="3:6" x14ac:dyDescent="0.25">
      <c r="C2093"/>
      <c r="D2093"/>
      <c r="F2093" s="20"/>
    </row>
    <row r="2094" spans="3:6" x14ac:dyDescent="0.25">
      <c r="C2094"/>
      <c r="D2094"/>
      <c r="F2094" s="20"/>
    </row>
    <row r="2095" spans="3:6" x14ac:dyDescent="0.25">
      <c r="C2095"/>
      <c r="D2095"/>
      <c r="F2095" s="20"/>
    </row>
    <row r="2096" spans="3:6" x14ac:dyDescent="0.25">
      <c r="C2096"/>
      <c r="D2096"/>
      <c r="F2096" s="20"/>
    </row>
    <row r="2097" spans="3:6" x14ac:dyDescent="0.25">
      <c r="C2097"/>
      <c r="D2097"/>
      <c r="F2097" s="20"/>
    </row>
    <row r="2098" spans="3:6" x14ac:dyDescent="0.25">
      <c r="C2098"/>
      <c r="D2098"/>
      <c r="F2098" s="20"/>
    </row>
    <row r="2099" spans="3:6" x14ac:dyDescent="0.25">
      <c r="C2099"/>
      <c r="D2099"/>
      <c r="F2099" s="20"/>
    </row>
    <row r="2100" spans="3:6" x14ac:dyDescent="0.25">
      <c r="C2100"/>
      <c r="D2100"/>
      <c r="F2100" s="20"/>
    </row>
    <row r="2101" spans="3:6" x14ac:dyDescent="0.25">
      <c r="C2101"/>
      <c r="D2101"/>
      <c r="F2101" s="20"/>
    </row>
    <row r="2102" spans="3:6" x14ac:dyDescent="0.25">
      <c r="C2102"/>
      <c r="D2102"/>
      <c r="F2102" s="20"/>
    </row>
    <row r="2103" spans="3:6" x14ac:dyDescent="0.25">
      <c r="C2103"/>
      <c r="D2103"/>
      <c r="F2103" s="20"/>
    </row>
    <row r="2104" spans="3:6" x14ac:dyDescent="0.25">
      <c r="C2104"/>
      <c r="D2104"/>
      <c r="F2104" s="20"/>
    </row>
    <row r="2105" spans="3:6" x14ac:dyDescent="0.25">
      <c r="C2105"/>
      <c r="D2105"/>
      <c r="F2105" s="20"/>
    </row>
    <row r="2106" spans="3:6" x14ac:dyDescent="0.25">
      <c r="C2106"/>
      <c r="D2106"/>
      <c r="F2106" s="20"/>
    </row>
    <row r="2107" spans="3:6" x14ac:dyDescent="0.25">
      <c r="C2107"/>
      <c r="D2107"/>
      <c r="F2107" s="20"/>
    </row>
    <row r="2108" spans="3:6" x14ac:dyDescent="0.25">
      <c r="C2108"/>
      <c r="D2108"/>
      <c r="F2108" s="20"/>
    </row>
    <row r="2109" spans="3:6" x14ac:dyDescent="0.25">
      <c r="C2109"/>
      <c r="D2109"/>
      <c r="F2109" s="20"/>
    </row>
    <row r="2110" spans="3:6" x14ac:dyDescent="0.25">
      <c r="C2110"/>
      <c r="D2110"/>
      <c r="F2110" s="20"/>
    </row>
    <row r="2111" spans="3:6" x14ac:dyDescent="0.25">
      <c r="C2111"/>
      <c r="D2111"/>
      <c r="F2111" s="20"/>
    </row>
    <row r="2112" spans="3:6" x14ac:dyDescent="0.25">
      <c r="C2112"/>
      <c r="D2112"/>
      <c r="F2112" s="20"/>
    </row>
    <row r="2113" spans="3:6" x14ac:dyDescent="0.25">
      <c r="C2113"/>
      <c r="D2113"/>
      <c r="F2113" s="20"/>
    </row>
    <row r="2114" spans="3:6" x14ac:dyDescent="0.25">
      <c r="C2114"/>
      <c r="D2114"/>
      <c r="F2114" s="20"/>
    </row>
    <row r="2115" spans="3:6" x14ac:dyDescent="0.25">
      <c r="C2115"/>
      <c r="D2115"/>
      <c r="F2115" s="20"/>
    </row>
    <row r="2116" spans="3:6" x14ac:dyDescent="0.25">
      <c r="C2116"/>
      <c r="D2116"/>
      <c r="F2116" s="20"/>
    </row>
    <row r="2117" spans="3:6" x14ac:dyDescent="0.25">
      <c r="C2117"/>
      <c r="D2117"/>
      <c r="F2117" s="20"/>
    </row>
    <row r="2118" spans="3:6" x14ac:dyDescent="0.25">
      <c r="C2118"/>
      <c r="D2118"/>
      <c r="F2118" s="20"/>
    </row>
    <row r="2119" spans="3:6" x14ac:dyDescent="0.25">
      <c r="C2119"/>
      <c r="D2119"/>
      <c r="F2119" s="20"/>
    </row>
    <row r="2120" spans="3:6" x14ac:dyDescent="0.25">
      <c r="C2120"/>
      <c r="D2120"/>
      <c r="F2120" s="20"/>
    </row>
    <row r="2121" spans="3:6" x14ac:dyDescent="0.25">
      <c r="C2121"/>
      <c r="D2121"/>
      <c r="F2121" s="20"/>
    </row>
    <row r="2122" spans="3:6" x14ac:dyDescent="0.25">
      <c r="C2122"/>
      <c r="D2122"/>
      <c r="F2122" s="20"/>
    </row>
    <row r="2123" spans="3:6" x14ac:dyDescent="0.25">
      <c r="C2123"/>
      <c r="D2123"/>
      <c r="F2123" s="20"/>
    </row>
    <row r="2124" spans="3:6" x14ac:dyDescent="0.25">
      <c r="C2124"/>
      <c r="D2124"/>
      <c r="F2124" s="20"/>
    </row>
    <row r="2125" spans="3:6" x14ac:dyDescent="0.25">
      <c r="C2125"/>
      <c r="D2125"/>
      <c r="F2125" s="20"/>
    </row>
    <row r="2126" spans="3:6" x14ac:dyDescent="0.25">
      <c r="C2126"/>
      <c r="D2126"/>
      <c r="F2126" s="20"/>
    </row>
    <row r="2127" spans="3:6" x14ac:dyDescent="0.25">
      <c r="C2127"/>
      <c r="D2127"/>
      <c r="F2127" s="20"/>
    </row>
    <row r="2128" spans="3:6" x14ac:dyDescent="0.25">
      <c r="C2128"/>
      <c r="D2128"/>
      <c r="F2128" s="20"/>
    </row>
    <row r="2129" spans="3:6" x14ac:dyDescent="0.25">
      <c r="C2129"/>
      <c r="D2129"/>
      <c r="F2129" s="20"/>
    </row>
    <row r="2130" spans="3:6" x14ac:dyDescent="0.25">
      <c r="C2130"/>
      <c r="D2130"/>
      <c r="F2130" s="20"/>
    </row>
    <row r="2131" spans="3:6" x14ac:dyDescent="0.25">
      <c r="C2131"/>
      <c r="D2131"/>
      <c r="F2131" s="20"/>
    </row>
    <row r="2132" spans="3:6" x14ac:dyDescent="0.25">
      <c r="C2132"/>
      <c r="D2132"/>
      <c r="F2132" s="20"/>
    </row>
    <row r="2133" spans="3:6" x14ac:dyDescent="0.25">
      <c r="C2133"/>
      <c r="D2133"/>
      <c r="F2133" s="20"/>
    </row>
    <row r="2134" spans="3:6" x14ac:dyDescent="0.25">
      <c r="C2134"/>
      <c r="D2134"/>
      <c r="F2134" s="20"/>
    </row>
    <row r="2135" spans="3:6" x14ac:dyDescent="0.25">
      <c r="C2135"/>
      <c r="D2135"/>
      <c r="F2135" s="20"/>
    </row>
    <row r="2136" spans="3:6" x14ac:dyDescent="0.25">
      <c r="C2136"/>
      <c r="D2136"/>
      <c r="F2136" s="20"/>
    </row>
    <row r="2137" spans="3:6" x14ac:dyDescent="0.25">
      <c r="C2137"/>
      <c r="D2137"/>
      <c r="F2137" s="20"/>
    </row>
    <row r="2138" spans="3:6" x14ac:dyDescent="0.25">
      <c r="C2138"/>
      <c r="D2138"/>
      <c r="F2138" s="20"/>
    </row>
    <row r="2139" spans="3:6" x14ac:dyDescent="0.25">
      <c r="C2139"/>
      <c r="D2139"/>
      <c r="F2139" s="20"/>
    </row>
    <row r="2140" spans="3:6" x14ac:dyDescent="0.25">
      <c r="C2140"/>
      <c r="D2140"/>
      <c r="F2140" s="20"/>
    </row>
    <row r="2141" spans="3:6" x14ac:dyDescent="0.25">
      <c r="C2141"/>
      <c r="D2141"/>
      <c r="F2141" s="20"/>
    </row>
    <row r="2142" spans="3:6" x14ac:dyDescent="0.25">
      <c r="C2142"/>
      <c r="D2142"/>
      <c r="F2142" s="20"/>
    </row>
    <row r="2143" spans="3:6" x14ac:dyDescent="0.25">
      <c r="C2143"/>
      <c r="D2143"/>
      <c r="F2143" s="20"/>
    </row>
    <row r="2144" spans="3:6" x14ac:dyDescent="0.25">
      <c r="C2144"/>
      <c r="D2144"/>
      <c r="F2144" s="20"/>
    </row>
    <row r="2145" spans="3:6" x14ac:dyDescent="0.25">
      <c r="C2145"/>
      <c r="D2145"/>
      <c r="F2145" s="20"/>
    </row>
    <row r="2146" spans="3:6" x14ac:dyDescent="0.25">
      <c r="C2146"/>
      <c r="D2146"/>
      <c r="F2146" s="20"/>
    </row>
    <row r="2147" spans="3:6" x14ac:dyDescent="0.25">
      <c r="C2147"/>
      <c r="D2147"/>
      <c r="F2147" s="20"/>
    </row>
    <row r="2148" spans="3:6" x14ac:dyDescent="0.25">
      <c r="C2148"/>
      <c r="D2148"/>
      <c r="F2148" s="20"/>
    </row>
    <row r="2149" spans="3:6" x14ac:dyDescent="0.25">
      <c r="C2149"/>
      <c r="D2149"/>
      <c r="F2149" s="20"/>
    </row>
    <row r="2150" spans="3:6" x14ac:dyDescent="0.25">
      <c r="C2150"/>
      <c r="D2150"/>
      <c r="F2150" s="20"/>
    </row>
    <row r="2151" spans="3:6" x14ac:dyDescent="0.25">
      <c r="C2151"/>
      <c r="D2151"/>
      <c r="F2151" s="20"/>
    </row>
    <row r="2152" spans="3:6" x14ac:dyDescent="0.25">
      <c r="C2152"/>
      <c r="D2152"/>
      <c r="F2152" s="20"/>
    </row>
    <row r="2153" spans="3:6" x14ac:dyDescent="0.25">
      <c r="C2153"/>
      <c r="D2153"/>
      <c r="F2153" s="20"/>
    </row>
    <row r="2154" spans="3:6" x14ac:dyDescent="0.25">
      <c r="C2154"/>
      <c r="D2154"/>
      <c r="F2154" s="20"/>
    </row>
    <row r="2155" spans="3:6" x14ac:dyDescent="0.25">
      <c r="C2155"/>
      <c r="D2155"/>
      <c r="F2155" s="20"/>
    </row>
    <row r="2156" spans="3:6" x14ac:dyDescent="0.25">
      <c r="C2156"/>
      <c r="D2156"/>
      <c r="F2156" s="20"/>
    </row>
    <row r="2157" spans="3:6" x14ac:dyDescent="0.25">
      <c r="C2157"/>
      <c r="D2157"/>
      <c r="F2157" s="20"/>
    </row>
    <row r="2158" spans="3:6" x14ac:dyDescent="0.25">
      <c r="C2158"/>
      <c r="D2158"/>
      <c r="F2158" s="20"/>
    </row>
    <row r="2159" spans="3:6" x14ac:dyDescent="0.25">
      <c r="C2159"/>
      <c r="D2159"/>
      <c r="F2159" s="20"/>
    </row>
    <row r="2160" spans="3:6" x14ac:dyDescent="0.25">
      <c r="C2160"/>
      <c r="D2160"/>
      <c r="F2160" s="20"/>
    </row>
    <row r="2161" spans="3:6" x14ac:dyDescent="0.25">
      <c r="C2161"/>
      <c r="D2161"/>
      <c r="F2161" s="20"/>
    </row>
    <row r="2162" spans="3:6" x14ac:dyDescent="0.25">
      <c r="C2162"/>
      <c r="D2162"/>
      <c r="F2162" s="20"/>
    </row>
    <row r="2163" spans="3:6" x14ac:dyDescent="0.25">
      <c r="C2163"/>
      <c r="D2163"/>
      <c r="F2163" s="20"/>
    </row>
    <row r="2164" spans="3:6" x14ac:dyDescent="0.25">
      <c r="C2164"/>
      <c r="D2164"/>
      <c r="F2164" s="20"/>
    </row>
    <row r="2165" spans="3:6" x14ac:dyDescent="0.25">
      <c r="C2165"/>
      <c r="D2165"/>
      <c r="F2165" s="20"/>
    </row>
    <row r="2166" spans="3:6" x14ac:dyDescent="0.25">
      <c r="C2166"/>
      <c r="D2166"/>
      <c r="F2166" s="20"/>
    </row>
    <row r="2167" spans="3:6" x14ac:dyDescent="0.25">
      <c r="C2167"/>
      <c r="D2167"/>
      <c r="F2167" s="20"/>
    </row>
    <row r="2168" spans="3:6" x14ac:dyDescent="0.25">
      <c r="C2168"/>
      <c r="D2168"/>
      <c r="F2168" s="20"/>
    </row>
    <row r="2169" spans="3:6" x14ac:dyDescent="0.25">
      <c r="C2169"/>
      <c r="D2169"/>
      <c r="F2169" s="20"/>
    </row>
    <row r="2170" spans="3:6" x14ac:dyDescent="0.25">
      <c r="C2170"/>
      <c r="D2170"/>
      <c r="F2170" s="20"/>
    </row>
    <row r="2171" spans="3:6" x14ac:dyDescent="0.25">
      <c r="C2171"/>
      <c r="D2171"/>
      <c r="F2171" s="20"/>
    </row>
    <row r="2172" spans="3:6" x14ac:dyDescent="0.25">
      <c r="C2172"/>
      <c r="D2172"/>
      <c r="F2172" s="20"/>
    </row>
    <row r="2173" spans="3:6" x14ac:dyDescent="0.25">
      <c r="C2173"/>
      <c r="D2173"/>
      <c r="F2173" s="20"/>
    </row>
    <row r="2174" spans="3:6" x14ac:dyDescent="0.25">
      <c r="C2174"/>
      <c r="D2174"/>
      <c r="F2174" s="20"/>
    </row>
    <row r="2175" spans="3:6" x14ac:dyDescent="0.25">
      <c r="C2175"/>
      <c r="D2175"/>
      <c r="F2175" s="20"/>
    </row>
    <row r="2176" spans="3:6" x14ac:dyDescent="0.25">
      <c r="C2176"/>
      <c r="D2176"/>
      <c r="F2176" s="20"/>
    </row>
    <row r="2177" spans="3:6" x14ac:dyDescent="0.25">
      <c r="C2177"/>
      <c r="D2177"/>
      <c r="F2177" s="20"/>
    </row>
    <row r="2178" spans="3:6" x14ac:dyDescent="0.25">
      <c r="C2178"/>
      <c r="D2178"/>
      <c r="F2178" s="20"/>
    </row>
    <row r="2179" spans="3:6" x14ac:dyDescent="0.25">
      <c r="C2179"/>
      <c r="D2179"/>
      <c r="F2179" s="20"/>
    </row>
    <row r="2180" spans="3:6" x14ac:dyDescent="0.25">
      <c r="C2180"/>
      <c r="D2180"/>
      <c r="F2180" s="20"/>
    </row>
    <row r="2181" spans="3:6" x14ac:dyDescent="0.25">
      <c r="C2181"/>
      <c r="D2181"/>
      <c r="F2181" s="20"/>
    </row>
    <row r="2182" spans="3:6" x14ac:dyDescent="0.25">
      <c r="C2182"/>
      <c r="D2182"/>
      <c r="F2182" s="20"/>
    </row>
    <row r="2183" spans="3:6" x14ac:dyDescent="0.25">
      <c r="C2183"/>
      <c r="D2183"/>
      <c r="F2183" s="20"/>
    </row>
    <row r="2184" spans="3:6" x14ac:dyDescent="0.25">
      <c r="C2184"/>
      <c r="D2184"/>
      <c r="F2184" s="20"/>
    </row>
    <row r="2185" spans="3:6" x14ac:dyDescent="0.25">
      <c r="C2185"/>
      <c r="D2185"/>
      <c r="F2185" s="20"/>
    </row>
    <row r="2186" spans="3:6" x14ac:dyDescent="0.25">
      <c r="C2186"/>
      <c r="D2186"/>
      <c r="F2186" s="20"/>
    </row>
    <row r="2187" spans="3:6" x14ac:dyDescent="0.25">
      <c r="C2187"/>
      <c r="D2187"/>
      <c r="F2187" s="20"/>
    </row>
    <row r="2188" spans="3:6" x14ac:dyDescent="0.25">
      <c r="C2188"/>
      <c r="D2188"/>
      <c r="F2188" s="20"/>
    </row>
    <row r="2189" spans="3:6" x14ac:dyDescent="0.25">
      <c r="C2189"/>
      <c r="D2189"/>
      <c r="F2189" s="20"/>
    </row>
    <row r="2190" spans="3:6" x14ac:dyDescent="0.25">
      <c r="C2190"/>
      <c r="D2190"/>
      <c r="F2190" s="20"/>
    </row>
    <row r="2191" spans="3:6" x14ac:dyDescent="0.25">
      <c r="C2191"/>
      <c r="D2191"/>
      <c r="F2191" s="20"/>
    </row>
    <row r="2192" spans="3:6" x14ac:dyDescent="0.25">
      <c r="C2192"/>
      <c r="D2192"/>
      <c r="F2192" s="20"/>
    </row>
    <row r="2193" spans="3:6" x14ac:dyDescent="0.25">
      <c r="C2193"/>
      <c r="D2193"/>
      <c r="F2193" s="20"/>
    </row>
    <row r="2194" spans="3:6" x14ac:dyDescent="0.25">
      <c r="C2194"/>
      <c r="D2194"/>
      <c r="F2194" s="20"/>
    </row>
    <row r="2195" spans="3:6" x14ac:dyDescent="0.25">
      <c r="C2195"/>
      <c r="D2195"/>
      <c r="F2195" s="20"/>
    </row>
    <row r="2196" spans="3:6" x14ac:dyDescent="0.25">
      <c r="C2196"/>
      <c r="D2196"/>
      <c r="F2196" s="20"/>
    </row>
    <row r="2197" spans="3:6" x14ac:dyDescent="0.25">
      <c r="C2197"/>
      <c r="D2197"/>
      <c r="F2197" s="20"/>
    </row>
    <row r="2198" spans="3:6" x14ac:dyDescent="0.25">
      <c r="C2198"/>
      <c r="D2198"/>
      <c r="F2198" s="20"/>
    </row>
    <row r="2199" spans="3:6" x14ac:dyDescent="0.25">
      <c r="C2199"/>
      <c r="D2199"/>
      <c r="F2199" s="20"/>
    </row>
    <row r="2200" spans="3:6" x14ac:dyDescent="0.25">
      <c r="C2200"/>
      <c r="D2200"/>
      <c r="F2200" s="20"/>
    </row>
    <row r="2201" spans="3:6" x14ac:dyDescent="0.25">
      <c r="C2201"/>
      <c r="D2201"/>
      <c r="F2201" s="20"/>
    </row>
    <row r="2202" spans="3:6" x14ac:dyDescent="0.25">
      <c r="C2202"/>
      <c r="D2202"/>
      <c r="F2202" s="20"/>
    </row>
    <row r="2203" spans="3:6" x14ac:dyDescent="0.25">
      <c r="C2203"/>
      <c r="D2203"/>
      <c r="F2203" s="20"/>
    </row>
    <row r="2204" spans="3:6" x14ac:dyDescent="0.25">
      <c r="C2204"/>
      <c r="D2204"/>
      <c r="F2204" s="20"/>
    </row>
    <row r="2205" spans="3:6" x14ac:dyDescent="0.25">
      <c r="C2205"/>
      <c r="D2205"/>
      <c r="F2205" s="20"/>
    </row>
    <row r="2206" spans="3:6" x14ac:dyDescent="0.25">
      <c r="C2206"/>
      <c r="D2206"/>
      <c r="F2206" s="20"/>
    </row>
    <row r="2207" spans="3:6" x14ac:dyDescent="0.25">
      <c r="C2207"/>
      <c r="D2207"/>
      <c r="F2207" s="20"/>
    </row>
    <row r="2208" spans="3:6" x14ac:dyDescent="0.25">
      <c r="C2208"/>
      <c r="D2208"/>
      <c r="F2208" s="20"/>
    </row>
    <row r="2209" spans="3:6" x14ac:dyDescent="0.25">
      <c r="C2209"/>
      <c r="D2209"/>
      <c r="F2209" s="20"/>
    </row>
    <row r="2210" spans="3:6" x14ac:dyDescent="0.25">
      <c r="C2210"/>
      <c r="D2210"/>
      <c r="F2210" s="20"/>
    </row>
    <row r="2211" spans="3:6" x14ac:dyDescent="0.25">
      <c r="C2211"/>
      <c r="D2211"/>
      <c r="F2211" s="20"/>
    </row>
    <row r="2212" spans="3:6" x14ac:dyDescent="0.25">
      <c r="C2212"/>
      <c r="D2212"/>
      <c r="F2212" s="20"/>
    </row>
    <row r="2213" spans="3:6" x14ac:dyDescent="0.25">
      <c r="C2213"/>
      <c r="D2213"/>
      <c r="F2213" s="20"/>
    </row>
    <row r="2214" spans="3:6" x14ac:dyDescent="0.25">
      <c r="C2214"/>
      <c r="D2214"/>
      <c r="F2214" s="20"/>
    </row>
    <row r="2215" spans="3:6" x14ac:dyDescent="0.25">
      <c r="C2215"/>
      <c r="D2215"/>
      <c r="F2215" s="20"/>
    </row>
    <row r="2216" spans="3:6" x14ac:dyDescent="0.25">
      <c r="C2216"/>
      <c r="D2216"/>
      <c r="F2216" s="20"/>
    </row>
    <row r="2217" spans="3:6" x14ac:dyDescent="0.25">
      <c r="C2217"/>
      <c r="D2217"/>
      <c r="F2217" s="20"/>
    </row>
    <row r="2218" spans="3:6" x14ac:dyDescent="0.25">
      <c r="C2218"/>
      <c r="D2218"/>
      <c r="F2218" s="20"/>
    </row>
    <row r="2219" spans="3:6" x14ac:dyDescent="0.25">
      <c r="C2219"/>
      <c r="D2219"/>
      <c r="F2219" s="20"/>
    </row>
    <row r="2220" spans="3:6" x14ac:dyDescent="0.25">
      <c r="C2220"/>
      <c r="D2220"/>
      <c r="F2220" s="20"/>
    </row>
    <row r="2221" spans="3:6" x14ac:dyDescent="0.25">
      <c r="C2221"/>
      <c r="D2221"/>
      <c r="F2221" s="20"/>
    </row>
    <row r="2222" spans="3:6" x14ac:dyDescent="0.25">
      <c r="C2222"/>
      <c r="D2222"/>
      <c r="F2222" s="20"/>
    </row>
    <row r="2223" spans="3:6" x14ac:dyDescent="0.25">
      <c r="C2223"/>
      <c r="D2223"/>
      <c r="F2223" s="20"/>
    </row>
    <row r="2224" spans="3:6" x14ac:dyDescent="0.25">
      <c r="C2224"/>
      <c r="D2224"/>
      <c r="F2224" s="20"/>
    </row>
    <row r="2225" spans="3:6" x14ac:dyDescent="0.25">
      <c r="C2225"/>
      <c r="D2225"/>
      <c r="F2225" s="20"/>
    </row>
    <row r="2226" spans="3:6" x14ac:dyDescent="0.25">
      <c r="C2226"/>
      <c r="D2226"/>
      <c r="F2226" s="20"/>
    </row>
    <row r="2227" spans="3:6" x14ac:dyDescent="0.25">
      <c r="C2227"/>
      <c r="D2227"/>
      <c r="F2227" s="20"/>
    </row>
    <row r="2228" spans="3:6" x14ac:dyDescent="0.25">
      <c r="C2228"/>
      <c r="D2228"/>
      <c r="F2228" s="20"/>
    </row>
    <row r="2229" spans="3:6" x14ac:dyDescent="0.25">
      <c r="C2229"/>
      <c r="D2229"/>
      <c r="F2229" s="20"/>
    </row>
    <row r="2230" spans="3:6" x14ac:dyDescent="0.25">
      <c r="C2230"/>
      <c r="D2230"/>
      <c r="F2230" s="20"/>
    </row>
    <row r="2231" spans="3:6" x14ac:dyDescent="0.25">
      <c r="C2231"/>
      <c r="D2231"/>
      <c r="F2231" s="20"/>
    </row>
    <row r="2232" spans="3:6" x14ac:dyDescent="0.25">
      <c r="C2232"/>
      <c r="D2232"/>
      <c r="F2232" s="20"/>
    </row>
    <row r="2233" spans="3:6" x14ac:dyDescent="0.25">
      <c r="C2233"/>
      <c r="D2233"/>
      <c r="F2233" s="20"/>
    </row>
    <row r="2234" spans="3:6" x14ac:dyDescent="0.25">
      <c r="C2234"/>
      <c r="D2234"/>
      <c r="F2234" s="20"/>
    </row>
    <row r="2235" spans="3:6" x14ac:dyDescent="0.25">
      <c r="C2235"/>
      <c r="D2235"/>
      <c r="F2235" s="20"/>
    </row>
    <row r="2236" spans="3:6" x14ac:dyDescent="0.25">
      <c r="C2236"/>
      <c r="D2236"/>
      <c r="F2236" s="20"/>
    </row>
    <row r="2237" spans="3:6" x14ac:dyDescent="0.25">
      <c r="C2237"/>
      <c r="D2237"/>
      <c r="F2237" s="20"/>
    </row>
    <row r="2238" spans="3:6" x14ac:dyDescent="0.25">
      <c r="C2238"/>
      <c r="D2238"/>
      <c r="F2238" s="20"/>
    </row>
    <row r="2239" spans="3:6" x14ac:dyDescent="0.25">
      <c r="C2239"/>
      <c r="D2239"/>
      <c r="F2239" s="20"/>
    </row>
    <row r="2240" spans="3:6" x14ac:dyDescent="0.25">
      <c r="C2240"/>
      <c r="D2240"/>
      <c r="F2240" s="20"/>
    </row>
    <row r="2241" spans="3:6" x14ac:dyDescent="0.25">
      <c r="C2241"/>
      <c r="D2241"/>
      <c r="F2241" s="20"/>
    </row>
    <row r="2242" spans="3:6" x14ac:dyDescent="0.25">
      <c r="C2242"/>
      <c r="D2242"/>
      <c r="F2242" s="20"/>
    </row>
    <row r="2243" spans="3:6" x14ac:dyDescent="0.25">
      <c r="C2243"/>
      <c r="D2243"/>
      <c r="F2243" s="20"/>
    </row>
    <row r="2244" spans="3:6" x14ac:dyDescent="0.25">
      <c r="C2244"/>
      <c r="D2244"/>
      <c r="F2244" s="20"/>
    </row>
    <row r="2245" spans="3:6" x14ac:dyDescent="0.25">
      <c r="C2245"/>
      <c r="D2245"/>
      <c r="F2245" s="20"/>
    </row>
    <row r="2246" spans="3:6" x14ac:dyDescent="0.25">
      <c r="C2246"/>
      <c r="D2246"/>
      <c r="F2246" s="20"/>
    </row>
    <row r="2247" spans="3:6" x14ac:dyDescent="0.25">
      <c r="C2247"/>
      <c r="D2247"/>
      <c r="F2247" s="20"/>
    </row>
    <row r="2248" spans="3:6" x14ac:dyDescent="0.25">
      <c r="C2248"/>
      <c r="D2248"/>
      <c r="F2248" s="20"/>
    </row>
    <row r="2249" spans="3:6" x14ac:dyDescent="0.25">
      <c r="C2249"/>
      <c r="D2249"/>
      <c r="F2249" s="20"/>
    </row>
    <row r="2250" spans="3:6" x14ac:dyDescent="0.25">
      <c r="C2250"/>
      <c r="D2250"/>
      <c r="F2250" s="20"/>
    </row>
    <row r="2251" spans="3:6" x14ac:dyDescent="0.25">
      <c r="C2251"/>
      <c r="D2251"/>
      <c r="F2251" s="20"/>
    </row>
    <row r="2252" spans="3:6" x14ac:dyDescent="0.25">
      <c r="C2252"/>
      <c r="D2252"/>
      <c r="F2252" s="20"/>
    </row>
    <row r="2253" spans="3:6" x14ac:dyDescent="0.25">
      <c r="C2253"/>
      <c r="D2253"/>
      <c r="F2253" s="20"/>
    </row>
    <row r="2254" spans="3:6" x14ac:dyDescent="0.25">
      <c r="C2254"/>
      <c r="D2254"/>
      <c r="F2254" s="20"/>
    </row>
    <row r="2255" spans="3:6" x14ac:dyDescent="0.25">
      <c r="C2255"/>
      <c r="D2255"/>
      <c r="F2255" s="20"/>
    </row>
    <row r="2256" spans="3:6" x14ac:dyDescent="0.25">
      <c r="C2256"/>
      <c r="D2256"/>
      <c r="F2256" s="20"/>
    </row>
    <row r="2257" spans="3:6" x14ac:dyDescent="0.25">
      <c r="C2257"/>
      <c r="D2257"/>
      <c r="F2257" s="20"/>
    </row>
    <row r="2258" spans="3:6" x14ac:dyDescent="0.25">
      <c r="C2258"/>
      <c r="D2258"/>
      <c r="F2258" s="20"/>
    </row>
    <row r="2259" spans="3:6" x14ac:dyDescent="0.25">
      <c r="C2259"/>
      <c r="D2259"/>
      <c r="F2259" s="20"/>
    </row>
    <row r="2260" spans="3:6" x14ac:dyDescent="0.25">
      <c r="C2260"/>
      <c r="D2260"/>
      <c r="F2260" s="20"/>
    </row>
    <row r="2261" spans="3:6" x14ac:dyDescent="0.25">
      <c r="C2261"/>
      <c r="D2261"/>
      <c r="F2261" s="20"/>
    </row>
    <row r="2262" spans="3:6" x14ac:dyDescent="0.25">
      <c r="C2262"/>
      <c r="D2262"/>
      <c r="F2262" s="20"/>
    </row>
    <row r="2263" spans="3:6" x14ac:dyDescent="0.25">
      <c r="C2263"/>
      <c r="D2263"/>
      <c r="F2263" s="20"/>
    </row>
    <row r="2264" spans="3:6" x14ac:dyDescent="0.25">
      <c r="C2264"/>
      <c r="D2264"/>
      <c r="F2264" s="20"/>
    </row>
    <row r="2265" spans="3:6" x14ac:dyDescent="0.25">
      <c r="C2265"/>
      <c r="D2265"/>
      <c r="F2265" s="20"/>
    </row>
    <row r="2266" spans="3:6" x14ac:dyDescent="0.25">
      <c r="C2266"/>
      <c r="D2266"/>
      <c r="F2266" s="20"/>
    </row>
    <row r="2267" spans="3:6" x14ac:dyDescent="0.25">
      <c r="C2267"/>
      <c r="D2267"/>
      <c r="F2267" s="20"/>
    </row>
    <row r="2268" spans="3:6" x14ac:dyDescent="0.25">
      <c r="C2268"/>
      <c r="D2268"/>
      <c r="F2268" s="20"/>
    </row>
    <row r="2269" spans="3:6" x14ac:dyDescent="0.25">
      <c r="C2269"/>
      <c r="D2269"/>
      <c r="F2269" s="20"/>
    </row>
    <row r="2270" spans="3:6" x14ac:dyDescent="0.25">
      <c r="C2270"/>
      <c r="D2270"/>
      <c r="F2270" s="20"/>
    </row>
    <row r="2271" spans="3:6" x14ac:dyDescent="0.25">
      <c r="C2271"/>
      <c r="D2271"/>
      <c r="F2271" s="20"/>
    </row>
    <row r="2272" spans="3:6" x14ac:dyDescent="0.25">
      <c r="C2272"/>
      <c r="D2272"/>
      <c r="F2272" s="20"/>
    </row>
    <row r="2273" spans="3:6" x14ac:dyDescent="0.25">
      <c r="C2273"/>
      <c r="D2273"/>
      <c r="F2273" s="20"/>
    </row>
    <row r="2274" spans="3:6" x14ac:dyDescent="0.25">
      <c r="C2274"/>
      <c r="D2274"/>
      <c r="F2274" s="20"/>
    </row>
    <row r="2275" spans="3:6" x14ac:dyDescent="0.25">
      <c r="C2275"/>
      <c r="D2275"/>
      <c r="F2275" s="20"/>
    </row>
    <row r="2276" spans="3:6" x14ac:dyDescent="0.25">
      <c r="C2276"/>
      <c r="D2276"/>
      <c r="F2276" s="20"/>
    </row>
    <row r="2277" spans="3:6" x14ac:dyDescent="0.25">
      <c r="C2277"/>
      <c r="D2277"/>
      <c r="F2277" s="20"/>
    </row>
    <row r="2278" spans="3:6" x14ac:dyDescent="0.25">
      <c r="C2278"/>
      <c r="D2278"/>
      <c r="F2278" s="20"/>
    </row>
    <row r="2279" spans="3:6" x14ac:dyDescent="0.25">
      <c r="C2279"/>
      <c r="D2279"/>
      <c r="F2279" s="20"/>
    </row>
    <row r="2280" spans="3:6" x14ac:dyDescent="0.25">
      <c r="C2280"/>
      <c r="D2280"/>
      <c r="F2280" s="20"/>
    </row>
    <row r="2281" spans="3:6" x14ac:dyDescent="0.25">
      <c r="C2281"/>
      <c r="D2281"/>
      <c r="F2281" s="20"/>
    </row>
    <row r="2282" spans="3:6" x14ac:dyDescent="0.25">
      <c r="C2282"/>
      <c r="D2282"/>
      <c r="F2282" s="20"/>
    </row>
    <row r="2283" spans="3:6" x14ac:dyDescent="0.25">
      <c r="C2283"/>
      <c r="D2283"/>
      <c r="F2283" s="20"/>
    </row>
    <row r="2284" spans="3:6" x14ac:dyDescent="0.25">
      <c r="C2284"/>
      <c r="D2284"/>
      <c r="F2284" s="20"/>
    </row>
    <row r="2285" spans="3:6" x14ac:dyDescent="0.25">
      <c r="C2285"/>
      <c r="D2285"/>
      <c r="F2285" s="20"/>
    </row>
    <row r="2286" spans="3:6" x14ac:dyDescent="0.25">
      <c r="C2286"/>
      <c r="D2286"/>
      <c r="F2286" s="20"/>
    </row>
    <row r="2287" spans="3:6" x14ac:dyDescent="0.25">
      <c r="C2287"/>
      <c r="D2287"/>
      <c r="F2287" s="20"/>
    </row>
    <row r="2288" spans="3:6" x14ac:dyDescent="0.25">
      <c r="C2288"/>
      <c r="D2288"/>
      <c r="F2288" s="20"/>
    </row>
    <row r="2289" spans="3:6" x14ac:dyDescent="0.25">
      <c r="C2289"/>
      <c r="D2289"/>
      <c r="F2289" s="20"/>
    </row>
    <row r="2290" spans="3:6" x14ac:dyDescent="0.25">
      <c r="C2290"/>
      <c r="D2290"/>
      <c r="F2290" s="20"/>
    </row>
    <row r="2291" spans="3:6" x14ac:dyDescent="0.25">
      <c r="C2291"/>
      <c r="D2291"/>
      <c r="F2291" s="20"/>
    </row>
    <row r="2292" spans="3:6" x14ac:dyDescent="0.25">
      <c r="C2292"/>
      <c r="D2292"/>
      <c r="F2292" s="20"/>
    </row>
    <row r="2293" spans="3:6" x14ac:dyDescent="0.25">
      <c r="C2293"/>
      <c r="D2293"/>
      <c r="F2293" s="20"/>
    </row>
    <row r="2294" spans="3:6" x14ac:dyDescent="0.25">
      <c r="C2294"/>
      <c r="D2294"/>
      <c r="F2294" s="20"/>
    </row>
    <row r="2295" spans="3:6" x14ac:dyDescent="0.25">
      <c r="C2295"/>
      <c r="D2295"/>
      <c r="F2295" s="20"/>
    </row>
    <row r="2296" spans="3:6" x14ac:dyDescent="0.25">
      <c r="C2296"/>
      <c r="D2296"/>
      <c r="F2296" s="20"/>
    </row>
    <row r="2297" spans="3:6" x14ac:dyDescent="0.25">
      <c r="C2297"/>
      <c r="D2297"/>
      <c r="F2297" s="20"/>
    </row>
    <row r="2298" spans="3:6" x14ac:dyDescent="0.25">
      <c r="C2298"/>
      <c r="D2298"/>
      <c r="F2298" s="20"/>
    </row>
    <row r="2299" spans="3:6" x14ac:dyDescent="0.25">
      <c r="C2299"/>
      <c r="D2299"/>
      <c r="F2299" s="20"/>
    </row>
    <row r="2300" spans="3:6" x14ac:dyDescent="0.25">
      <c r="C2300"/>
      <c r="D2300"/>
      <c r="F2300" s="20"/>
    </row>
    <row r="2301" spans="3:6" x14ac:dyDescent="0.25">
      <c r="C2301"/>
      <c r="D2301"/>
      <c r="F2301" s="20"/>
    </row>
    <row r="2302" spans="3:6" x14ac:dyDescent="0.25">
      <c r="C2302"/>
      <c r="D2302"/>
      <c r="F2302" s="20"/>
    </row>
    <row r="2303" spans="3:6" x14ac:dyDescent="0.25">
      <c r="C2303"/>
      <c r="D2303"/>
      <c r="F2303" s="20"/>
    </row>
    <row r="2304" spans="3:6" x14ac:dyDescent="0.25">
      <c r="C2304"/>
      <c r="D2304"/>
      <c r="F2304" s="20"/>
    </row>
    <row r="2305" spans="3:6" x14ac:dyDescent="0.25">
      <c r="C2305"/>
      <c r="D2305"/>
      <c r="F2305" s="20"/>
    </row>
    <row r="2306" spans="3:6" x14ac:dyDescent="0.25">
      <c r="C2306"/>
      <c r="D2306"/>
      <c r="F2306" s="20"/>
    </row>
    <row r="2307" spans="3:6" x14ac:dyDescent="0.25">
      <c r="C2307"/>
      <c r="D2307"/>
      <c r="F2307" s="20"/>
    </row>
    <row r="2308" spans="3:6" x14ac:dyDescent="0.25">
      <c r="C2308"/>
      <c r="D2308"/>
      <c r="F2308" s="20"/>
    </row>
    <row r="2309" spans="3:6" x14ac:dyDescent="0.25">
      <c r="C2309"/>
      <c r="D2309"/>
      <c r="F2309" s="20"/>
    </row>
    <row r="2310" spans="3:6" x14ac:dyDescent="0.25">
      <c r="C2310"/>
      <c r="D2310"/>
      <c r="F2310" s="20"/>
    </row>
    <row r="2311" spans="3:6" x14ac:dyDescent="0.25">
      <c r="C2311"/>
      <c r="D2311"/>
      <c r="F2311" s="20"/>
    </row>
    <row r="2312" spans="3:6" x14ac:dyDescent="0.25">
      <c r="C2312"/>
      <c r="D2312"/>
      <c r="F2312" s="20"/>
    </row>
    <row r="2313" spans="3:6" x14ac:dyDescent="0.25">
      <c r="C2313"/>
      <c r="D2313"/>
      <c r="F2313" s="20"/>
    </row>
    <row r="2314" spans="3:6" x14ac:dyDescent="0.25">
      <c r="C2314"/>
      <c r="D2314"/>
      <c r="F2314" s="20"/>
    </row>
    <row r="2315" spans="3:6" x14ac:dyDescent="0.25">
      <c r="C2315"/>
      <c r="D2315"/>
      <c r="F2315" s="20"/>
    </row>
    <row r="2316" spans="3:6" x14ac:dyDescent="0.25">
      <c r="C2316"/>
      <c r="D2316"/>
      <c r="F2316" s="20"/>
    </row>
    <row r="2317" spans="3:6" x14ac:dyDescent="0.25">
      <c r="C2317"/>
      <c r="D2317"/>
      <c r="F2317" s="20"/>
    </row>
    <row r="2318" spans="3:6" x14ac:dyDescent="0.25">
      <c r="C2318"/>
      <c r="D2318"/>
      <c r="F2318" s="20"/>
    </row>
    <row r="2319" spans="3:6" x14ac:dyDescent="0.25">
      <c r="C2319"/>
      <c r="D2319"/>
      <c r="F2319" s="20"/>
    </row>
    <row r="2320" spans="3:6" x14ac:dyDescent="0.25">
      <c r="C2320"/>
      <c r="D2320"/>
      <c r="F2320" s="20"/>
    </row>
    <row r="2321" spans="3:6" x14ac:dyDescent="0.25">
      <c r="C2321"/>
      <c r="D2321"/>
      <c r="F2321" s="20"/>
    </row>
    <row r="2322" spans="3:6" x14ac:dyDescent="0.25">
      <c r="C2322"/>
      <c r="D2322"/>
      <c r="F2322" s="20"/>
    </row>
    <row r="2323" spans="3:6" x14ac:dyDescent="0.25">
      <c r="C2323"/>
      <c r="D2323"/>
      <c r="F2323" s="20"/>
    </row>
    <row r="2324" spans="3:6" x14ac:dyDescent="0.25">
      <c r="C2324"/>
      <c r="D2324"/>
      <c r="F2324" s="20"/>
    </row>
    <row r="2325" spans="3:6" x14ac:dyDescent="0.25">
      <c r="C2325"/>
      <c r="D2325"/>
      <c r="F2325" s="20"/>
    </row>
    <row r="2326" spans="3:6" x14ac:dyDescent="0.25">
      <c r="C2326"/>
      <c r="D2326"/>
      <c r="F2326" s="20"/>
    </row>
    <row r="2327" spans="3:6" x14ac:dyDescent="0.25">
      <c r="C2327"/>
      <c r="D2327"/>
      <c r="F2327" s="20"/>
    </row>
    <row r="2328" spans="3:6" x14ac:dyDescent="0.25">
      <c r="C2328"/>
      <c r="D2328"/>
      <c r="F2328" s="20"/>
    </row>
    <row r="2329" spans="3:6" x14ac:dyDescent="0.25">
      <c r="C2329"/>
      <c r="D2329"/>
      <c r="F2329" s="20"/>
    </row>
    <row r="2330" spans="3:6" x14ac:dyDescent="0.25">
      <c r="C2330"/>
      <c r="D2330"/>
      <c r="F2330" s="20"/>
    </row>
    <row r="2331" spans="3:6" x14ac:dyDescent="0.25">
      <c r="C2331"/>
      <c r="D2331"/>
      <c r="F2331" s="20"/>
    </row>
    <row r="2332" spans="3:6" x14ac:dyDescent="0.25">
      <c r="C2332"/>
      <c r="D2332"/>
      <c r="F2332" s="20"/>
    </row>
    <row r="2333" spans="3:6" x14ac:dyDescent="0.25">
      <c r="C2333"/>
      <c r="D2333"/>
      <c r="F2333" s="20"/>
    </row>
    <row r="2334" spans="3:6" x14ac:dyDescent="0.25">
      <c r="C2334"/>
      <c r="D2334"/>
      <c r="F2334" s="20"/>
    </row>
    <row r="2335" spans="3:6" x14ac:dyDescent="0.25">
      <c r="C2335"/>
      <c r="D2335"/>
      <c r="F2335" s="20"/>
    </row>
    <row r="2336" spans="3:6" x14ac:dyDescent="0.25">
      <c r="C2336"/>
      <c r="D2336"/>
      <c r="F2336" s="20"/>
    </row>
    <row r="2337" spans="3:6" x14ac:dyDescent="0.25">
      <c r="C2337"/>
      <c r="D2337"/>
      <c r="F2337" s="20"/>
    </row>
    <row r="2338" spans="3:6" x14ac:dyDescent="0.25">
      <c r="C2338"/>
      <c r="D2338"/>
      <c r="F2338" s="20"/>
    </row>
    <row r="2339" spans="3:6" x14ac:dyDescent="0.25">
      <c r="C2339"/>
      <c r="D2339"/>
      <c r="F2339" s="20"/>
    </row>
    <row r="2340" spans="3:6" x14ac:dyDescent="0.25">
      <c r="C2340"/>
      <c r="D2340"/>
      <c r="F2340" s="20"/>
    </row>
    <row r="2341" spans="3:6" x14ac:dyDescent="0.25">
      <c r="C2341"/>
      <c r="D2341"/>
      <c r="F2341" s="20"/>
    </row>
    <row r="2342" spans="3:6" x14ac:dyDescent="0.25">
      <c r="C2342"/>
      <c r="D2342"/>
      <c r="F2342" s="20"/>
    </row>
    <row r="2343" spans="3:6" x14ac:dyDescent="0.25">
      <c r="C2343"/>
      <c r="D2343"/>
      <c r="F2343" s="20"/>
    </row>
    <row r="2344" spans="3:6" x14ac:dyDescent="0.25">
      <c r="C2344"/>
      <c r="D2344"/>
      <c r="F2344" s="20"/>
    </row>
    <row r="2345" spans="3:6" x14ac:dyDescent="0.25">
      <c r="C2345"/>
      <c r="D2345"/>
      <c r="F2345" s="20"/>
    </row>
    <row r="2346" spans="3:6" x14ac:dyDescent="0.25">
      <c r="C2346"/>
      <c r="D2346"/>
      <c r="F2346" s="20"/>
    </row>
    <row r="2347" spans="3:6" x14ac:dyDescent="0.25">
      <c r="C2347"/>
      <c r="D2347"/>
      <c r="F2347" s="20"/>
    </row>
    <row r="2348" spans="3:6" x14ac:dyDescent="0.25">
      <c r="C2348"/>
      <c r="D2348"/>
      <c r="F2348" s="20"/>
    </row>
    <row r="2349" spans="3:6" x14ac:dyDescent="0.25">
      <c r="C2349"/>
      <c r="D2349"/>
      <c r="F2349" s="20"/>
    </row>
    <row r="2350" spans="3:6" x14ac:dyDescent="0.25">
      <c r="C2350"/>
      <c r="D2350"/>
      <c r="F2350" s="20"/>
    </row>
    <row r="2351" spans="3:6" x14ac:dyDescent="0.25">
      <c r="C2351"/>
      <c r="D2351"/>
      <c r="F2351" s="20"/>
    </row>
    <row r="2352" spans="3:6" x14ac:dyDescent="0.25">
      <c r="C2352"/>
      <c r="D2352"/>
      <c r="F2352" s="20"/>
    </row>
    <row r="2353" spans="3:6" x14ac:dyDescent="0.25">
      <c r="C2353"/>
      <c r="D2353"/>
      <c r="F2353" s="20"/>
    </row>
    <row r="2354" spans="3:6" x14ac:dyDescent="0.25">
      <c r="C2354"/>
      <c r="D2354"/>
      <c r="F2354" s="20"/>
    </row>
    <row r="2355" spans="3:6" x14ac:dyDescent="0.25">
      <c r="C2355"/>
      <c r="D2355"/>
      <c r="F2355" s="20"/>
    </row>
    <row r="2356" spans="3:6" x14ac:dyDescent="0.25">
      <c r="C2356"/>
      <c r="D2356"/>
      <c r="F2356" s="20"/>
    </row>
    <row r="2357" spans="3:6" x14ac:dyDescent="0.25">
      <c r="C2357"/>
      <c r="D2357"/>
      <c r="F2357" s="20"/>
    </row>
    <row r="2358" spans="3:6" x14ac:dyDescent="0.25">
      <c r="C2358"/>
      <c r="D2358"/>
      <c r="F2358" s="20"/>
    </row>
    <row r="2359" spans="3:6" x14ac:dyDescent="0.25">
      <c r="C2359"/>
      <c r="D2359"/>
      <c r="F2359" s="20"/>
    </row>
    <row r="2360" spans="3:6" x14ac:dyDescent="0.25">
      <c r="C2360"/>
      <c r="D2360"/>
      <c r="F2360" s="20"/>
    </row>
    <row r="2361" spans="3:6" x14ac:dyDescent="0.25">
      <c r="C2361"/>
      <c r="D2361"/>
      <c r="F2361" s="20"/>
    </row>
    <row r="2362" spans="3:6" x14ac:dyDescent="0.25">
      <c r="C2362"/>
      <c r="D2362"/>
      <c r="F2362" s="20"/>
    </row>
    <row r="2363" spans="3:6" x14ac:dyDescent="0.25">
      <c r="C2363"/>
      <c r="D2363"/>
      <c r="F2363" s="20"/>
    </row>
    <row r="2364" spans="3:6" x14ac:dyDescent="0.25">
      <c r="C2364"/>
      <c r="D2364"/>
      <c r="F2364" s="20"/>
    </row>
    <row r="2365" spans="3:6" x14ac:dyDescent="0.25">
      <c r="C2365"/>
      <c r="D2365"/>
      <c r="F2365" s="20"/>
    </row>
    <row r="2366" spans="3:6" x14ac:dyDescent="0.25">
      <c r="C2366"/>
      <c r="D2366"/>
      <c r="F2366" s="20"/>
    </row>
    <row r="2367" spans="3:6" x14ac:dyDescent="0.25">
      <c r="C2367"/>
      <c r="D2367"/>
      <c r="F2367" s="20"/>
    </row>
    <row r="2368" spans="3:6" x14ac:dyDescent="0.25">
      <c r="C2368"/>
      <c r="D2368"/>
      <c r="F2368" s="20"/>
    </row>
    <row r="2369" spans="3:6" x14ac:dyDescent="0.25">
      <c r="C2369"/>
      <c r="D2369"/>
      <c r="F2369" s="20"/>
    </row>
    <row r="2370" spans="3:6" x14ac:dyDescent="0.25">
      <c r="C2370"/>
      <c r="D2370"/>
      <c r="F2370" s="20"/>
    </row>
    <row r="2371" spans="3:6" x14ac:dyDescent="0.25">
      <c r="C2371"/>
      <c r="D2371"/>
      <c r="F2371" s="20"/>
    </row>
    <row r="2372" spans="3:6" x14ac:dyDescent="0.25">
      <c r="C2372"/>
      <c r="D2372"/>
      <c r="F2372" s="20"/>
    </row>
    <row r="2373" spans="3:6" x14ac:dyDescent="0.25">
      <c r="C2373"/>
      <c r="D2373"/>
      <c r="F2373" s="20"/>
    </row>
    <row r="2374" spans="3:6" x14ac:dyDescent="0.25">
      <c r="C2374"/>
      <c r="D2374"/>
      <c r="F2374" s="20"/>
    </row>
    <row r="2375" spans="3:6" x14ac:dyDescent="0.25">
      <c r="C2375"/>
      <c r="D2375"/>
      <c r="F2375" s="20"/>
    </row>
    <row r="2376" spans="3:6" x14ac:dyDescent="0.25">
      <c r="C2376"/>
      <c r="D2376"/>
      <c r="F2376" s="20"/>
    </row>
    <row r="2377" spans="3:6" x14ac:dyDescent="0.25">
      <c r="C2377"/>
      <c r="D2377"/>
      <c r="F2377" s="20"/>
    </row>
    <row r="2378" spans="3:6" x14ac:dyDescent="0.25">
      <c r="C2378"/>
      <c r="D2378"/>
      <c r="F2378" s="20"/>
    </row>
    <row r="2379" spans="3:6" x14ac:dyDescent="0.25">
      <c r="C2379"/>
      <c r="D2379"/>
      <c r="F2379" s="20"/>
    </row>
    <row r="2380" spans="3:6" x14ac:dyDescent="0.25">
      <c r="C2380"/>
      <c r="D2380"/>
      <c r="F2380" s="20"/>
    </row>
    <row r="2381" spans="3:6" x14ac:dyDescent="0.25">
      <c r="C2381"/>
      <c r="D2381"/>
      <c r="F2381" s="20"/>
    </row>
    <row r="2382" spans="3:6" x14ac:dyDescent="0.25">
      <c r="C2382"/>
      <c r="D2382"/>
      <c r="F2382" s="20"/>
    </row>
    <row r="2383" spans="3:6" x14ac:dyDescent="0.25">
      <c r="C2383"/>
      <c r="D2383"/>
      <c r="F2383" s="20"/>
    </row>
    <row r="2384" spans="3:6" x14ac:dyDescent="0.25">
      <c r="C2384"/>
      <c r="D2384"/>
      <c r="F2384" s="20"/>
    </row>
    <row r="2385" spans="3:6" x14ac:dyDescent="0.25">
      <c r="C2385"/>
      <c r="D2385"/>
      <c r="F2385" s="20"/>
    </row>
    <row r="2386" spans="3:6" x14ac:dyDescent="0.25">
      <c r="C2386"/>
      <c r="D2386"/>
      <c r="F2386" s="20"/>
    </row>
    <row r="2387" spans="3:6" x14ac:dyDescent="0.25">
      <c r="C2387"/>
      <c r="D2387"/>
      <c r="F2387" s="20"/>
    </row>
    <row r="2388" spans="3:6" x14ac:dyDescent="0.25">
      <c r="C2388"/>
      <c r="D2388"/>
      <c r="F2388" s="20"/>
    </row>
    <row r="2389" spans="3:6" x14ac:dyDescent="0.25">
      <c r="C2389"/>
      <c r="D2389"/>
      <c r="F2389" s="20"/>
    </row>
    <row r="2390" spans="3:6" x14ac:dyDescent="0.25">
      <c r="C2390"/>
      <c r="D2390"/>
      <c r="F2390" s="20"/>
    </row>
    <row r="2391" spans="3:6" x14ac:dyDescent="0.25">
      <c r="C2391"/>
      <c r="D2391"/>
      <c r="F2391" s="20"/>
    </row>
    <row r="2392" spans="3:6" x14ac:dyDescent="0.25">
      <c r="C2392"/>
      <c r="D2392"/>
      <c r="F2392" s="20"/>
    </row>
    <row r="2393" spans="3:6" x14ac:dyDescent="0.25">
      <c r="C2393"/>
      <c r="D2393"/>
      <c r="F2393" s="20"/>
    </row>
    <row r="2394" spans="3:6" x14ac:dyDescent="0.25">
      <c r="C2394"/>
      <c r="D2394"/>
      <c r="F2394" s="20"/>
    </row>
    <row r="2395" spans="3:6" x14ac:dyDescent="0.25">
      <c r="C2395"/>
      <c r="D2395"/>
      <c r="F2395" s="20"/>
    </row>
    <row r="2396" spans="3:6" x14ac:dyDescent="0.25">
      <c r="C2396"/>
      <c r="D2396"/>
      <c r="F2396" s="20"/>
    </row>
    <row r="2397" spans="3:6" x14ac:dyDescent="0.25">
      <c r="C2397"/>
      <c r="D2397"/>
      <c r="F2397" s="20"/>
    </row>
    <row r="2398" spans="3:6" x14ac:dyDescent="0.25">
      <c r="C2398"/>
      <c r="D2398"/>
      <c r="F2398" s="20"/>
    </row>
    <row r="2399" spans="3:6" x14ac:dyDescent="0.25">
      <c r="C2399"/>
      <c r="D2399"/>
      <c r="F2399" s="20"/>
    </row>
    <row r="2400" spans="3:6" x14ac:dyDescent="0.25">
      <c r="C2400"/>
      <c r="D2400"/>
      <c r="F2400" s="20"/>
    </row>
    <row r="2401" spans="3:6" x14ac:dyDescent="0.25">
      <c r="C2401"/>
      <c r="D2401"/>
      <c r="F2401" s="20"/>
    </row>
    <row r="2402" spans="3:6" x14ac:dyDescent="0.25">
      <c r="C2402"/>
      <c r="D2402"/>
      <c r="F2402" s="20"/>
    </row>
    <row r="2403" spans="3:6" x14ac:dyDescent="0.25">
      <c r="C2403"/>
      <c r="D2403"/>
      <c r="F2403" s="20"/>
    </row>
    <row r="2404" spans="3:6" x14ac:dyDescent="0.25">
      <c r="C2404"/>
      <c r="D2404"/>
      <c r="F2404" s="20"/>
    </row>
    <row r="2405" spans="3:6" x14ac:dyDescent="0.25">
      <c r="C2405"/>
      <c r="D2405"/>
      <c r="F2405" s="20"/>
    </row>
    <row r="2406" spans="3:6" x14ac:dyDescent="0.25">
      <c r="C2406"/>
      <c r="D2406"/>
      <c r="F2406" s="20"/>
    </row>
    <row r="2407" spans="3:6" x14ac:dyDescent="0.25">
      <c r="C2407"/>
      <c r="D2407"/>
      <c r="F2407" s="20"/>
    </row>
    <row r="2408" spans="3:6" x14ac:dyDescent="0.25">
      <c r="C2408"/>
      <c r="D2408"/>
      <c r="F2408" s="20"/>
    </row>
    <row r="2409" spans="3:6" x14ac:dyDescent="0.25">
      <c r="C2409"/>
      <c r="D2409"/>
      <c r="F2409" s="20"/>
    </row>
    <row r="2410" spans="3:6" x14ac:dyDescent="0.25">
      <c r="C2410"/>
      <c r="D2410"/>
      <c r="F2410" s="20"/>
    </row>
    <row r="2411" spans="3:6" x14ac:dyDescent="0.25">
      <c r="C2411"/>
      <c r="D2411"/>
      <c r="F2411" s="20"/>
    </row>
    <row r="2412" spans="3:6" x14ac:dyDescent="0.25">
      <c r="C2412"/>
      <c r="D2412"/>
      <c r="F2412" s="20"/>
    </row>
    <row r="2413" spans="3:6" x14ac:dyDescent="0.25">
      <c r="C2413"/>
      <c r="D2413"/>
      <c r="F2413" s="20"/>
    </row>
    <row r="2414" spans="3:6" x14ac:dyDescent="0.25">
      <c r="C2414"/>
      <c r="D2414"/>
      <c r="F2414" s="20"/>
    </row>
    <row r="2415" spans="3:6" x14ac:dyDescent="0.25">
      <c r="C2415"/>
      <c r="D2415"/>
      <c r="F2415" s="20"/>
    </row>
    <row r="2416" spans="3:6" x14ac:dyDescent="0.25">
      <c r="C2416"/>
      <c r="D2416"/>
      <c r="F2416" s="20"/>
    </row>
    <row r="2417" spans="3:6" x14ac:dyDescent="0.25">
      <c r="C2417"/>
      <c r="D2417"/>
      <c r="F2417" s="20"/>
    </row>
    <row r="2418" spans="3:6" x14ac:dyDescent="0.25">
      <c r="C2418"/>
      <c r="D2418"/>
      <c r="F2418" s="20"/>
    </row>
    <row r="2419" spans="3:6" x14ac:dyDescent="0.25">
      <c r="C2419"/>
      <c r="D2419"/>
      <c r="F2419" s="20"/>
    </row>
    <row r="2420" spans="3:6" x14ac:dyDescent="0.25">
      <c r="C2420"/>
      <c r="D2420"/>
      <c r="F2420" s="20"/>
    </row>
    <row r="2421" spans="3:6" x14ac:dyDescent="0.25">
      <c r="C2421"/>
      <c r="D2421"/>
      <c r="F2421" s="20"/>
    </row>
    <row r="2422" spans="3:6" x14ac:dyDescent="0.25">
      <c r="C2422"/>
      <c r="D2422"/>
      <c r="F2422" s="20"/>
    </row>
    <row r="2423" spans="3:6" x14ac:dyDescent="0.25">
      <c r="C2423"/>
      <c r="D2423"/>
      <c r="F2423" s="20"/>
    </row>
    <row r="2424" spans="3:6" x14ac:dyDescent="0.25">
      <c r="C2424"/>
      <c r="D2424"/>
      <c r="F2424" s="20"/>
    </row>
    <row r="2425" spans="3:6" x14ac:dyDescent="0.25">
      <c r="C2425"/>
      <c r="D2425"/>
      <c r="F2425" s="20"/>
    </row>
    <row r="2426" spans="3:6" x14ac:dyDescent="0.25">
      <c r="C2426"/>
      <c r="D2426"/>
      <c r="F2426" s="20"/>
    </row>
    <row r="2427" spans="3:6" x14ac:dyDescent="0.25">
      <c r="C2427"/>
      <c r="D2427"/>
      <c r="F2427" s="20"/>
    </row>
    <row r="2428" spans="3:6" x14ac:dyDescent="0.25">
      <c r="C2428"/>
      <c r="D2428"/>
      <c r="F2428" s="20"/>
    </row>
    <row r="2429" spans="3:6" x14ac:dyDescent="0.25">
      <c r="C2429"/>
      <c r="D2429"/>
      <c r="F2429" s="20"/>
    </row>
    <row r="2430" spans="3:6" x14ac:dyDescent="0.25">
      <c r="C2430"/>
      <c r="D2430"/>
      <c r="F2430" s="20"/>
    </row>
    <row r="2431" spans="3:6" x14ac:dyDescent="0.25">
      <c r="C2431"/>
      <c r="D2431"/>
      <c r="F2431" s="20"/>
    </row>
    <row r="2432" spans="3:6" x14ac:dyDescent="0.25">
      <c r="C2432"/>
      <c r="D2432"/>
      <c r="F2432" s="20"/>
    </row>
    <row r="2433" spans="3:6" x14ac:dyDescent="0.25">
      <c r="C2433"/>
      <c r="D2433"/>
      <c r="F2433" s="20"/>
    </row>
    <row r="2434" spans="3:6" x14ac:dyDescent="0.25">
      <c r="C2434"/>
      <c r="D2434"/>
      <c r="F2434" s="20"/>
    </row>
    <row r="2435" spans="3:6" x14ac:dyDescent="0.25">
      <c r="C2435"/>
      <c r="D2435"/>
      <c r="F2435" s="20"/>
    </row>
    <row r="2436" spans="3:6" x14ac:dyDescent="0.25">
      <c r="C2436"/>
      <c r="D2436"/>
      <c r="F2436" s="20"/>
    </row>
    <row r="2437" spans="3:6" x14ac:dyDescent="0.25">
      <c r="C2437"/>
      <c r="D2437"/>
      <c r="F2437" s="20"/>
    </row>
    <row r="2438" spans="3:6" x14ac:dyDescent="0.25">
      <c r="C2438"/>
      <c r="D2438"/>
      <c r="F2438" s="20"/>
    </row>
    <row r="2439" spans="3:6" x14ac:dyDescent="0.25">
      <c r="C2439"/>
      <c r="D2439"/>
      <c r="F2439" s="20"/>
    </row>
    <row r="2440" spans="3:6" x14ac:dyDescent="0.25">
      <c r="C2440"/>
      <c r="D2440"/>
      <c r="F2440" s="20"/>
    </row>
    <row r="2441" spans="3:6" x14ac:dyDescent="0.25">
      <c r="C2441"/>
      <c r="D2441"/>
      <c r="F2441" s="20"/>
    </row>
    <row r="2442" spans="3:6" x14ac:dyDescent="0.25">
      <c r="C2442"/>
      <c r="D2442"/>
      <c r="F2442" s="20"/>
    </row>
    <row r="2443" spans="3:6" x14ac:dyDescent="0.25">
      <c r="C2443"/>
      <c r="D2443"/>
      <c r="F2443" s="20"/>
    </row>
    <row r="2444" spans="3:6" x14ac:dyDescent="0.25">
      <c r="C2444"/>
      <c r="D2444"/>
      <c r="F2444" s="20"/>
    </row>
    <row r="2445" spans="3:6" x14ac:dyDescent="0.25">
      <c r="C2445"/>
      <c r="D2445"/>
      <c r="F2445" s="20"/>
    </row>
    <row r="2446" spans="3:6" x14ac:dyDescent="0.25">
      <c r="C2446"/>
      <c r="D2446"/>
      <c r="F2446" s="20"/>
    </row>
    <row r="2447" spans="3:6" x14ac:dyDescent="0.25">
      <c r="C2447"/>
      <c r="D2447"/>
      <c r="F2447" s="20"/>
    </row>
    <row r="2448" spans="3:6" x14ac:dyDescent="0.25">
      <c r="C2448"/>
      <c r="D2448"/>
      <c r="F2448" s="20"/>
    </row>
    <row r="2449" spans="3:6" x14ac:dyDescent="0.25">
      <c r="C2449"/>
      <c r="D2449"/>
      <c r="F2449" s="20"/>
    </row>
    <row r="2450" spans="3:6" x14ac:dyDescent="0.25">
      <c r="C2450"/>
      <c r="D2450"/>
      <c r="F2450" s="20"/>
    </row>
    <row r="2451" spans="3:6" x14ac:dyDescent="0.25">
      <c r="C2451"/>
      <c r="D2451"/>
      <c r="F2451" s="20"/>
    </row>
    <row r="2452" spans="3:6" x14ac:dyDescent="0.25">
      <c r="C2452"/>
      <c r="D2452"/>
      <c r="F2452" s="20"/>
    </row>
    <row r="2453" spans="3:6" x14ac:dyDescent="0.25">
      <c r="C2453"/>
      <c r="D2453"/>
      <c r="F2453" s="20"/>
    </row>
    <row r="2454" spans="3:6" x14ac:dyDescent="0.25">
      <c r="C2454"/>
      <c r="D2454"/>
      <c r="F2454" s="20"/>
    </row>
    <row r="2455" spans="3:6" x14ac:dyDescent="0.25">
      <c r="C2455"/>
      <c r="D2455"/>
      <c r="F2455" s="20"/>
    </row>
    <row r="2456" spans="3:6" x14ac:dyDescent="0.25">
      <c r="C2456"/>
      <c r="D2456"/>
      <c r="F2456" s="20"/>
    </row>
    <row r="2457" spans="3:6" x14ac:dyDescent="0.25">
      <c r="C2457"/>
      <c r="D2457"/>
      <c r="F2457" s="20"/>
    </row>
    <row r="2458" spans="3:6" x14ac:dyDescent="0.25">
      <c r="C2458"/>
      <c r="D2458"/>
      <c r="F2458" s="20"/>
    </row>
    <row r="2459" spans="3:6" x14ac:dyDescent="0.25">
      <c r="C2459"/>
      <c r="D2459"/>
      <c r="F2459" s="20"/>
    </row>
    <row r="2460" spans="3:6" x14ac:dyDescent="0.25">
      <c r="C2460"/>
      <c r="D2460"/>
      <c r="F2460" s="20"/>
    </row>
    <row r="2461" spans="3:6" x14ac:dyDescent="0.25">
      <c r="C2461"/>
      <c r="D2461"/>
      <c r="F2461" s="20"/>
    </row>
    <row r="2462" spans="3:6" x14ac:dyDescent="0.25">
      <c r="C2462"/>
      <c r="D2462"/>
      <c r="F2462" s="20"/>
    </row>
    <row r="2463" spans="3:6" x14ac:dyDescent="0.25">
      <c r="C2463"/>
      <c r="D2463"/>
      <c r="F2463" s="20"/>
    </row>
    <row r="2464" spans="3:6" x14ac:dyDescent="0.25">
      <c r="C2464"/>
      <c r="D2464"/>
      <c r="F2464" s="20"/>
    </row>
    <row r="2465" spans="3:6" x14ac:dyDescent="0.25">
      <c r="C2465"/>
      <c r="D2465"/>
      <c r="F2465" s="20"/>
    </row>
    <row r="2466" spans="3:6" x14ac:dyDescent="0.25">
      <c r="C2466"/>
      <c r="D2466"/>
      <c r="F2466" s="20"/>
    </row>
    <row r="2467" spans="3:6" x14ac:dyDescent="0.25">
      <c r="C2467"/>
      <c r="D2467"/>
      <c r="F2467" s="20"/>
    </row>
    <row r="2468" spans="3:6" x14ac:dyDescent="0.25">
      <c r="C2468"/>
      <c r="D2468"/>
      <c r="F2468" s="20"/>
    </row>
    <row r="2469" spans="3:6" x14ac:dyDescent="0.25">
      <c r="C2469"/>
      <c r="D2469"/>
      <c r="F2469" s="20"/>
    </row>
    <row r="2470" spans="3:6" x14ac:dyDescent="0.25">
      <c r="C2470"/>
      <c r="D2470"/>
      <c r="F2470" s="20"/>
    </row>
    <row r="2471" spans="3:6" x14ac:dyDescent="0.25">
      <c r="C2471"/>
      <c r="D2471"/>
      <c r="F2471" s="20"/>
    </row>
    <row r="2472" spans="3:6" x14ac:dyDescent="0.25">
      <c r="C2472"/>
      <c r="D2472"/>
      <c r="F2472" s="20"/>
    </row>
    <row r="2473" spans="3:6" x14ac:dyDescent="0.25">
      <c r="C2473"/>
      <c r="D2473"/>
      <c r="F2473" s="20"/>
    </row>
    <row r="2474" spans="3:6" x14ac:dyDescent="0.25">
      <c r="C2474"/>
      <c r="D2474"/>
      <c r="F2474" s="20"/>
    </row>
    <row r="2475" spans="3:6" x14ac:dyDescent="0.25">
      <c r="C2475"/>
      <c r="D2475"/>
      <c r="F2475" s="20"/>
    </row>
    <row r="2476" spans="3:6" x14ac:dyDescent="0.25">
      <c r="C2476"/>
      <c r="D2476"/>
      <c r="F2476" s="20"/>
    </row>
    <row r="2477" spans="3:6" x14ac:dyDescent="0.25">
      <c r="C2477"/>
      <c r="D2477"/>
      <c r="F2477" s="20"/>
    </row>
    <row r="2478" spans="3:6" x14ac:dyDescent="0.25">
      <c r="C2478"/>
      <c r="D2478"/>
      <c r="F2478" s="20"/>
    </row>
    <row r="2479" spans="3:6" x14ac:dyDescent="0.25">
      <c r="C2479"/>
      <c r="D2479"/>
      <c r="F2479" s="20"/>
    </row>
    <row r="2480" spans="3:6" x14ac:dyDescent="0.25">
      <c r="C2480"/>
      <c r="D2480"/>
      <c r="F2480" s="20"/>
    </row>
    <row r="2481" spans="3:6" x14ac:dyDescent="0.25">
      <c r="C2481"/>
      <c r="D2481"/>
      <c r="F2481" s="20"/>
    </row>
    <row r="2482" spans="3:6" x14ac:dyDescent="0.25">
      <c r="C2482"/>
      <c r="D2482"/>
      <c r="F2482" s="20"/>
    </row>
    <row r="2483" spans="3:6" x14ac:dyDescent="0.25">
      <c r="C2483"/>
      <c r="D2483"/>
      <c r="F2483" s="20"/>
    </row>
    <row r="2484" spans="3:6" x14ac:dyDescent="0.25">
      <c r="C2484"/>
      <c r="D2484"/>
      <c r="F2484" s="20"/>
    </row>
    <row r="2485" spans="3:6" x14ac:dyDescent="0.25">
      <c r="C2485"/>
      <c r="D2485"/>
      <c r="F2485" s="20"/>
    </row>
    <row r="2486" spans="3:6" x14ac:dyDescent="0.25">
      <c r="C2486"/>
      <c r="D2486"/>
      <c r="F2486" s="20"/>
    </row>
    <row r="2487" spans="3:6" x14ac:dyDescent="0.25">
      <c r="C2487"/>
      <c r="D2487"/>
      <c r="F2487" s="20"/>
    </row>
    <row r="2488" spans="3:6" x14ac:dyDescent="0.25">
      <c r="C2488"/>
      <c r="D2488"/>
      <c r="F2488" s="20"/>
    </row>
    <row r="2489" spans="3:6" x14ac:dyDescent="0.25">
      <c r="C2489"/>
      <c r="D2489"/>
      <c r="F2489" s="20"/>
    </row>
    <row r="2490" spans="3:6" x14ac:dyDescent="0.25">
      <c r="C2490"/>
      <c r="D2490"/>
      <c r="F2490" s="20"/>
    </row>
    <row r="2491" spans="3:6" x14ac:dyDescent="0.25">
      <c r="C2491"/>
      <c r="D2491"/>
      <c r="F2491" s="20"/>
    </row>
    <row r="2492" spans="3:6" x14ac:dyDescent="0.25">
      <c r="C2492"/>
      <c r="D2492"/>
      <c r="F2492" s="20"/>
    </row>
    <row r="2493" spans="3:6" x14ac:dyDescent="0.25">
      <c r="C2493"/>
      <c r="D2493"/>
      <c r="F2493" s="20"/>
    </row>
    <row r="2494" spans="3:6" x14ac:dyDescent="0.25">
      <c r="C2494"/>
      <c r="D2494"/>
      <c r="F2494" s="20"/>
    </row>
    <row r="2495" spans="3:6" x14ac:dyDescent="0.25">
      <c r="C2495"/>
      <c r="D2495"/>
      <c r="F2495" s="20"/>
    </row>
    <row r="2496" spans="3:6" x14ac:dyDescent="0.25">
      <c r="C2496"/>
      <c r="D2496"/>
      <c r="F2496" s="20"/>
    </row>
    <row r="2497" spans="3:6" x14ac:dyDescent="0.25">
      <c r="C2497"/>
      <c r="D2497"/>
      <c r="F2497" s="20"/>
    </row>
    <row r="2498" spans="3:6" x14ac:dyDescent="0.25">
      <c r="C2498"/>
      <c r="D2498"/>
      <c r="F2498" s="20"/>
    </row>
    <row r="2499" spans="3:6" x14ac:dyDescent="0.25">
      <c r="C2499"/>
      <c r="D2499"/>
      <c r="F2499" s="20"/>
    </row>
    <row r="2500" spans="3:6" x14ac:dyDescent="0.25">
      <c r="C2500"/>
      <c r="D2500"/>
      <c r="F2500" s="20"/>
    </row>
    <row r="2501" spans="3:6" x14ac:dyDescent="0.25">
      <c r="C2501"/>
      <c r="D2501"/>
      <c r="F2501" s="20"/>
    </row>
    <row r="2502" spans="3:6" x14ac:dyDescent="0.25">
      <c r="C2502"/>
      <c r="D2502"/>
      <c r="F2502" s="20"/>
    </row>
    <row r="2503" spans="3:6" x14ac:dyDescent="0.25">
      <c r="C2503"/>
      <c r="D2503"/>
      <c r="F2503" s="20"/>
    </row>
    <row r="2504" spans="3:6" x14ac:dyDescent="0.25">
      <c r="C2504"/>
      <c r="D2504"/>
      <c r="F2504" s="20"/>
    </row>
    <row r="2505" spans="3:6" x14ac:dyDescent="0.25">
      <c r="C2505"/>
      <c r="D2505"/>
      <c r="F2505" s="20"/>
    </row>
    <row r="2506" spans="3:6" x14ac:dyDescent="0.25">
      <c r="C2506"/>
      <c r="D2506"/>
      <c r="F2506" s="20"/>
    </row>
    <row r="2507" spans="3:6" x14ac:dyDescent="0.25">
      <c r="C2507"/>
      <c r="D2507"/>
      <c r="F2507" s="20"/>
    </row>
    <row r="2508" spans="3:6" x14ac:dyDescent="0.25">
      <c r="C2508"/>
      <c r="D2508"/>
      <c r="F2508" s="20"/>
    </row>
    <row r="2509" spans="3:6" x14ac:dyDescent="0.25">
      <c r="C2509"/>
      <c r="D2509"/>
      <c r="F2509" s="20"/>
    </row>
    <row r="2510" spans="3:6" x14ac:dyDescent="0.25">
      <c r="C2510"/>
      <c r="D2510"/>
      <c r="F2510" s="20"/>
    </row>
    <row r="2511" spans="3:6" x14ac:dyDescent="0.25">
      <c r="C2511"/>
      <c r="D2511"/>
      <c r="F2511" s="20"/>
    </row>
    <row r="2512" spans="3:6" x14ac:dyDescent="0.25">
      <c r="C2512"/>
      <c r="D2512"/>
      <c r="F2512" s="20"/>
    </row>
    <row r="2513" spans="3:6" x14ac:dyDescent="0.25">
      <c r="C2513"/>
      <c r="D2513"/>
      <c r="F2513" s="20"/>
    </row>
    <row r="2514" spans="3:6" x14ac:dyDescent="0.25">
      <c r="C2514"/>
      <c r="D2514"/>
      <c r="F2514" s="20"/>
    </row>
    <row r="2515" spans="3:6" x14ac:dyDescent="0.25">
      <c r="C2515"/>
      <c r="D2515"/>
      <c r="F2515" s="20"/>
    </row>
    <row r="2516" spans="3:6" x14ac:dyDescent="0.25">
      <c r="C2516"/>
      <c r="D2516"/>
      <c r="F2516" s="20"/>
    </row>
    <row r="2517" spans="3:6" x14ac:dyDescent="0.25">
      <c r="C2517"/>
      <c r="D2517"/>
      <c r="F2517" s="20"/>
    </row>
    <row r="2518" spans="3:6" x14ac:dyDescent="0.25">
      <c r="C2518"/>
      <c r="D2518"/>
      <c r="F2518" s="20"/>
    </row>
    <row r="2519" spans="3:6" x14ac:dyDescent="0.25">
      <c r="C2519"/>
      <c r="D2519"/>
      <c r="F2519" s="20"/>
    </row>
    <row r="2520" spans="3:6" x14ac:dyDescent="0.25">
      <c r="C2520"/>
      <c r="D2520"/>
      <c r="F2520" s="20"/>
    </row>
    <row r="2521" spans="3:6" x14ac:dyDescent="0.25">
      <c r="C2521"/>
      <c r="D2521"/>
      <c r="F2521" s="20"/>
    </row>
    <row r="2522" spans="3:6" x14ac:dyDescent="0.25">
      <c r="C2522"/>
      <c r="D2522"/>
      <c r="F2522" s="20"/>
    </row>
    <row r="2523" spans="3:6" x14ac:dyDescent="0.25">
      <c r="C2523"/>
      <c r="D2523"/>
      <c r="F2523" s="20"/>
    </row>
    <row r="2524" spans="3:6" x14ac:dyDescent="0.25">
      <c r="C2524"/>
      <c r="D2524"/>
      <c r="F2524" s="20"/>
    </row>
    <row r="2525" spans="3:6" x14ac:dyDescent="0.25">
      <c r="C2525"/>
      <c r="D2525"/>
      <c r="F2525" s="20"/>
    </row>
    <row r="2526" spans="3:6" x14ac:dyDescent="0.25">
      <c r="C2526"/>
      <c r="D2526"/>
      <c r="F2526" s="20"/>
    </row>
    <row r="2527" spans="3:6" x14ac:dyDescent="0.25">
      <c r="C2527"/>
      <c r="D2527"/>
      <c r="F2527" s="20"/>
    </row>
    <row r="2528" spans="3:6" x14ac:dyDescent="0.25">
      <c r="C2528"/>
      <c r="D2528"/>
      <c r="F2528" s="20"/>
    </row>
    <row r="2529" spans="3:6" x14ac:dyDescent="0.25">
      <c r="C2529"/>
      <c r="D2529"/>
      <c r="F2529" s="20"/>
    </row>
    <row r="2530" spans="3:6" x14ac:dyDescent="0.25">
      <c r="C2530"/>
      <c r="D2530"/>
      <c r="F2530" s="20"/>
    </row>
    <row r="2531" spans="3:6" x14ac:dyDescent="0.25">
      <c r="C2531"/>
      <c r="D2531"/>
      <c r="F2531" s="20"/>
    </row>
    <row r="2532" spans="3:6" x14ac:dyDescent="0.25">
      <c r="C2532"/>
      <c r="D2532"/>
      <c r="F2532" s="20"/>
    </row>
    <row r="2533" spans="3:6" x14ac:dyDescent="0.25">
      <c r="C2533"/>
      <c r="D2533"/>
      <c r="F2533" s="20"/>
    </row>
    <row r="2534" spans="3:6" x14ac:dyDescent="0.25">
      <c r="C2534"/>
      <c r="D2534"/>
      <c r="F2534" s="20"/>
    </row>
    <row r="2535" spans="3:6" x14ac:dyDescent="0.25">
      <c r="C2535"/>
      <c r="D2535"/>
      <c r="F2535" s="20"/>
    </row>
    <row r="2536" spans="3:6" x14ac:dyDescent="0.25">
      <c r="C2536"/>
      <c r="D2536"/>
      <c r="F2536" s="20"/>
    </row>
    <row r="2537" spans="3:6" x14ac:dyDescent="0.25">
      <c r="C2537"/>
      <c r="D2537"/>
      <c r="F2537" s="20"/>
    </row>
    <row r="2538" spans="3:6" x14ac:dyDescent="0.25">
      <c r="C2538"/>
      <c r="D2538"/>
      <c r="F2538" s="20"/>
    </row>
    <row r="2539" spans="3:6" x14ac:dyDescent="0.25">
      <c r="C2539"/>
      <c r="D2539"/>
      <c r="F2539" s="20"/>
    </row>
    <row r="2540" spans="3:6" x14ac:dyDescent="0.25">
      <c r="C2540"/>
      <c r="D2540"/>
      <c r="F2540" s="20"/>
    </row>
    <row r="2541" spans="3:6" x14ac:dyDescent="0.25">
      <c r="C2541"/>
      <c r="D2541"/>
      <c r="F2541" s="20"/>
    </row>
    <row r="2542" spans="3:6" x14ac:dyDescent="0.25">
      <c r="C2542"/>
      <c r="D2542"/>
      <c r="F2542" s="20"/>
    </row>
    <row r="2543" spans="3:6" x14ac:dyDescent="0.25">
      <c r="C2543"/>
      <c r="D2543"/>
      <c r="F2543" s="20"/>
    </row>
    <row r="2544" spans="3:6" x14ac:dyDescent="0.25">
      <c r="C2544"/>
      <c r="D2544"/>
      <c r="F2544" s="20"/>
    </row>
    <row r="2545" spans="3:6" x14ac:dyDescent="0.25">
      <c r="C2545"/>
      <c r="D2545"/>
      <c r="F2545" s="20"/>
    </row>
    <row r="2546" spans="3:6" x14ac:dyDescent="0.25">
      <c r="C2546"/>
      <c r="D2546"/>
      <c r="F2546" s="20"/>
    </row>
    <row r="2547" spans="3:6" x14ac:dyDescent="0.25">
      <c r="C2547"/>
      <c r="D2547"/>
      <c r="F2547" s="20"/>
    </row>
    <row r="2548" spans="3:6" x14ac:dyDescent="0.25">
      <c r="C2548"/>
      <c r="D2548"/>
      <c r="F2548" s="20"/>
    </row>
    <row r="2549" spans="3:6" x14ac:dyDescent="0.25">
      <c r="C2549"/>
      <c r="D2549"/>
      <c r="F2549" s="20"/>
    </row>
    <row r="2550" spans="3:6" x14ac:dyDescent="0.25">
      <c r="C2550"/>
      <c r="D2550"/>
      <c r="F2550" s="20"/>
    </row>
    <row r="2551" spans="3:6" x14ac:dyDescent="0.25">
      <c r="C2551"/>
      <c r="D2551"/>
      <c r="F2551" s="20"/>
    </row>
    <row r="2552" spans="3:6" x14ac:dyDescent="0.25">
      <c r="C2552"/>
      <c r="D2552"/>
      <c r="F2552" s="20"/>
    </row>
    <row r="2553" spans="3:6" x14ac:dyDescent="0.25">
      <c r="C2553"/>
      <c r="D2553"/>
      <c r="F2553" s="20"/>
    </row>
    <row r="2554" spans="3:6" x14ac:dyDescent="0.25">
      <c r="C2554"/>
      <c r="D2554"/>
      <c r="F2554" s="20"/>
    </row>
    <row r="2555" spans="3:6" x14ac:dyDescent="0.25">
      <c r="C2555"/>
      <c r="D2555"/>
      <c r="F2555" s="20"/>
    </row>
    <row r="2556" spans="3:6" x14ac:dyDescent="0.25">
      <c r="C2556"/>
      <c r="D2556"/>
      <c r="F2556" s="20"/>
    </row>
    <row r="2557" spans="3:6" x14ac:dyDescent="0.25">
      <c r="C2557"/>
      <c r="D2557"/>
      <c r="F2557" s="20"/>
    </row>
    <row r="2558" spans="3:6" x14ac:dyDescent="0.25">
      <c r="C2558"/>
      <c r="D2558"/>
      <c r="F2558" s="20"/>
    </row>
    <row r="2559" spans="3:6" x14ac:dyDescent="0.25">
      <c r="C2559"/>
      <c r="D2559"/>
      <c r="F2559" s="20"/>
    </row>
    <row r="2560" spans="3:6" x14ac:dyDescent="0.25">
      <c r="C2560"/>
      <c r="D2560"/>
      <c r="F2560" s="20"/>
    </row>
    <row r="2561" spans="3:6" x14ac:dyDescent="0.25">
      <c r="C2561"/>
      <c r="D2561"/>
      <c r="F2561" s="20"/>
    </row>
    <row r="2562" spans="3:6" x14ac:dyDescent="0.25">
      <c r="C2562"/>
      <c r="D2562"/>
      <c r="F2562" s="20"/>
    </row>
    <row r="2563" spans="3:6" x14ac:dyDescent="0.25">
      <c r="C2563"/>
      <c r="D2563"/>
      <c r="F2563" s="20"/>
    </row>
    <row r="2564" spans="3:6" x14ac:dyDescent="0.25">
      <c r="C2564"/>
      <c r="D2564"/>
      <c r="F2564" s="20"/>
    </row>
    <row r="2565" spans="3:6" x14ac:dyDescent="0.25">
      <c r="C2565"/>
      <c r="D2565"/>
      <c r="F2565" s="20"/>
    </row>
    <row r="2566" spans="3:6" x14ac:dyDescent="0.25">
      <c r="C2566"/>
      <c r="D2566"/>
      <c r="F2566" s="20"/>
    </row>
    <row r="2567" spans="3:6" x14ac:dyDescent="0.25">
      <c r="C2567"/>
      <c r="D2567"/>
      <c r="F2567" s="20"/>
    </row>
    <row r="2568" spans="3:6" x14ac:dyDescent="0.25">
      <c r="C2568"/>
      <c r="D2568"/>
      <c r="F2568" s="20"/>
    </row>
    <row r="2569" spans="3:6" x14ac:dyDescent="0.25">
      <c r="C2569"/>
      <c r="D2569"/>
      <c r="F2569" s="20"/>
    </row>
    <row r="2570" spans="3:6" x14ac:dyDescent="0.25">
      <c r="C2570"/>
      <c r="D2570"/>
      <c r="F2570" s="20"/>
    </row>
    <row r="2571" spans="3:6" x14ac:dyDescent="0.25">
      <c r="C2571"/>
      <c r="D2571"/>
      <c r="F2571" s="20"/>
    </row>
    <row r="2572" spans="3:6" x14ac:dyDescent="0.25">
      <c r="C2572"/>
      <c r="D2572"/>
      <c r="F2572" s="20"/>
    </row>
    <row r="2573" spans="3:6" x14ac:dyDescent="0.25">
      <c r="C2573"/>
      <c r="D2573"/>
      <c r="F2573" s="20"/>
    </row>
    <row r="2574" spans="3:6" x14ac:dyDescent="0.25">
      <c r="C2574"/>
      <c r="D2574"/>
      <c r="F2574" s="20"/>
    </row>
    <row r="2575" spans="3:6" x14ac:dyDescent="0.25">
      <c r="C2575"/>
      <c r="D2575"/>
      <c r="F2575" s="20"/>
    </row>
    <row r="2576" spans="3:6" x14ac:dyDescent="0.25">
      <c r="C2576"/>
      <c r="D2576"/>
      <c r="F2576" s="20"/>
    </row>
    <row r="2577" spans="3:6" x14ac:dyDescent="0.25">
      <c r="C2577"/>
      <c r="D2577"/>
      <c r="F2577" s="20"/>
    </row>
    <row r="2578" spans="3:6" x14ac:dyDescent="0.25">
      <c r="C2578"/>
      <c r="D2578"/>
      <c r="F2578" s="20"/>
    </row>
    <row r="2579" spans="3:6" x14ac:dyDescent="0.25">
      <c r="C2579"/>
      <c r="D2579"/>
      <c r="F2579" s="20"/>
    </row>
    <row r="2580" spans="3:6" x14ac:dyDescent="0.25">
      <c r="C2580"/>
      <c r="D2580"/>
      <c r="F2580" s="20"/>
    </row>
    <row r="2581" spans="3:6" x14ac:dyDescent="0.25">
      <c r="C2581"/>
      <c r="D2581"/>
      <c r="F2581" s="20"/>
    </row>
    <row r="2582" spans="3:6" x14ac:dyDescent="0.25">
      <c r="C2582"/>
      <c r="D2582"/>
      <c r="F2582" s="20"/>
    </row>
    <row r="2583" spans="3:6" x14ac:dyDescent="0.25">
      <c r="C2583"/>
      <c r="D2583"/>
      <c r="F2583" s="20"/>
    </row>
    <row r="2584" spans="3:6" x14ac:dyDescent="0.25">
      <c r="C2584"/>
      <c r="D2584"/>
      <c r="F2584" s="20"/>
    </row>
    <row r="2585" spans="3:6" x14ac:dyDescent="0.25">
      <c r="C2585"/>
      <c r="D2585"/>
      <c r="F2585" s="20"/>
    </row>
    <row r="2586" spans="3:6" x14ac:dyDescent="0.25">
      <c r="C2586"/>
      <c r="D2586"/>
      <c r="F2586" s="20"/>
    </row>
    <row r="2587" spans="3:6" x14ac:dyDescent="0.25">
      <c r="C2587"/>
      <c r="D2587"/>
      <c r="F2587" s="20"/>
    </row>
    <row r="2588" spans="3:6" x14ac:dyDescent="0.25">
      <c r="C2588"/>
      <c r="D2588"/>
      <c r="F2588" s="20"/>
    </row>
    <row r="2589" spans="3:6" x14ac:dyDescent="0.25">
      <c r="C2589"/>
      <c r="D2589"/>
      <c r="F2589" s="20"/>
    </row>
    <row r="2590" spans="3:6" x14ac:dyDescent="0.25">
      <c r="C2590"/>
      <c r="D2590"/>
      <c r="F2590" s="20"/>
    </row>
    <row r="2591" spans="3:6" x14ac:dyDescent="0.25">
      <c r="C2591"/>
      <c r="D2591"/>
      <c r="F2591" s="20"/>
    </row>
    <row r="2592" spans="3:6" x14ac:dyDescent="0.25">
      <c r="C2592"/>
      <c r="D2592"/>
      <c r="F2592" s="20"/>
    </row>
    <row r="2593" spans="3:6" x14ac:dyDescent="0.25">
      <c r="C2593"/>
      <c r="D2593"/>
      <c r="F2593" s="20"/>
    </row>
    <row r="2594" spans="3:6" x14ac:dyDescent="0.25">
      <c r="C2594"/>
      <c r="D2594"/>
      <c r="F2594" s="20"/>
    </row>
    <row r="2595" spans="3:6" x14ac:dyDescent="0.25">
      <c r="C2595"/>
      <c r="D2595"/>
      <c r="F2595" s="20"/>
    </row>
    <row r="2596" spans="3:6" x14ac:dyDescent="0.25">
      <c r="C2596"/>
      <c r="D2596"/>
      <c r="F2596" s="20"/>
    </row>
    <row r="2597" spans="3:6" x14ac:dyDescent="0.25">
      <c r="C2597"/>
      <c r="D2597"/>
      <c r="F2597" s="20"/>
    </row>
    <row r="2598" spans="3:6" x14ac:dyDescent="0.25">
      <c r="C2598"/>
      <c r="D2598"/>
      <c r="F2598" s="20"/>
    </row>
    <row r="2599" spans="3:6" x14ac:dyDescent="0.25">
      <c r="C2599"/>
      <c r="D2599"/>
      <c r="F2599" s="20"/>
    </row>
    <row r="2600" spans="3:6" x14ac:dyDescent="0.25">
      <c r="C2600"/>
      <c r="D2600"/>
      <c r="F2600" s="20"/>
    </row>
    <row r="2601" spans="3:6" x14ac:dyDescent="0.25">
      <c r="C2601"/>
      <c r="D2601"/>
      <c r="F2601" s="20"/>
    </row>
    <row r="2602" spans="3:6" x14ac:dyDescent="0.25">
      <c r="C2602"/>
      <c r="D2602"/>
      <c r="F2602" s="20"/>
    </row>
    <row r="2603" spans="3:6" x14ac:dyDescent="0.25">
      <c r="C2603"/>
      <c r="D2603"/>
      <c r="F2603" s="20"/>
    </row>
    <row r="2604" spans="3:6" x14ac:dyDescent="0.25">
      <c r="C2604"/>
      <c r="D2604"/>
      <c r="F2604" s="20"/>
    </row>
    <row r="2605" spans="3:6" x14ac:dyDescent="0.25">
      <c r="C2605"/>
      <c r="D2605"/>
      <c r="F2605" s="20"/>
    </row>
    <row r="2606" spans="3:6" x14ac:dyDescent="0.25">
      <c r="C2606"/>
      <c r="D2606"/>
      <c r="F2606" s="20"/>
    </row>
    <row r="2607" spans="3:6" x14ac:dyDescent="0.25">
      <c r="C2607"/>
      <c r="D2607"/>
      <c r="F2607" s="20"/>
    </row>
    <row r="2608" spans="3:6" x14ac:dyDescent="0.25">
      <c r="C2608"/>
      <c r="D2608"/>
      <c r="F2608" s="20"/>
    </row>
    <row r="2609" spans="3:6" x14ac:dyDescent="0.25">
      <c r="C2609"/>
      <c r="D2609"/>
      <c r="F2609" s="20"/>
    </row>
    <row r="2610" spans="3:6" x14ac:dyDescent="0.25">
      <c r="C2610"/>
      <c r="D2610"/>
      <c r="F2610" s="20"/>
    </row>
    <row r="2611" spans="3:6" x14ac:dyDescent="0.25">
      <c r="C2611"/>
      <c r="D2611"/>
      <c r="F2611" s="20"/>
    </row>
    <row r="2612" spans="3:6" x14ac:dyDescent="0.25">
      <c r="C2612"/>
      <c r="D2612"/>
      <c r="F2612" s="20"/>
    </row>
    <row r="2613" spans="3:6" x14ac:dyDescent="0.25">
      <c r="C2613"/>
      <c r="D2613"/>
      <c r="F2613" s="20"/>
    </row>
    <row r="2614" spans="3:6" x14ac:dyDescent="0.25">
      <c r="C2614"/>
      <c r="D2614"/>
      <c r="F2614" s="20"/>
    </row>
    <row r="2615" spans="3:6" x14ac:dyDescent="0.25">
      <c r="C2615"/>
      <c r="D2615"/>
      <c r="F2615" s="20"/>
    </row>
    <row r="2616" spans="3:6" x14ac:dyDescent="0.25">
      <c r="C2616"/>
      <c r="D2616"/>
      <c r="F2616" s="20"/>
    </row>
    <row r="2617" spans="3:6" x14ac:dyDescent="0.25">
      <c r="C2617"/>
      <c r="D2617"/>
      <c r="F2617" s="20"/>
    </row>
    <row r="2618" spans="3:6" x14ac:dyDescent="0.25">
      <c r="C2618"/>
      <c r="D2618"/>
      <c r="F2618" s="20"/>
    </row>
    <row r="2619" spans="3:6" x14ac:dyDescent="0.25">
      <c r="C2619"/>
      <c r="D2619"/>
      <c r="F2619" s="20"/>
    </row>
    <row r="2620" spans="3:6" x14ac:dyDescent="0.25">
      <c r="C2620"/>
      <c r="D2620"/>
      <c r="F2620" s="20"/>
    </row>
    <row r="2621" spans="3:6" x14ac:dyDescent="0.25">
      <c r="C2621"/>
      <c r="D2621"/>
      <c r="F2621" s="20"/>
    </row>
    <row r="2622" spans="3:6" x14ac:dyDescent="0.25">
      <c r="C2622"/>
      <c r="D2622"/>
      <c r="F2622" s="20"/>
    </row>
    <row r="2623" spans="3:6" x14ac:dyDescent="0.25">
      <c r="C2623"/>
      <c r="D2623"/>
      <c r="F2623" s="20"/>
    </row>
  </sheetData>
  <mergeCells count="1">
    <mergeCell ref="A12:B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12EA-945C-40E2-A892-837DB4B5E87F}">
  <dimension ref="A2:H30"/>
  <sheetViews>
    <sheetView zoomScaleNormal="100" workbookViewId="0"/>
  </sheetViews>
  <sheetFormatPr defaultRowHeight="12.75" x14ac:dyDescent="0.2"/>
  <cols>
    <col min="1" max="1" width="18.5703125" bestFit="1" customWidth="1"/>
    <col min="3" max="3" width="10.85546875" bestFit="1" customWidth="1"/>
    <col min="4" max="5" width="11.28515625" bestFit="1" customWidth="1"/>
    <col min="6" max="6" width="11" bestFit="1" customWidth="1"/>
    <col min="7" max="7" width="10" bestFit="1" customWidth="1"/>
    <col min="8" max="8" width="12.28515625" bestFit="1" customWidth="1"/>
  </cols>
  <sheetData>
    <row r="2" spans="1:8" x14ac:dyDescent="0.2">
      <c r="B2" s="54"/>
      <c r="C2" s="54"/>
      <c r="D2" s="54"/>
      <c r="E2" s="54"/>
      <c r="F2" s="54"/>
    </row>
    <row r="3" spans="1:8" x14ac:dyDescent="0.2">
      <c r="B3" s="7" t="s">
        <v>22</v>
      </c>
      <c r="C3" s="7" t="s">
        <v>5</v>
      </c>
      <c r="D3" s="7" t="s">
        <v>24</v>
      </c>
      <c r="E3" s="7" t="s">
        <v>2</v>
      </c>
      <c r="F3" s="7" t="s">
        <v>53</v>
      </c>
      <c r="G3" s="7" t="s">
        <v>61</v>
      </c>
    </row>
    <row r="4" spans="1:8" x14ac:dyDescent="0.2">
      <c r="A4" s="7" t="s">
        <v>68</v>
      </c>
      <c r="B4" s="27">
        <f>'SPY&amp;BETA'!L5</f>
        <v>0.44226710608825737</v>
      </c>
      <c r="C4" s="27">
        <f>'SPY&amp;BETA'!M5</f>
        <v>0.60938812365315675</v>
      </c>
      <c r="D4" s="27">
        <f>'SPY&amp;BETA'!N5</f>
        <v>0</v>
      </c>
      <c r="E4" s="27">
        <f>'SPY&amp;BETA'!O5</f>
        <v>0</v>
      </c>
      <c r="F4" s="27">
        <f>'SPY&amp;BETA'!P5</f>
        <v>0</v>
      </c>
      <c r="G4" s="27">
        <f>'SPY&amp;BETA'!Q5</f>
        <v>0</v>
      </c>
    </row>
    <row r="5" spans="1:8" x14ac:dyDescent="0.2">
      <c r="A5" s="7" t="s">
        <v>59</v>
      </c>
      <c r="B5">
        <v>0.34</v>
      </c>
      <c r="C5">
        <v>0.5</v>
      </c>
      <c r="D5">
        <v>0.36</v>
      </c>
      <c r="E5">
        <v>0.46</v>
      </c>
      <c r="F5">
        <v>0.19</v>
      </c>
      <c r="G5">
        <v>0.78</v>
      </c>
    </row>
    <row r="6" spans="1:8" x14ac:dyDescent="0.2">
      <c r="A6" s="7" t="s">
        <v>63</v>
      </c>
      <c r="B6">
        <v>0.34</v>
      </c>
      <c r="C6">
        <v>0.5</v>
      </c>
      <c r="D6">
        <v>0.37</v>
      </c>
      <c r="E6">
        <v>0.45</v>
      </c>
      <c r="F6">
        <v>0.46</v>
      </c>
      <c r="G6">
        <v>0.78</v>
      </c>
    </row>
    <row r="7" spans="1:8" x14ac:dyDescent="0.2">
      <c r="A7" s="7" t="s">
        <v>62</v>
      </c>
      <c r="B7">
        <v>0.19</v>
      </c>
      <c r="C7">
        <v>0.62</v>
      </c>
      <c r="D7">
        <v>0.39</v>
      </c>
      <c r="E7">
        <v>0.45</v>
      </c>
      <c r="F7">
        <v>0.59</v>
      </c>
      <c r="G7">
        <v>0.26</v>
      </c>
    </row>
    <row r="11" spans="1:8" x14ac:dyDescent="0.2">
      <c r="A11" t="s">
        <v>51</v>
      </c>
    </row>
    <row r="12" spans="1:8" x14ac:dyDescent="0.2">
      <c r="C12" s="2" t="s">
        <v>49</v>
      </c>
      <c r="D12" s="2" t="s">
        <v>21</v>
      </c>
      <c r="E12" s="2" t="s">
        <v>4</v>
      </c>
      <c r="F12" s="2" t="s">
        <v>25</v>
      </c>
      <c r="G12" s="2" t="s">
        <v>1</v>
      </c>
      <c r="H12" s="2" t="s">
        <v>53</v>
      </c>
    </row>
    <row r="13" spans="1:8" x14ac:dyDescent="0.2">
      <c r="B13" s="2" t="s">
        <v>49</v>
      </c>
      <c r="C13" s="30">
        <v>1</v>
      </c>
      <c r="D13">
        <v>0.32387539621684924</v>
      </c>
      <c r="E13">
        <v>0.5520785485173757</v>
      </c>
      <c r="F13">
        <v>0.44235791288828291</v>
      </c>
      <c r="G13">
        <v>0.4948865069939003</v>
      </c>
      <c r="H13">
        <v>0.3041528071919139</v>
      </c>
    </row>
    <row r="14" spans="1:8" x14ac:dyDescent="0.2">
      <c r="B14" s="2" t="s">
        <v>21</v>
      </c>
      <c r="C14">
        <v>0.32387539621684924</v>
      </c>
      <c r="D14" s="30">
        <v>1</v>
      </c>
      <c r="E14">
        <v>0.39119075216928628</v>
      </c>
      <c r="F14">
        <v>0.77716323508965646</v>
      </c>
      <c r="G14">
        <v>0.38167322868687753</v>
      </c>
      <c r="H14">
        <v>0.18066730146899002</v>
      </c>
    </row>
    <row r="15" spans="1:8" x14ac:dyDescent="0.2">
      <c r="B15" s="2" t="s">
        <v>4</v>
      </c>
      <c r="C15">
        <v>0.5520785485173757</v>
      </c>
      <c r="D15">
        <v>0.39119075216928628</v>
      </c>
      <c r="E15" s="30">
        <v>1</v>
      </c>
      <c r="F15">
        <v>0.47757243209101108</v>
      </c>
      <c r="G15">
        <v>0.64391242455498221</v>
      </c>
      <c r="H15">
        <v>0.18447677680624253</v>
      </c>
    </row>
    <row r="16" spans="1:8" x14ac:dyDescent="0.2">
      <c r="B16" s="2" t="s">
        <v>25</v>
      </c>
      <c r="C16">
        <v>0.44235791288828291</v>
      </c>
      <c r="D16">
        <v>0.77716323508965646</v>
      </c>
      <c r="E16">
        <v>0.47757243209101108</v>
      </c>
      <c r="F16" s="30">
        <v>0.99999999999999989</v>
      </c>
      <c r="G16">
        <v>0.47161582983476463</v>
      </c>
      <c r="H16">
        <v>0.21151864721508656</v>
      </c>
    </row>
    <row r="17" spans="1:8" x14ac:dyDescent="0.2">
      <c r="B17" s="2" t="s">
        <v>1</v>
      </c>
      <c r="C17">
        <v>0.4948865069939003</v>
      </c>
      <c r="D17">
        <v>0.38167322868687753</v>
      </c>
      <c r="E17">
        <v>0.64391242455498221</v>
      </c>
      <c r="F17">
        <v>0.47161582983476463</v>
      </c>
      <c r="G17" s="30">
        <v>1.0000000000000002</v>
      </c>
      <c r="H17">
        <v>0.16758042379320376</v>
      </c>
    </row>
    <row r="18" spans="1:8" x14ac:dyDescent="0.2">
      <c r="B18" s="2" t="s">
        <v>53</v>
      </c>
      <c r="C18">
        <v>0.3041528071919139</v>
      </c>
      <c r="D18">
        <v>0.18066730146899002</v>
      </c>
      <c r="E18">
        <v>0.18447677680624253</v>
      </c>
      <c r="F18">
        <v>0.21151864721508656</v>
      </c>
      <c r="G18">
        <v>0.16758042379320376</v>
      </c>
      <c r="H18" s="30">
        <v>1</v>
      </c>
    </row>
    <row r="23" spans="1:8" x14ac:dyDescent="0.2">
      <c r="A23" t="s">
        <v>52</v>
      </c>
    </row>
    <row r="24" spans="1:8" x14ac:dyDescent="0.2">
      <c r="C24" s="7" t="s">
        <v>49</v>
      </c>
      <c r="D24" s="7" t="s">
        <v>21</v>
      </c>
      <c r="E24" s="7" t="s">
        <v>4</v>
      </c>
      <c r="F24" s="7" t="s">
        <v>25</v>
      </c>
      <c r="G24" s="7" t="s">
        <v>1</v>
      </c>
      <c r="H24" s="7" t="s">
        <v>53</v>
      </c>
    </row>
    <row r="25" spans="1:8" x14ac:dyDescent="0.2">
      <c r="B25" s="2" t="s">
        <v>49</v>
      </c>
      <c r="C25" s="31">
        <v>2.0017848463674951E-3</v>
      </c>
      <c r="D25" s="23">
        <v>8.8532359101427889E-4</v>
      </c>
      <c r="E25" s="23">
        <v>1.2198639114852105E-3</v>
      </c>
      <c r="F25" s="23">
        <v>1.2084811065066893E-3</v>
      </c>
      <c r="G25" s="23">
        <v>1.0216921627142471E-3</v>
      </c>
      <c r="H25" s="23">
        <v>1.0327473453436418E-3</v>
      </c>
    </row>
    <row r="26" spans="1:8" x14ac:dyDescent="0.2">
      <c r="B26" s="2" t="s">
        <v>21</v>
      </c>
      <c r="C26" s="23">
        <v>8.8532359101427889E-4</v>
      </c>
      <c r="D26" s="31">
        <v>3.7327659679880789E-3</v>
      </c>
      <c r="E26" s="23">
        <v>1.1803363241421284E-3</v>
      </c>
      <c r="F26" s="23">
        <v>2.8992455179942013E-3</v>
      </c>
      <c r="G26" s="23">
        <v>1.0760013842772548E-3</v>
      </c>
      <c r="H26" s="23">
        <v>8.3769996686410258E-4</v>
      </c>
    </row>
    <row r="27" spans="1:8" x14ac:dyDescent="0.2">
      <c r="B27" s="2" t="s">
        <v>4</v>
      </c>
      <c r="C27" s="23">
        <v>1.2198639114852105E-3</v>
      </c>
      <c r="D27" s="23">
        <v>1.1803363241421284E-3</v>
      </c>
      <c r="E27" s="31">
        <v>2.4389540830751996E-3</v>
      </c>
      <c r="F27" s="23">
        <v>1.4401191559809611E-3</v>
      </c>
      <c r="G27" s="23">
        <v>1.4673521997830353E-3</v>
      </c>
      <c r="H27" s="23">
        <v>6.9141225595294121E-4</v>
      </c>
    </row>
    <row r="28" spans="1:8" x14ac:dyDescent="0.2">
      <c r="B28" s="2" t="s">
        <v>25</v>
      </c>
      <c r="C28" s="23">
        <v>1.2084811065066893E-3</v>
      </c>
      <c r="D28" s="23">
        <v>2.8992455179942013E-3</v>
      </c>
      <c r="E28" s="23">
        <v>1.4401191559809611E-3</v>
      </c>
      <c r="F28" s="31">
        <v>3.7283333191223105E-3</v>
      </c>
      <c r="G28" s="23">
        <v>1.3287751272721864E-3</v>
      </c>
      <c r="H28" s="23">
        <v>9.801658920036004E-4</v>
      </c>
    </row>
    <row r="29" spans="1:8" x14ac:dyDescent="0.2">
      <c r="B29" s="2" t="s">
        <v>1</v>
      </c>
      <c r="C29" s="23">
        <v>1.0216921627142471E-3</v>
      </c>
      <c r="D29" s="23">
        <v>1.0760013842772548E-3</v>
      </c>
      <c r="E29" s="23">
        <v>1.4673521997830353E-3</v>
      </c>
      <c r="F29" s="23">
        <v>1.3287751272721864E-3</v>
      </c>
      <c r="G29" s="31">
        <v>2.1291756983672703E-3</v>
      </c>
      <c r="H29" s="23">
        <v>5.8684389941559656E-4</v>
      </c>
    </row>
    <row r="30" spans="1:8" x14ac:dyDescent="0.2">
      <c r="B30" s="2" t="s">
        <v>53</v>
      </c>
      <c r="C30" s="23">
        <v>1.0327473453436418E-3</v>
      </c>
      <c r="D30" s="23">
        <v>8.3769996686410258E-4</v>
      </c>
      <c r="E30" s="23">
        <v>6.9141225595294121E-4</v>
      </c>
      <c r="F30" s="23">
        <v>9.801658920036004E-4</v>
      </c>
      <c r="G30" s="23">
        <v>5.8684389941559656E-4</v>
      </c>
      <c r="H30" s="31">
        <v>5.7595309846798356E-3</v>
      </c>
    </row>
  </sheetData>
  <mergeCells count="1">
    <mergeCell ref="B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NOC&amp;MCD</vt:lpstr>
      <vt:lpstr>SPY&amp;BETA</vt:lpstr>
      <vt:lpstr>10-year_Bond</vt:lpstr>
      <vt:lpstr>ReadyToUse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Levan Kvinikadze</cp:lastModifiedBy>
  <dcterms:created xsi:type="dcterms:W3CDTF">2025-04-07T02:55:16Z</dcterms:created>
  <dcterms:modified xsi:type="dcterms:W3CDTF">2026-02-19T21:31:26Z</dcterms:modified>
  <cp:category/>
</cp:coreProperties>
</file>