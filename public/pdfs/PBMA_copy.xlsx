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van\OneDrive\Desktop\PersonalWebsite\"/>
    </mc:Choice>
  </mc:AlternateContent>
  <xr:revisionPtr revIDLastSave="0" documentId="8_{C4FEDB56-1765-47C5-8184-E039D8C7B2BC}" xr6:coauthVersionLast="47" xr6:coauthVersionMax="47" xr10:uidLastSave="{00000000-0000-0000-0000-000000000000}"/>
  <bookViews>
    <workbookView xWindow="-98" yWindow="-98" windowWidth="22276" windowHeight="13276" xr2:uid="{EDB440F0-CDD7-45DB-AC0A-59E030D20C90}"/>
  </bookViews>
  <sheets>
    <sheet name="Exhibit 1" sheetId="1" r:id="rId1"/>
    <sheet name="Exhibit 2" sheetId="2" r:id="rId2"/>
    <sheet name="Exhibit 2 (cont.)" sheetId="3" r:id="rId3"/>
    <sheet name="Exhibit 3" sheetId="4" r:id="rId4"/>
    <sheet name="Exhibit 4" sheetId="5" r:id="rId5"/>
    <sheet name="Exhibit 5" sheetId="6" r:id="rId6"/>
    <sheet name="Exhibit 6" sheetId="7" r:id="rId7"/>
    <sheet name="Question 1" sheetId="8" r:id="rId8"/>
    <sheet name="Question 2" sheetId="9" r:id="rId9"/>
    <sheet name="Question 3" sheetId="10" r:id="rId10"/>
    <sheet name="Question 4" sheetId="11" r:id="rId11"/>
    <sheet name="Question 5" sheetId="12" r:id="rId12"/>
    <sheet name="Question 6" sheetId="13"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11" l="1"/>
  <c r="G55" i="11"/>
  <c r="F55" i="11"/>
  <c r="E55" i="11"/>
  <c r="D55" i="11"/>
  <c r="C55" i="11"/>
  <c r="H36" i="11"/>
  <c r="G36" i="11"/>
  <c r="F36" i="11"/>
  <c r="E36" i="11"/>
  <c r="D36" i="11"/>
  <c r="C36" i="11"/>
  <c r="C37" i="11" s="1"/>
  <c r="K20" i="11"/>
  <c r="K21" i="11" s="1"/>
  <c r="K22" i="11" s="1"/>
  <c r="F18" i="11"/>
  <c r="C15" i="11"/>
  <c r="C21" i="11" s="1"/>
  <c r="B7" i="11"/>
  <c r="B3" i="11"/>
  <c r="B6" i="10"/>
  <c r="B11" i="11" s="1"/>
  <c r="B5" i="10"/>
  <c r="B10" i="11" s="1"/>
  <c r="B3" i="10"/>
  <c r="B8" i="11" s="1"/>
  <c r="B2" i="10"/>
  <c r="B9" i="11" s="1"/>
  <c r="K26" i="9"/>
  <c r="K24" i="9"/>
  <c r="K23" i="9"/>
  <c r="K22" i="9"/>
  <c r="G18" i="9"/>
  <c r="B9" i="10" s="1"/>
  <c r="B6" i="11" s="1"/>
  <c r="I10" i="9"/>
  <c r="G10" i="9" s="1"/>
  <c r="C10" i="9"/>
  <c r="C22" i="11" s="1"/>
  <c r="B10" i="9"/>
  <c r="H10" i="9" s="1"/>
  <c r="C8" i="9"/>
  <c r="C20" i="11" s="1"/>
  <c r="B8" i="9"/>
  <c r="B20" i="11" s="1"/>
  <c r="C7" i="9"/>
  <c r="F6" i="9"/>
  <c r="E6" i="9"/>
  <c r="E18" i="11" s="1"/>
  <c r="D6" i="9"/>
  <c r="D18" i="11" s="1"/>
  <c r="C6" i="9"/>
  <c r="C18" i="11" s="1"/>
  <c r="B6" i="9"/>
  <c r="B18" i="11" s="1"/>
  <c r="C5" i="9"/>
  <c r="B5" i="9"/>
  <c r="B7" i="9" s="1"/>
  <c r="F4" i="9"/>
  <c r="F5" i="9" s="1"/>
  <c r="F7" i="9" s="1"/>
  <c r="E4" i="9"/>
  <c r="E5" i="9" s="1"/>
  <c r="E7" i="9" s="1"/>
  <c r="D4" i="9"/>
  <c r="D5" i="9" s="1"/>
  <c r="D7" i="9" s="1"/>
  <c r="C4" i="9"/>
  <c r="B4" i="9"/>
  <c r="B7" i="10" s="1"/>
  <c r="B4" i="11" s="1"/>
  <c r="F3" i="9"/>
  <c r="F16" i="11" s="1"/>
  <c r="F17" i="11" s="1"/>
  <c r="F19" i="11" s="1"/>
  <c r="E3" i="9"/>
  <c r="E16" i="11" s="1"/>
  <c r="E17" i="11" s="1"/>
  <c r="E19" i="11" s="1"/>
  <c r="D3" i="9"/>
  <c r="D16" i="11" s="1"/>
  <c r="D17" i="11" s="1"/>
  <c r="D19" i="11" s="1"/>
  <c r="C3" i="9"/>
  <c r="C16" i="11" s="1"/>
  <c r="C17" i="11" s="1"/>
  <c r="C19" i="11" s="1"/>
  <c r="C23" i="11" s="1"/>
  <c r="B3" i="9"/>
  <c r="B16" i="11" s="1"/>
  <c r="F2" i="9"/>
  <c r="E2" i="9"/>
  <c r="D2" i="9"/>
  <c r="C2" i="9"/>
  <c r="G8" i="9" s="1"/>
  <c r="B2" i="9"/>
  <c r="B15" i="11" s="1"/>
  <c r="B21" i="11" s="1"/>
  <c r="P29" i="1"/>
  <c r="J29" i="1" s="1"/>
  <c r="K25" i="9" s="1"/>
  <c r="N29" i="1"/>
  <c r="M29" i="1"/>
  <c r="L29" i="1"/>
  <c r="D8" i="9" l="1"/>
  <c r="D20" i="11" s="1"/>
  <c r="D23" i="11" s="1"/>
  <c r="E8" i="9"/>
  <c r="E20" i="11" s="1"/>
  <c r="E23" i="11" s="1"/>
  <c r="B11" i="9"/>
  <c r="F8" i="9"/>
  <c r="F20" i="11" s="1"/>
  <c r="F23" i="11" s="1"/>
  <c r="B17" i="11"/>
  <c r="B19" i="11" s="1"/>
  <c r="K27" i="9"/>
  <c r="B9" i="9"/>
  <c r="C9" i="9"/>
  <c r="C11" i="9" s="1"/>
  <c r="D9" i="9"/>
  <c r="E9" i="9"/>
  <c r="D15" i="11"/>
  <c r="D21" i="11" s="1"/>
  <c r="F9" i="9"/>
  <c r="E15" i="11"/>
  <c r="E21" i="11" s="1"/>
  <c r="D10" i="9"/>
  <c r="D22" i="11" s="1"/>
  <c r="E10" i="9"/>
  <c r="E22" i="11" s="1"/>
  <c r="F10" i="9"/>
  <c r="F22" i="11" s="1"/>
  <c r="B12" i="10"/>
  <c r="B13" i="10" s="1"/>
  <c r="B14" i="10" s="1"/>
  <c r="K19" i="11"/>
  <c r="K18" i="11" s="1"/>
  <c r="F15" i="11"/>
  <c r="F21" i="11" s="1"/>
  <c r="B22" i="11"/>
  <c r="E11" i="9" l="1"/>
  <c r="E12" i="9" s="1"/>
  <c r="D11" i="9"/>
  <c r="D12" i="9" s="1"/>
  <c r="G12" i="9"/>
  <c r="B4" i="10" s="1"/>
  <c r="B15" i="10" s="1"/>
  <c r="B2" i="11"/>
  <c r="B23" i="11"/>
  <c r="B12" i="9"/>
  <c r="F11" i="9"/>
  <c r="E24" i="11" l="1"/>
  <c r="E25" i="11" s="1"/>
  <c r="D24" i="11"/>
  <c r="D25" i="11" s="1"/>
  <c r="C24" i="11"/>
  <c r="C25" i="11" s="1"/>
  <c r="B24" i="11"/>
  <c r="B25" i="11" s="1"/>
  <c r="N17" i="11"/>
  <c r="F24" i="11"/>
  <c r="F25" i="11" s="1"/>
  <c r="B27" i="11" s="1"/>
  <c r="D37" i="11"/>
  <c r="G37" i="11"/>
  <c r="F37" i="11"/>
  <c r="H37" i="11"/>
  <c r="E37" i="11"/>
  <c r="F12" i="9"/>
  <c r="B13" i="9" s="1"/>
  <c r="B16" i="9" s="1"/>
  <c r="B17" i="9" s="1"/>
  <c r="B14" i="9"/>
  <c r="B15" i="9" s="1"/>
  <c r="B28" i="11"/>
  <c r="C12" i="9"/>
  <c r="B26" i="11" l="1"/>
  <c r="B18" i="9"/>
  <c r="B8" i="10"/>
  <c r="B16" i="10" s="1"/>
  <c r="B17" i="10" s="1"/>
  <c r="F42" i="11"/>
  <c r="F43" i="11" s="1"/>
  <c r="K17" i="11" s="1"/>
  <c r="D42" i="11"/>
  <c r="D43" i="11" s="1"/>
  <c r="E42" i="11"/>
  <c r="E43" i="11" s="1"/>
  <c r="O17" i="11"/>
  <c r="P17" i="11" s="1"/>
  <c r="M17" i="11"/>
  <c r="L17" i="11" s="1"/>
  <c r="B29" i="11"/>
  <c r="B30" i="11" s="1"/>
  <c r="B31" i="11" s="1"/>
  <c r="K6" i="11" s="1"/>
</calcChain>
</file>

<file path=xl/sharedStrings.xml><?xml version="1.0" encoding="utf-8"?>
<sst xmlns="http://schemas.openxmlformats.org/spreadsheetml/2006/main" count="389" uniqueCount="265">
  <si>
    <t xml:space="preserve">Exhibit 1 </t>
  </si>
  <si>
    <t>THIS BUD’S FOR WHO? THE BATTLE FOR ANHEUSER-BUSCH</t>
  </si>
  <si>
    <t>Anheuser-Busch Key Financials, 2004–2007</t>
  </si>
  <si>
    <t>A3:HA3:I38</t>
  </si>
  <si>
    <t>Year ended Dec. 31 (in millions, except where noted)</t>
  </si>
  <si>
    <t>Barrels of beer sold:</t>
  </si>
  <si>
    <t>U.S.</t>
  </si>
  <si>
    <t>International</t>
  </si>
  <si>
    <t xml:space="preserve">     Worldwide Anheuser-Busch Brands</t>
  </si>
  <si>
    <t>Equity Partner Brands</t>
  </si>
  <si>
    <t>Total Brands</t>
  </si>
  <si>
    <t>Gross sales</t>
  </si>
  <si>
    <t>Excise taxes</t>
  </si>
  <si>
    <t>Net sales</t>
  </si>
  <si>
    <t>Gross profit</t>
  </si>
  <si>
    <t xml:space="preserve">     As a percentage of net sales</t>
  </si>
  <si>
    <t>Operating income</t>
  </si>
  <si>
    <t>Equity income, net of tax</t>
  </si>
  <si>
    <t>Net income</t>
  </si>
  <si>
    <t>Diluted earnings per share</t>
  </si>
  <si>
    <t>Diluted weighted average shares outstanding</t>
  </si>
  <si>
    <t>Operating cash flow before the change in working capital</t>
  </si>
  <si>
    <t>Common dividends paid</t>
  </si>
  <si>
    <t>2004-2005</t>
  </si>
  <si>
    <t>2005-2006</t>
  </si>
  <si>
    <t>2006-2007</t>
  </si>
  <si>
    <t>Average</t>
  </si>
  <si>
    <r>
      <t xml:space="preserve">     Per share </t>
    </r>
    <r>
      <rPr>
        <sz val="9"/>
        <color theme="1"/>
        <rFont val="Calibri"/>
        <family val="2"/>
        <scheme val="minor"/>
      </rPr>
      <t>(in dollars)</t>
    </r>
  </si>
  <si>
    <t>Earnings before interest, income taxes, depreciation</t>
  </si>
  <si>
    <t xml:space="preserve">     and amortization (EBITDA)(1)</t>
  </si>
  <si>
    <t>Return on shareholders equity</t>
  </si>
  <si>
    <t>Return on capital employed(2)</t>
  </si>
  <si>
    <t>Total assets</t>
  </si>
  <si>
    <t>Debt</t>
  </si>
  <si>
    <t>Capital expenditures</t>
  </si>
  <si>
    <t>Depreciation and amortization</t>
  </si>
  <si>
    <t>Number of full-time employees</t>
  </si>
  <si>
    <t>Number of registered common shareholders</t>
  </si>
  <si>
    <t>Closing stock price</t>
  </si>
  <si>
    <t>Income before Income taxes</t>
  </si>
  <si>
    <t>(1) EBITDA is calculated as pretax income plus depreciation and amortization expense, plus net interest cost (interest expense less capitalized interest), plus equity income on a pretax basis (equity income divided by the reciprocal of the effective tax rate).</t>
  </si>
  <si>
    <t>(2) Return on capital employed is computed as net income before after-tax interest expense divided by average net investment. Net investment is defined as total assets less nondebt current liabilities.</t>
  </si>
  <si>
    <t>Data source: Anheuser-Busch annual reports, 2006–2007.</t>
  </si>
  <si>
    <t>Exhibit 2</t>
  </si>
  <si>
    <t>Anheuser-Busch Business Segments, 2007</t>
  </si>
  <si>
    <t>Corporate &amp;</t>
  </si>
  <si>
    <t xml:space="preserve">Total </t>
  </si>
  <si>
    <t>Int'l</t>
  </si>
  <si>
    <t>Beer</t>
  </si>
  <si>
    <t>Packaging</t>
  </si>
  <si>
    <t>Entertainment</t>
  </si>
  <si>
    <t>Eliminations</t>
  </si>
  <si>
    <t>Consolidated</t>
  </si>
  <si>
    <t>share</t>
  </si>
  <si>
    <t>Income Statement Information</t>
  </si>
  <si>
    <t>Net sales - intersegment</t>
  </si>
  <si>
    <t>—</t>
  </si>
  <si>
    <t>Net sales - external</t>
  </si>
  <si>
    <t>Income before income taxes</t>
  </si>
  <si>
    <t>Balance Sheet Information</t>
  </si>
  <si>
    <t>Equity method investments</t>
  </si>
  <si>
    <t>Goodwill</t>
  </si>
  <si>
    <t>Foreign-located fixed assets</t>
  </si>
  <si>
    <t>Data source: Anheuser-Busch annual report, 2007, 63.</t>
  </si>
  <si>
    <t>Sales / TA</t>
  </si>
  <si>
    <t>Net Y / TA</t>
  </si>
  <si>
    <t>Exhibit 2 (continued)</t>
  </si>
  <si>
    <t>Selected Financial Information for Anheuser-Busch, 2007–2009</t>
  </si>
  <si>
    <t>2007A</t>
  </si>
  <si>
    <t>2008E</t>
  </si>
  <si>
    <t>2009P</t>
  </si>
  <si>
    <t>Barrels of Beer (millions)</t>
  </si>
  <si>
    <t xml:space="preserve">Domestic </t>
  </si>
  <si>
    <t xml:space="preserve">  Total Barrels</t>
  </si>
  <si>
    <t>Sales (millions)</t>
  </si>
  <si>
    <t>U.S. ($)</t>
  </si>
  <si>
    <t>International (euros)</t>
  </si>
  <si>
    <t>Exchange rate as of year end</t>
  </si>
  <si>
    <t>Excise Tax</t>
  </si>
  <si>
    <t>Sales in  U.S. dollars</t>
  </si>
  <si>
    <t xml:space="preserve">U.S. </t>
  </si>
  <si>
    <t xml:space="preserve">International </t>
  </si>
  <si>
    <t>Cash Flow in Dollars</t>
  </si>
  <si>
    <t>Total Sales</t>
  </si>
  <si>
    <t>Cost of Goods Sold ($)</t>
  </si>
  <si>
    <t>Marketing, General and Admin ($)</t>
  </si>
  <si>
    <t>Depreciation</t>
  </si>
  <si>
    <t>Increase in Net working Capital ($)</t>
  </si>
  <si>
    <t>Capital Expenditures</t>
  </si>
  <si>
    <t>Free Cash Flow</t>
  </si>
  <si>
    <t>Terminal Value</t>
  </si>
  <si>
    <t>Present Value</t>
  </si>
  <si>
    <t>Note: Figures above do not provide for income taxes or capital expenditures.  Sales are expressed in dollars and euros, respectively.</t>
  </si>
  <si>
    <t>Data sources: Anheuser-Busch annual report, 2007; and case writer estimates.</t>
  </si>
  <si>
    <t xml:space="preserve">Exhibit 3 </t>
  </si>
  <si>
    <t>Anheuser-Busch Adjusted Stock Price, 1998–2008</t>
  </si>
  <si>
    <t>PERMNO</t>
  </si>
  <si>
    <t>date</t>
  </si>
  <si>
    <t>PRC</t>
  </si>
  <si>
    <t>Stock Price</t>
  </si>
  <si>
    <t>AB Stock Price Prior to Merger with InBev (Prices prior to 9/18/2000 adjusted due to stock spilt)</t>
  </si>
  <si>
    <t>Data sources: ChicagoBooth CRSP Historical Indexes, http://www.crsp.com/products/research-products/crsp-historical-indexes (accessed Sep. 5, 2014).</t>
  </si>
  <si>
    <t xml:space="preserve">Exhibit 4
</t>
  </si>
  <si>
    <t>Operating and Financial Projections Associated with Operating Efficiencies</t>
  </si>
  <si>
    <t>2010P</t>
  </si>
  <si>
    <t>2011P</t>
  </si>
  <si>
    <t>2012P</t>
  </si>
  <si>
    <t>Barrels of beer sold: (000)</t>
  </si>
  <si>
    <t>Cost of goods sold</t>
  </si>
  <si>
    <t>Marketing, distribution, and administration</t>
  </si>
  <si>
    <t>Net interest expense</t>
  </si>
  <si>
    <t>Pretax income</t>
  </si>
  <si>
    <t>Tax rate</t>
  </si>
  <si>
    <t>Income taxes</t>
  </si>
  <si>
    <t>Equity income, pretax (for EBITDA calculation) (1)</t>
  </si>
  <si>
    <t>(1) Pretax equity income is calculated as equity income divided by the reciprocal of the tax rate. This income is related to AB’s investment in Grupo Modelo and should be added back to AB’s stand-alone free cash flow for valuation purposes.</t>
  </si>
  <si>
    <t>Note: Analysts estimated WACC at 8.4% (William Pecoriello and Brett Cooper, “Anheuser-Busech Cos,” Morgan Stanley, June 27, 2008, 3.)</t>
  </si>
  <si>
    <t>Data sources: Anheuser-Busch annual reports, 2006–2007, and case writer estimates.</t>
  </si>
  <si>
    <t xml:space="preserve">   </t>
  </si>
  <si>
    <t>Selected Exchange Rates, 2003–2008</t>
  </si>
  <si>
    <t>Quarterly Period</t>
  </si>
  <si>
    <t>USD/EUR</t>
  </si>
  <si>
    <t>USD/MXN</t>
  </si>
  <si>
    <t>USD/CNY</t>
  </si>
  <si>
    <t>Jul. 1, 2003–Sep. 30, 2003</t>
  </si>
  <si>
    <t>Oct. 1, 2003–Dec. 31, 2003</t>
  </si>
  <si>
    <t>Jan. 1, 2004–Mar. 31, 2004</t>
  </si>
  <si>
    <t>Apr. 1, 2004–Jun. 30, 2004</t>
  </si>
  <si>
    <t>Jul. 1, 2004–Sep. 30, 2004</t>
  </si>
  <si>
    <t>Oct. 1, 2004–Dec. 31, 2004</t>
  </si>
  <si>
    <t>Jan. 1, 2005–Mar. 31, 2005</t>
  </si>
  <si>
    <t>Apr. 1, 2005–Jun. 30, 2005</t>
  </si>
  <si>
    <t>Jul. 1, 2005–Sep. 30, 2005</t>
  </si>
  <si>
    <t>Oct. 1, 2005–Dec. 31, 2005</t>
  </si>
  <si>
    <t>Jan. 1, 2006–Mar. 31, 2006</t>
  </si>
  <si>
    <t>Apr. 1, 2006–Jun. 30, 2006</t>
  </si>
  <si>
    <t>Jul. 1, 2006–Sep. 30, 2006</t>
  </si>
  <si>
    <t>Oct. 1, 2006–Dec. 31, 2006</t>
  </si>
  <si>
    <t>Jan. 1, 2007–Mar. 31, 2007</t>
  </si>
  <si>
    <t>Apr. 1, 2007–Jun. 30, 2007</t>
  </si>
  <si>
    <t>Jul. 1, 2007–Sep. 30, 2007</t>
  </si>
  <si>
    <t>Oct. 1, 2007–Dec. 31, 2007</t>
  </si>
  <si>
    <t>Jan. 1, 2008–Mar. 31, 2008</t>
  </si>
  <si>
    <t>Data source: OANDA Historical Exchange Rates, http://www.oanda.com/currency/historical-rates (accessed Jul. 8, 2013).</t>
  </si>
  <si>
    <t>Exhibit 6</t>
  </si>
  <si>
    <t>Selected Capital Market Information, December 2007</t>
  </si>
  <si>
    <t>Euro Zone (euros)*</t>
  </si>
  <si>
    <t>USD($)</t>
  </si>
  <si>
    <t>Domestic government bonds (long term)</t>
  </si>
  <si>
    <t xml:space="preserve"> 3-month treasury bill rate</t>
  </si>
  <si>
    <t>Spot rate of euro, end of 2007</t>
  </si>
  <si>
    <t>Inflation rates: yearly, 2002–2007</t>
  </si>
  <si>
    <t>* euro-area 10-year government benchmark bond yield</t>
  </si>
  <si>
    <t>Data sources: U.S. Treasury Department, European Central Bank, and U.S. Inflation Calculator.</t>
  </si>
  <si>
    <t>1. Strategically, the deal makes sense. Beer is a scale business, and the industry was consolidating. The case highlighted two biggest advantages of being large: the economies of scale (lower production costs from larger production) and more efficient spending on marketing and advertising. </t>
  </si>
  <si>
    <t>To answer why it makes sense: </t>
  </si>
  <si>
    <t>InBev wanted the US market. The United States was a “conspicuous gap” for InBev. Anheuser-Busch was the ideal candidate to enter the US Market. </t>
  </si>
  <si>
    <t>Despite the global trends, Anheuser-Busch was conservative in its expansion, focused more on licensing and taking minority stakes. </t>
  </si>
  <si>
    <t>Staying local made Anheuser-Busch less competitive globally, resulting in being displaced in global rankings by competitors with a more aggressive expansion strategy. </t>
  </si>
  <si>
    <t>Despite U.S. Market dominance, Anheuser-Busch’s stock price had been stagnant for some time. This made them a strategically vulnerable target. </t>
  </si>
  <si>
    <t>As for the value creation, we saw two different ways:</t>
  </si>
  <si>
    <t>1.) Operating synergies: InBev was displayed as a company that paid attention to cost-cutting, which ultimately led to value realization. The case mentioned the 2006 joint venture gave InBev an inside look at Anheuser-Busch and highlighted “room for improvement through strategic diversification and more efficient operations.” Anheuser-Busch already benefited from scale (SG&amp;A 18% of sales), but InBev believed there was still “organizational slack.” A bigger combined volume would allow better economies of scale and capacity to be utilized. Anheuser-Busch’s management itself pointed out the capacity to save from reducing CAPEX (from 5% to 3%).</t>
  </si>
  <si>
    <t xml:space="preserve">2.) Corporate strategy synergies: because of Anheuser-Busch’s branding culture, it owns huge non-core assets. InBev intended to sell these assets to fund the transaction and improve focus on beer production. By doing so, there was potential in monetizing Anheuser-Busch’s 50.2% stake in Modelo. </t>
  </si>
  <si>
    <t>Years</t>
  </si>
  <si>
    <t>Net Sales</t>
  </si>
  <si>
    <t>EBIT</t>
  </si>
  <si>
    <t>Tax Rate</t>
  </si>
  <si>
    <t>EBIT(1-T)</t>
  </si>
  <si>
    <t>NOPAT</t>
  </si>
  <si>
    <t>&lt;-- Used this to determine Depreciation as a % of Net Sales</t>
  </si>
  <si>
    <t>CAPEX (% of sales Assumption)</t>
  </si>
  <si>
    <t>&lt;-- According to the case CAPEX was just over 5%, but the management expected it to fall into 3%-4% range. Using 3.5% as base case</t>
  </si>
  <si>
    <t>Change in NWC</t>
  </si>
  <si>
    <t>&lt;-- change in NWC as a % of Net Sales. Using 0.27 as base case</t>
  </si>
  <si>
    <t>FCFF</t>
  </si>
  <si>
    <t>Present Value of FCFF</t>
  </si>
  <si>
    <t>&lt;-- using WACC to discount the CF</t>
  </si>
  <si>
    <t>Total PV of FCFF</t>
  </si>
  <si>
    <t>&lt;-- mature beer business growth</t>
  </si>
  <si>
    <t>PV of TV</t>
  </si>
  <si>
    <t>Enterprise Value</t>
  </si>
  <si>
    <t>Equity Value</t>
  </si>
  <si>
    <t>EV-Debt-Cash</t>
  </si>
  <si>
    <t>Since cash is not given, assumed 0. Used Debt from 2007</t>
  </si>
  <si>
    <t>Price per Share</t>
  </si>
  <si>
    <t xml:space="preserve"> </t>
  </si>
  <si>
    <t>Equity</t>
  </si>
  <si>
    <t>T-Bill</t>
  </si>
  <si>
    <t>Cost of Equity (Dividend Discount Model)</t>
  </si>
  <si>
    <t>Cost of Debt</t>
  </si>
  <si>
    <t>WACC</t>
  </si>
  <si>
    <t>--&gt; For the WACC, we found that doing the Dividend Discount Model would work best for the Cost of Equity portion, given there was no beta. How we did so was by predicting the 2008 dividend per share with the 2007 dividend per share and multiplying it by the previous 3 year (2005-2007) average growth of about 10.36%, and dividing it by the December 31, 2007 share price. Then, we added the 2006-2007 annual growth rate of the common dividends paid. Therefore, getting us a WACC of roughly 8.39%.</t>
  </si>
  <si>
    <t>Assumptions:</t>
  </si>
  <si>
    <t>Additional Revenue in EUR</t>
  </si>
  <si>
    <t>Sport Rate at the end of 2007</t>
  </si>
  <si>
    <t>Revenue growth</t>
  </si>
  <si>
    <t>Operating Income As a percentage of net sales</t>
  </si>
  <si>
    <t>Base Equity Value</t>
  </si>
  <si>
    <t># of shares</t>
  </si>
  <si>
    <t>EUR--&gt;USD</t>
  </si>
  <si>
    <t>After Tax CF in 2008</t>
  </si>
  <si>
    <t>PV of growing perpetuity</t>
  </si>
  <si>
    <t>&lt;-- use Cost of Equity</t>
  </si>
  <si>
    <t>New Price per share</t>
  </si>
  <si>
    <t>Inputs</t>
  </si>
  <si>
    <t>Terminal Growth Rate</t>
  </si>
  <si>
    <t>Sensitivity Analysis</t>
  </si>
  <si>
    <t>CAPEX %-of Net Sales</t>
  </si>
  <si>
    <t>Growth Rate</t>
  </si>
  <si>
    <t>Shares Outstanding</t>
  </si>
  <si>
    <t>The growth rate can signal a firm's health and its ability to grow with the market's conditions. With the case's specifics, the a low growth rate can signal low exopectancy of Anheuser-Busch t grow into international markets and more into the US market. The terminal value also increases dramatically as the growth rate approaches the WACC, or discount rate, because if the growth is close to discount rate, the company is generating returns that cover the financing of the firm. There is also synergy growth that is represented within the growth rate that needs to be accounted for under the valuation of acquiring a firm.</t>
  </si>
  <si>
    <t>Net Debt</t>
  </si>
  <si>
    <t>FX</t>
  </si>
  <si>
    <t xml:space="preserve">Another key factor is the WACC, which is a key factor affecting the valuation of Anheuser-Busch because it is not only the discount rate, but the minimum required return in which investors are expecting. Therefore, a lower WACC will increase the valuation with the higher discount, and opposite for a higher WACC. The WACC also exemplifies the breakeven discount rate where InBev may have set their $65/share offer. </t>
  </si>
  <si>
    <t>Synergy in EUR</t>
  </si>
  <si>
    <t>Synergy Growth rate</t>
  </si>
  <si>
    <t>Incremental EBIT margin</t>
  </si>
  <si>
    <t>Reinvestment Rate on Synergy</t>
  </si>
  <si>
    <t>EBIT after tax = EBIT * (1 - Tax rate)</t>
  </si>
  <si>
    <t>Key factors affecting the price InBev should pay is the average EV/EBITDA Multiple from comparable acquisitions within the brewing sector. We determined the base multiple of 11.9X because Heineken had acquired a mature asset for a multiple of 11.9X, Anheuser-Busch is definetley an above-average food and beverage company of 11.0X, and Anheuser-Busch is not strong in the international markets. Therefore, Anheuser-Busch cannot be a 14X valuation, making it more towards the 11.9X Heineken has done. This multiple seriusly affects the valuation of Anheuser-Busch because the enterprise value is reliant on the multiple as a comparison to its competition and base it off Anheuser-Busch's current prospectives.</t>
  </si>
  <si>
    <t>Equity income (net of tax)</t>
  </si>
  <si>
    <t>EV/EBITDA Multiple</t>
  </si>
  <si>
    <t>NOPAT = EBIT after tax + Equity income</t>
  </si>
  <si>
    <t>Capex</t>
  </si>
  <si>
    <t>FCFF = NOPAT + Depreciation - Capex - ΔNWC</t>
  </si>
  <si>
    <t>Discount Factor</t>
  </si>
  <si>
    <t>PV of FCFF</t>
  </si>
  <si>
    <t>Year</t>
  </si>
  <si>
    <t>EBITDA</t>
  </si>
  <si>
    <t>--&gt; forecasted EBTIDA using bottom-up approach</t>
  </si>
  <si>
    <t>PV(EBITDA)</t>
  </si>
  <si>
    <t>--&gt; present values of the forecasted EBTIDA</t>
  </si>
  <si>
    <t>Average Comps</t>
  </si>
  <si>
    <t>High-Comps</t>
  </si>
  <si>
    <t>Heineken Comp</t>
  </si>
  <si>
    <t>EV/EBITDA Multiples</t>
  </si>
  <si>
    <t xml:space="preserve">EV </t>
  </si>
  <si>
    <t>Per Share</t>
  </si>
  <si>
    <t>There were many things Anheuser-Busch could have done other than just accept InBev’s offer.</t>
  </si>
  <si>
    <t>1.) Engage and negotiate:</t>
  </si>
  <si>
    <t>Anheuser-Busch can negotiate using internal valuation metrics to determine if the $65.00/share is unreasonable and try to negotiate a higher price. They can also explain the great synergies that can occur with InBev’s immediate introduction into the US market. In addition, they can elaborate on their buy-out conditions, rather than strictly thestand-alone price per share (job retention and board seats).</t>
  </si>
  <si>
    <t>2.) Reject the bid and convince the market that they are worth more as a stand-alone:</t>
  </si>
  <si>
    <t>Anheuser-Busch would have to do similar things to what InBev has envisioned for its use of Anheuser-Busch. This entails cost-cutting and strategically divesting in certain areas that are deemed to be holding back their value. Specifically, they can divest in Grupo Modelo and Tsingtao and use the proceeds for funding other domestic operations. Anheuser-Busch can also buy 100% of Grupo Modelo and/or Tsingtao as as tart to showing investors and the public that Anheuser-Busch wants to expand into international markets without being acquired. It can act as a first step before acquiring or partnering with another big firm.</t>
  </si>
  <si>
    <t> 3.) Find a “white knight”:</t>
  </si>
  <si>
    <t>This would involve Anheuser-Busch showing investors it is serious about its growth by being acquired by another major firm in the brewing industry that wants to see Anheuser-Busch’s growth without much change. For example, Diageo in London would be great with access to many synergies and 10% of the global beer market. </t>
  </si>
  <si>
    <t>4.) “Pac-Man” defense:</t>
  </si>
  <si>
    <t>This strategy has Anheuser-Busch buying InBev instead, which would not be a bad strategy, giving an immediate introduction to the international markets. The main difficulty is that Anheuser-Busch would have to raise the capital for this acquisition, which can come from the shares, debt, or sponsored partner(s).</t>
  </si>
  <si>
    <t>5.) Buy someone else first:</t>
  </si>
  <si>
    <t>This strategy requires Anheuser-Busch to acquire another brewing company; therefore, making it a lot more difficult for InBev to continue its pursuit of Anheuser-Busch’s acquisition. It would make InBev require a lot more capital, and investors and board members would vote against that acquisition, as there is trouble with antitrust in England’s legislature.</t>
  </si>
  <si>
    <t>6. We valued Anheuser-Busch on a stand-alone basis as of December 31, 2007 (t = 0). All forecast cash flows from 2008 onward are discounted back to 12/31/2007.</t>
  </si>
  <si>
    <t>We used an enterprise DCF based on Free Cash Flow to the Firm (FCFF):</t>
  </si>
  <si>
    <t>FCFF = NOPAT+D&amp;A−Capex−ΔNWC</t>
  </si>
  <si>
    <t>NOPAT = EBIT(1−Tax Rate)+Equity income (net of tax)</t>
  </si>
  <si>
    <t>Why: FCFF values the business independent of capital structure. FCFF is discounted at WACC to get the Enterprise Value (EV), which is then converted into Equity Value by subtracting the Net Debt. </t>
  </si>
  <si>
    <t>Outcome:</t>
  </si>
  <si>
    <t>Total PV of FCFF  </t>
  </si>
  <si>
    <t>Terminal Value            </t>
  </si>
  <si>
    <t>PV of TV            </t>
  </si>
  <si>
    <t xml:space="preserve">Enterprise Value </t>
  </si>
  <si>
    <t>Equity Value       </t>
  </si>
  <si>
    <t>How we arrived at Free Cash Flows:</t>
  </si>
  <si>
    <t>EBIT(1−T)</t>
  </si>
  <si>
    <t>D&amp;A</t>
  </si>
  <si>
    <t>ΔNWC</t>
  </si>
  <si>
    <t>FCFF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</si>
</sst>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_);[Red]\(&quot;$&quot;#,##0.00\)"/>
    <numFmt numFmtId="44" formatCode="_(&quot;$&quot;* #,##0.00_);_(&quot;$&quot;* \(#,##0.00\);_(&quot;$&quot;* &quot;-&quot;??_);_(@_)"/>
    <numFmt numFmtId="43" formatCode="_(* #,##0.00_);_(* \(#,##0.00\);_(* &quot;-&quot;??_);_(@_)"/>
    <numFmt numFmtId="164" formatCode="0.0"/>
    <numFmt numFmtId="165" formatCode="_(&quot;$&quot;* #,##0_);_(&quot;$&quot;* \(#,##0\);_(&quot;$&quot;* &quot;-&quot;??_);_(@_)"/>
    <numFmt numFmtId="166" formatCode="_(&quot;$&quot;* #,##0.0_);_(&quot;$&quot;* \(#,##0.0\);_(&quot;$&quot;* &quot;-&quot;??_);_(@_)"/>
    <numFmt numFmtId="167" formatCode="0.0%"/>
    <numFmt numFmtId="168" formatCode="#,##0.0"/>
    <numFmt numFmtId="169" formatCode="&quot;$&quot;#,##0.00"/>
    <numFmt numFmtId="170" formatCode="0_);\(0\)"/>
    <numFmt numFmtId="171" formatCode="m/d/yyyy;@"/>
    <numFmt numFmtId="172" formatCode="0.000000"/>
    <numFmt numFmtId="173" formatCode="[$-409]mmmm\-yy;@"/>
    <numFmt numFmtId="174" formatCode="[$-409]mmm\-yy;@"/>
    <numFmt numFmtId="175" formatCode="&quot;$&quot;#,##0.0000_);[Red]\(&quot;$&quot;#,##0.0000\)"/>
    <numFmt numFmtId="176" formatCode="&quot;$&quot;#,##0"/>
    <numFmt numFmtId="177" formatCode="_([$€-2]\ * #,##0.00_);_([$€-2]\ * \(#,##0.00\);_([$€-2]\ * &quot;-&quot;??_);_(@_)"/>
    <numFmt numFmtId="178" formatCode="_(* #,##0_);_(* \(#,##0\);_(* &quot;-&quot;??_);_(@_)"/>
    <numFmt numFmtId="179" formatCode="_([$€-2]\ * #,##0_);_([$€-2]\ * \(#,##0\);_([$€-2]\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Times New Roman"/>
      <family val="1"/>
    </font>
    <font>
      <sz val="10"/>
      <color theme="1"/>
      <name val="Calibri"/>
      <family val="2"/>
      <scheme val="minor"/>
    </font>
    <font>
      <b/>
      <sz val="12"/>
      <color theme="1"/>
      <name val="Times New Roman"/>
      <family val="1"/>
    </font>
    <font>
      <b/>
      <sz val="10"/>
      <color theme="1"/>
      <name val="Calibri"/>
      <family val="2"/>
      <scheme val="minor"/>
    </font>
    <font>
      <sz val="9"/>
      <color theme="1"/>
      <name val="Calibri"/>
      <family val="2"/>
      <scheme val="minor"/>
    </font>
    <font>
      <u/>
      <sz val="10"/>
      <color theme="1"/>
      <name val="Calibri"/>
      <family val="2"/>
      <scheme val="minor"/>
    </font>
    <font>
      <u/>
      <sz val="11"/>
      <color theme="1"/>
      <name val="Calibri"/>
      <family val="2"/>
      <scheme val="minor"/>
    </font>
    <font>
      <sz val="11"/>
      <color theme="3" tint="0.39997558519241921"/>
      <name val="Calibri"/>
      <family val="2"/>
      <scheme val="minor"/>
    </font>
    <font>
      <b/>
      <sz val="11"/>
      <color theme="3" tint="0.39997558519241921"/>
      <name val="Calibri"/>
      <family val="2"/>
      <scheme val="minor"/>
    </font>
    <font>
      <b/>
      <u/>
      <sz val="11"/>
      <color theme="1"/>
      <name val="Calibri"/>
      <family val="2"/>
      <scheme val="minor"/>
    </font>
    <font>
      <b/>
      <sz val="12"/>
      <color theme="1"/>
      <name val="Calibri"/>
      <family val="2"/>
      <scheme val="minor"/>
    </font>
    <font>
      <sz val="10"/>
      <color indexed="12"/>
      <name val="Arial"/>
      <family val="2"/>
    </font>
    <font>
      <i/>
      <sz val="11"/>
      <color theme="1"/>
      <name val="Calibri"/>
      <family val="2"/>
      <scheme val="minor"/>
    </font>
    <font>
      <sz val="11"/>
      <name val="Calibri"/>
      <family val="2"/>
      <scheme val="minor"/>
    </font>
    <font>
      <b/>
      <sz val="12"/>
      <name val="Times New Roman"/>
      <family val="1"/>
    </font>
    <font>
      <sz val="12"/>
      <name val="Times New Roman"/>
      <family val="1"/>
    </font>
    <font>
      <sz val="11"/>
      <color rgb="FF000000"/>
      <name val="Calibri"/>
      <family val="2"/>
    </font>
    <font>
      <sz val="10"/>
      <name val="Calibri"/>
      <family val="2"/>
      <scheme val="minor"/>
    </font>
    <font>
      <b/>
      <sz val="11"/>
      <name val="Calibri"/>
      <family val="2"/>
      <scheme val="minor"/>
    </font>
    <font>
      <sz val="11"/>
      <color rgb="FF000000"/>
      <name val="Arial"/>
      <family val="2"/>
    </font>
    <font>
      <b/>
      <sz val="11"/>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tint="-0.249977111117893"/>
        <bgColor indexed="64"/>
      </patternFill>
    </fill>
  </fills>
  <borders count="20">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top/>
      <bottom style="medium">
        <color auto="1"/>
      </bottom>
      <diagonal/>
    </border>
    <border>
      <left/>
      <right/>
      <top style="medium">
        <color indexed="64"/>
      </top>
      <bottom/>
      <diagonal/>
    </border>
    <border>
      <left/>
      <right style="thin">
        <color indexed="64"/>
      </right>
      <top/>
      <bottom style="thin">
        <color auto="1"/>
      </bottom>
      <diagonal/>
    </border>
    <border>
      <left/>
      <right style="thin">
        <color indexed="64"/>
      </right>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5">
    <xf numFmtId="0" fontId="0" fillId="0" borderId="0" xfId="0"/>
    <xf numFmtId="0" fontId="3" fillId="2" borderId="0" xfId="0" applyFont="1" applyFill="1" applyAlignment="1">
      <alignment horizontal="center"/>
    </xf>
    <xf numFmtId="0" fontId="4" fillId="2" borderId="0" xfId="0" applyFont="1" applyFill="1"/>
    <xf numFmtId="0" fontId="4" fillId="2" borderId="0" xfId="0" applyFont="1" applyFill="1" applyAlignment="1">
      <alignment horizontal="center"/>
    </xf>
    <xf numFmtId="0" fontId="0" fillId="2" borderId="0" xfId="0" applyFill="1"/>
    <xf numFmtId="0" fontId="5" fillId="0" borderId="0" xfId="0" applyFont="1" applyAlignment="1">
      <alignment horizontal="center"/>
    </xf>
    <xf numFmtId="0" fontId="6" fillId="2" borderId="0" xfId="0" applyFont="1" applyFill="1"/>
    <xf numFmtId="0" fontId="4" fillId="2" borderId="1" xfId="0" applyFont="1" applyFill="1" applyBorder="1"/>
    <xf numFmtId="0" fontId="4" fillId="2" borderId="1" xfId="0" applyFont="1" applyFill="1" applyBorder="1" applyAlignment="1">
      <alignment horizontal="center"/>
    </xf>
    <xf numFmtId="0" fontId="6" fillId="2" borderId="1" xfId="0" applyFont="1" applyFill="1" applyBorder="1" applyAlignment="1">
      <alignment horizontal="center"/>
    </xf>
    <xf numFmtId="0" fontId="0" fillId="2" borderId="2" xfId="0" applyFill="1" applyBorder="1"/>
    <xf numFmtId="0" fontId="4" fillId="2" borderId="2" xfId="0" applyFont="1" applyFill="1" applyBorder="1" applyAlignment="1">
      <alignment horizontal="center"/>
    </xf>
    <xf numFmtId="164" fontId="7" fillId="2" borderId="0" xfId="0" applyNumberFormat="1" applyFont="1" applyFill="1"/>
    <xf numFmtId="0" fontId="4" fillId="2" borderId="3" xfId="0" applyFont="1" applyFill="1" applyBorder="1"/>
    <xf numFmtId="164" fontId="7" fillId="2" borderId="3" xfId="0" applyNumberFormat="1" applyFont="1" applyFill="1" applyBorder="1"/>
    <xf numFmtId="0" fontId="4" fillId="2" borderId="2" xfId="0" applyFont="1" applyFill="1" applyBorder="1"/>
    <xf numFmtId="164" fontId="7" fillId="2" borderId="2" xfId="0" applyNumberFormat="1" applyFont="1" applyFill="1" applyBorder="1"/>
    <xf numFmtId="164" fontId="7" fillId="2" borderId="1" xfId="0" applyNumberFormat="1" applyFont="1" applyFill="1" applyBorder="1"/>
    <xf numFmtId="0" fontId="0" fillId="2" borderId="3" xfId="0" applyFill="1" applyBorder="1"/>
    <xf numFmtId="165" fontId="7" fillId="2" borderId="3" xfId="2" applyNumberFormat="1" applyFont="1" applyFill="1" applyBorder="1"/>
    <xf numFmtId="166" fontId="7" fillId="2" borderId="3" xfId="2" applyNumberFormat="1" applyFont="1" applyFill="1" applyBorder="1"/>
    <xf numFmtId="166" fontId="7" fillId="2" borderId="0" xfId="2" applyNumberFormat="1" applyFont="1" applyFill="1" applyBorder="1"/>
    <xf numFmtId="165" fontId="7" fillId="2" borderId="0" xfId="2" applyNumberFormat="1" applyFont="1" applyFill="1" applyBorder="1"/>
    <xf numFmtId="166" fontId="0" fillId="2" borderId="0" xfId="0" applyNumberFormat="1" applyFill="1"/>
    <xf numFmtId="167" fontId="7" fillId="2" borderId="0" xfId="0" applyNumberFormat="1" applyFont="1" applyFill="1"/>
    <xf numFmtId="10" fontId="7" fillId="2" borderId="0" xfId="0" applyNumberFormat="1" applyFont="1" applyFill="1"/>
    <xf numFmtId="44" fontId="7" fillId="2" borderId="0" xfId="2" applyFont="1" applyFill="1" applyBorder="1"/>
    <xf numFmtId="0" fontId="7" fillId="2" borderId="2" xfId="0" applyFont="1" applyFill="1" applyBorder="1"/>
    <xf numFmtId="0" fontId="8" fillId="2" borderId="0" xfId="0" applyFont="1" applyFill="1" applyAlignment="1">
      <alignment horizontal="center"/>
    </xf>
    <xf numFmtId="0" fontId="7" fillId="2" borderId="0" xfId="0" applyFont="1" applyFill="1"/>
    <xf numFmtId="10" fontId="7" fillId="2" borderId="0" xfId="3" applyNumberFormat="1" applyFont="1" applyFill="1"/>
    <xf numFmtId="10" fontId="7" fillId="2" borderId="0" xfId="3" applyNumberFormat="1" applyFont="1" applyFill="1" applyAlignment="1">
      <alignment horizontal="center"/>
    </xf>
    <xf numFmtId="167" fontId="7" fillId="2" borderId="2" xfId="0" applyNumberFormat="1" applyFont="1" applyFill="1" applyBorder="1"/>
    <xf numFmtId="3" fontId="7" fillId="2" borderId="0" xfId="0" applyNumberFormat="1" applyFont="1" applyFill="1"/>
    <xf numFmtId="166" fontId="7" fillId="2" borderId="2" xfId="2" applyNumberFormat="1" applyFont="1" applyFill="1" applyBorder="1"/>
    <xf numFmtId="165" fontId="4" fillId="2" borderId="0" xfId="0" applyNumberFormat="1" applyFont="1" applyFill="1" applyAlignment="1">
      <alignment horizontal="center"/>
    </xf>
    <xf numFmtId="165" fontId="4" fillId="2" borderId="0" xfId="0" applyNumberFormat="1" applyFont="1" applyFill="1"/>
    <xf numFmtId="0" fontId="4" fillId="2" borderId="0" xfId="0" applyFont="1" applyFill="1" applyAlignment="1">
      <alignment horizontal="left" vertical="top" wrapText="1"/>
    </xf>
    <xf numFmtId="0" fontId="4" fillId="0" borderId="0" xfId="0" applyFont="1"/>
    <xf numFmtId="0" fontId="3" fillId="0" borderId="0" xfId="0" applyFont="1" applyAlignment="1">
      <alignment horizontal="center"/>
    </xf>
    <xf numFmtId="0" fontId="2" fillId="0" borderId="0" xfId="0" applyFont="1"/>
    <xf numFmtId="0" fontId="4" fillId="0" borderId="3" xfId="0" applyFont="1" applyBorder="1"/>
    <xf numFmtId="0" fontId="4" fillId="0" borderId="3"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left"/>
    </xf>
    <xf numFmtId="0" fontId="4" fillId="0" borderId="2" xfId="0" applyFont="1" applyBorder="1"/>
    <xf numFmtId="0" fontId="4" fillId="0" borderId="2" xfId="0" applyFont="1" applyBorder="1" applyAlignment="1">
      <alignment horizontal="center"/>
    </xf>
    <xf numFmtId="0" fontId="2" fillId="0" borderId="2" xfId="0" applyFont="1" applyBorder="1" applyAlignment="1">
      <alignment horizontal="center"/>
    </xf>
    <xf numFmtId="0" fontId="9" fillId="0" borderId="0" xfId="0" applyFont="1"/>
    <xf numFmtId="166" fontId="4" fillId="0" borderId="0" xfId="2" applyNumberFormat="1" applyFont="1"/>
    <xf numFmtId="4" fontId="4" fillId="0" borderId="0" xfId="0" applyNumberFormat="1" applyFont="1"/>
    <xf numFmtId="167" fontId="10" fillId="0" borderId="0" xfId="3" applyNumberFormat="1" applyFont="1"/>
    <xf numFmtId="9" fontId="10" fillId="0" borderId="0" xfId="3" applyFont="1"/>
    <xf numFmtId="0" fontId="10" fillId="0" borderId="0" xfId="0" applyFont="1"/>
    <xf numFmtId="168" fontId="0" fillId="0" borderId="0" xfId="0" applyNumberFormat="1"/>
    <xf numFmtId="167" fontId="0" fillId="0" borderId="0" xfId="3" applyNumberFormat="1" applyFont="1"/>
    <xf numFmtId="0" fontId="0" fillId="0" borderId="4" xfId="0" applyBorder="1"/>
    <xf numFmtId="0" fontId="4" fillId="0" borderId="4" xfId="0" applyFont="1" applyBorder="1"/>
    <xf numFmtId="166" fontId="4" fillId="0" borderId="4" xfId="2" applyNumberFormat="1" applyFont="1" applyBorder="1"/>
    <xf numFmtId="0" fontId="0" fillId="0" borderId="0" xfId="0" applyAlignment="1">
      <alignment horizontal="center"/>
    </xf>
    <xf numFmtId="43" fontId="10" fillId="0" borderId="0" xfId="1" applyFont="1"/>
    <xf numFmtId="0" fontId="11" fillId="0" borderId="0" xfId="0" applyFont="1"/>
    <xf numFmtId="0" fontId="12" fillId="0" borderId="0" xfId="0" applyFont="1"/>
    <xf numFmtId="0" fontId="9" fillId="0" borderId="0" xfId="0" applyFont="1" applyAlignment="1">
      <alignment horizontal="right"/>
    </xf>
    <xf numFmtId="0" fontId="13" fillId="0" borderId="0" xfId="0" applyFont="1"/>
    <xf numFmtId="3" fontId="0" fillId="0" borderId="0" xfId="0" applyNumberFormat="1"/>
    <xf numFmtId="168" fontId="9" fillId="0" borderId="0" xfId="0" applyNumberFormat="1" applyFont="1"/>
    <xf numFmtId="169" fontId="0" fillId="0" borderId="0" xfId="0" applyNumberFormat="1"/>
    <xf numFmtId="1" fontId="0" fillId="0" borderId="0" xfId="0" applyNumberFormat="1"/>
    <xf numFmtId="1" fontId="14" fillId="0" borderId="0" xfId="0" applyNumberFormat="1" applyFont="1"/>
    <xf numFmtId="170" fontId="0" fillId="0" borderId="0" xfId="0" applyNumberFormat="1"/>
    <xf numFmtId="0" fontId="3" fillId="0" borderId="0" xfId="0" applyFont="1" applyAlignment="1">
      <alignment horizontal="center" vertical="center"/>
    </xf>
    <xf numFmtId="171" fontId="0" fillId="0" borderId="0" xfId="0" applyNumberFormat="1"/>
    <xf numFmtId="0" fontId="5" fillId="2" borderId="0" xfId="0" applyFont="1" applyFill="1" applyAlignment="1">
      <alignment horizontal="center"/>
    </xf>
    <xf numFmtId="0" fontId="3" fillId="2" borderId="0" xfId="0" applyFont="1" applyFill="1" applyAlignment="1">
      <alignment horizontal="center"/>
    </xf>
    <xf numFmtId="0" fontId="0" fillId="2" borderId="1" xfId="0" applyFill="1" applyBorder="1"/>
    <xf numFmtId="0" fontId="2" fillId="2" borderId="1" xfId="0" applyFont="1" applyFill="1" applyBorder="1" applyAlignment="1">
      <alignment horizontal="center"/>
    </xf>
    <xf numFmtId="0" fontId="0" fillId="2" borderId="0" xfId="0" applyFill="1" applyAlignment="1">
      <alignment horizontal="center"/>
    </xf>
    <xf numFmtId="164" fontId="0" fillId="2" borderId="3" xfId="0" applyNumberFormat="1" applyFill="1" applyBorder="1"/>
    <xf numFmtId="164" fontId="0" fillId="2" borderId="2" xfId="0" applyNumberFormat="1" applyFill="1" applyBorder="1"/>
    <xf numFmtId="164" fontId="0" fillId="2" borderId="0" xfId="0" applyNumberFormat="1" applyFill="1"/>
    <xf numFmtId="164" fontId="0" fillId="2" borderId="1" xfId="0" applyNumberFormat="1" applyFill="1" applyBorder="1"/>
    <xf numFmtId="37" fontId="0" fillId="2" borderId="3" xfId="2" applyNumberFormat="1" applyFont="1" applyFill="1" applyBorder="1" applyAlignment="1">
      <alignment horizontal="right"/>
    </xf>
    <xf numFmtId="10" fontId="0" fillId="2" borderId="0" xfId="3" applyNumberFormat="1" applyFont="1" applyFill="1"/>
    <xf numFmtId="37" fontId="0" fillId="2" borderId="0" xfId="2" applyNumberFormat="1" applyFont="1" applyFill="1" applyBorder="1"/>
    <xf numFmtId="172" fontId="0" fillId="2" borderId="0" xfId="0" applyNumberFormat="1" applyFill="1"/>
    <xf numFmtId="167" fontId="0" fillId="2" borderId="0" xfId="0" applyNumberFormat="1" applyFill="1"/>
    <xf numFmtId="1" fontId="0" fillId="2" borderId="0" xfId="0" applyNumberFormat="1" applyFill="1"/>
    <xf numFmtId="1" fontId="0" fillId="2" borderId="0" xfId="2" applyNumberFormat="1" applyFont="1" applyFill="1" applyBorder="1"/>
    <xf numFmtId="168" fontId="0" fillId="2" borderId="0" xfId="0" applyNumberFormat="1" applyFill="1"/>
    <xf numFmtId="3" fontId="0" fillId="2" borderId="0" xfId="0" applyNumberFormat="1" applyFill="1"/>
    <xf numFmtId="169" fontId="0" fillId="2" borderId="0" xfId="2" applyNumberFormat="1" applyFont="1" applyFill="1" applyBorder="1"/>
    <xf numFmtId="1" fontId="0" fillId="2" borderId="2" xfId="0" applyNumberFormat="1" applyFill="1" applyBorder="1"/>
    <xf numFmtId="0" fontId="0" fillId="2" borderId="0" xfId="0" quotePrefix="1" applyFill="1" applyAlignment="1">
      <alignment horizontal="left" vertical="top" wrapText="1"/>
    </xf>
    <xf numFmtId="0" fontId="0" fillId="2" borderId="0" xfId="0" quotePrefix="1" applyFill="1" applyAlignment="1">
      <alignment horizontal="left" vertical="top" wrapText="1"/>
    </xf>
    <xf numFmtId="0" fontId="15" fillId="2" borderId="0" xfId="0" applyFont="1" applyFill="1" applyAlignment="1">
      <alignment horizontal="center"/>
    </xf>
    <xf numFmtId="0" fontId="15" fillId="2" borderId="0" xfId="0" applyFont="1" applyFill="1"/>
    <xf numFmtId="0" fontId="16" fillId="2" borderId="0" xfId="0" applyFont="1" applyFill="1"/>
    <xf numFmtId="0" fontId="17" fillId="0" borderId="0" xfId="0" applyFont="1"/>
    <xf numFmtId="0" fontId="18" fillId="0" borderId="0" xfId="0" applyFont="1" applyAlignment="1">
      <alignment horizontal="center"/>
    </xf>
    <xf numFmtId="0" fontId="18" fillId="0" borderId="0" xfId="0" applyFont="1" applyAlignment="1">
      <alignment horizontal="center"/>
    </xf>
    <xf numFmtId="0" fontId="2" fillId="0" borderId="0" xfId="0" applyFont="1" applyAlignment="1">
      <alignment horizontal="center"/>
    </xf>
    <xf numFmtId="0" fontId="19" fillId="0" borderId="5" xfId="0" applyFont="1" applyBorder="1" applyAlignment="1">
      <alignment horizontal="left" vertical="center"/>
    </xf>
    <xf numFmtId="0" fontId="19" fillId="0" borderId="0" xfId="0" applyFont="1" applyAlignment="1">
      <alignment horizontal="left" vertical="center"/>
    </xf>
    <xf numFmtId="173" fontId="0" fillId="0" borderId="0" xfId="0" applyNumberFormat="1"/>
    <xf numFmtId="174" fontId="0" fillId="0" borderId="0" xfId="0" applyNumberFormat="1"/>
    <xf numFmtId="0" fontId="17" fillId="0" borderId="0" xfId="0" applyFont="1" applyAlignment="1">
      <alignment horizontal="center"/>
    </xf>
    <xf numFmtId="0" fontId="20" fillId="0" borderId="0" xfId="0" applyFont="1"/>
    <xf numFmtId="0" fontId="21" fillId="0" borderId="0" xfId="0" applyFont="1"/>
    <xf numFmtId="0" fontId="21" fillId="0" borderId="1" xfId="0" applyFont="1" applyBorder="1" applyAlignment="1">
      <alignment horizontal="center"/>
    </xf>
    <xf numFmtId="0" fontId="21" fillId="0" borderId="1" xfId="0" applyFont="1" applyBorder="1" applyAlignment="1">
      <alignment horizontal="right"/>
    </xf>
    <xf numFmtId="0" fontId="16" fillId="0" borderId="0" xfId="0" applyFont="1"/>
    <xf numFmtId="10" fontId="16" fillId="0" borderId="0" xfId="3" applyNumberFormat="1" applyFont="1"/>
    <xf numFmtId="10" fontId="0" fillId="0" borderId="0" xfId="3" applyNumberFormat="1" applyFont="1"/>
    <xf numFmtId="0" fontId="21" fillId="0" borderId="0" xfId="0" applyFont="1" applyAlignment="1">
      <alignment horizontal="left"/>
    </xf>
    <xf numFmtId="0" fontId="16" fillId="0" borderId="0" xfId="0" applyFont="1" applyAlignment="1">
      <alignment horizontal="left"/>
    </xf>
    <xf numFmtId="8" fontId="16" fillId="0" borderId="0" xfId="0" applyNumberFormat="1" applyFont="1" applyAlignment="1">
      <alignment horizontal="right"/>
    </xf>
    <xf numFmtId="175" fontId="0" fillId="0" borderId="0" xfId="0" applyNumberFormat="1"/>
    <xf numFmtId="0" fontId="16" fillId="0" borderId="0" xfId="0" applyFont="1" applyAlignment="1">
      <alignment horizontal="right"/>
    </xf>
    <xf numFmtId="167" fontId="16" fillId="0" borderId="0" xfId="0" applyNumberFormat="1" applyFont="1" applyAlignment="1">
      <alignment horizontal="right"/>
    </xf>
    <xf numFmtId="164" fontId="16" fillId="0" borderId="0" xfId="0" applyNumberFormat="1" applyFont="1" applyAlignment="1">
      <alignment horizontal="right"/>
    </xf>
    <xf numFmtId="0" fontId="0" fillId="0" borderId="0" xfId="0" applyAlignment="1">
      <alignment vertical="center"/>
    </xf>
    <xf numFmtId="0" fontId="16" fillId="0" borderId="0" xfId="0" applyFont="1" applyAlignment="1">
      <alignment wrapText="1"/>
    </xf>
    <xf numFmtId="0" fontId="22" fillId="0" borderId="0" xfId="0" applyFont="1"/>
    <xf numFmtId="0" fontId="22" fillId="0" borderId="0" xfId="0" applyFont="1" applyAlignment="1">
      <alignment horizontal="left" indent="3"/>
    </xf>
    <xf numFmtId="0" fontId="0" fillId="2" borderId="6" xfId="0" applyFill="1" applyBorder="1"/>
    <xf numFmtId="0" fontId="0" fillId="2" borderId="7" xfId="0" applyFill="1" applyBorder="1"/>
    <xf numFmtId="43" fontId="0" fillId="2" borderId="0" xfId="1" applyFont="1" applyFill="1"/>
    <xf numFmtId="43" fontId="0" fillId="2" borderId="0" xfId="0" applyNumberFormat="1" applyFill="1"/>
    <xf numFmtId="3" fontId="0" fillId="3" borderId="0" xfId="0" applyNumberFormat="1" applyFill="1"/>
    <xf numFmtId="10" fontId="0" fillId="3" borderId="0" xfId="3" applyNumberFormat="1" applyFont="1" applyFill="1"/>
    <xf numFmtId="10" fontId="0" fillId="3" borderId="0" xfId="0" applyNumberFormat="1" applyFill="1"/>
    <xf numFmtId="10" fontId="0" fillId="2" borderId="0" xfId="0" applyNumberFormat="1" applyFill="1"/>
    <xf numFmtId="0" fontId="0" fillId="2" borderId="8" xfId="0" applyFill="1" applyBorder="1"/>
    <xf numFmtId="43" fontId="0" fillId="2" borderId="9" xfId="0" applyNumberFormat="1" applyFill="1" applyBorder="1"/>
    <xf numFmtId="9" fontId="0" fillId="2" borderId="0" xfId="0" applyNumberFormat="1" applyFill="1"/>
    <xf numFmtId="0" fontId="0" fillId="4" borderId="7" xfId="0" applyFill="1" applyBorder="1"/>
    <xf numFmtId="43" fontId="0" fillId="4" borderId="0" xfId="0" applyNumberFormat="1" applyFill="1"/>
    <xf numFmtId="43" fontId="0" fillId="4" borderId="0" xfId="1" applyFont="1" applyFill="1"/>
    <xf numFmtId="0" fontId="0" fillId="2" borderId="10" xfId="0" applyFill="1" applyBorder="1"/>
    <xf numFmtId="37" fontId="0" fillId="2" borderId="11" xfId="1" applyNumberFormat="1" applyFont="1" applyFill="1" applyBorder="1" applyAlignment="1">
      <alignment horizontal="center"/>
    </xf>
    <xf numFmtId="0" fontId="2" fillId="2" borderId="1" xfId="0" applyFont="1" applyFill="1" applyBorder="1"/>
    <xf numFmtId="0" fontId="0" fillId="2" borderId="12" xfId="0" applyFill="1" applyBorder="1"/>
    <xf numFmtId="37" fontId="0" fillId="2" borderId="7" xfId="1" applyNumberFormat="1" applyFont="1" applyFill="1" applyBorder="1" applyAlignment="1">
      <alignment horizontal="center"/>
    </xf>
    <xf numFmtId="10" fontId="0" fillId="2" borderId="7" xfId="0" applyNumberFormat="1" applyFill="1" applyBorder="1" applyAlignment="1">
      <alignment horizontal="center"/>
    </xf>
    <xf numFmtId="0" fontId="2" fillId="2" borderId="13" xfId="0" applyFont="1" applyFill="1" applyBorder="1"/>
    <xf numFmtId="10" fontId="2" fillId="2" borderId="6" xfId="3" applyNumberFormat="1" applyFont="1" applyFill="1" applyBorder="1" applyAlignment="1">
      <alignment horizontal="center"/>
    </xf>
    <xf numFmtId="0" fontId="2" fillId="2" borderId="0" xfId="0" quotePrefix="1" applyFont="1" applyFill="1"/>
    <xf numFmtId="176" fontId="0" fillId="2" borderId="0" xfId="0" applyNumberFormat="1" applyFill="1" applyAlignment="1">
      <alignment horizontal="center"/>
    </xf>
    <xf numFmtId="169" fontId="0" fillId="2" borderId="0" xfId="0" applyNumberFormat="1" applyFill="1"/>
    <xf numFmtId="0" fontId="2" fillId="2" borderId="0" xfId="0" applyFont="1" applyFill="1"/>
    <xf numFmtId="0" fontId="0" fillId="2" borderId="0" xfId="0" quotePrefix="1" applyFill="1"/>
    <xf numFmtId="0" fontId="2" fillId="0" borderId="14" xfId="0" applyFont="1" applyBorder="1"/>
    <xf numFmtId="0" fontId="0" fillId="0" borderId="14" xfId="0" applyBorder="1"/>
    <xf numFmtId="177" fontId="0" fillId="0" borderId="14" xfId="0" applyNumberFormat="1" applyBorder="1"/>
    <xf numFmtId="0" fontId="0" fillId="0" borderId="14" xfId="0" applyBorder="1" applyAlignment="1">
      <alignment horizontal="left" indent="1"/>
    </xf>
    <xf numFmtId="8" fontId="0" fillId="0" borderId="14" xfId="0" applyNumberFormat="1" applyBorder="1"/>
    <xf numFmtId="10" fontId="0" fillId="0" borderId="14" xfId="3" applyNumberFormat="1" applyFont="1" applyBorder="1"/>
    <xf numFmtId="9" fontId="0" fillId="0" borderId="14" xfId="0" applyNumberFormat="1" applyBorder="1"/>
    <xf numFmtId="0" fontId="0" fillId="2" borderId="14" xfId="0" applyFill="1" applyBorder="1" applyAlignment="1">
      <alignment horizontal="left" indent="1"/>
    </xf>
    <xf numFmtId="44" fontId="0" fillId="0" borderId="0" xfId="0" applyNumberFormat="1"/>
    <xf numFmtId="44" fontId="0" fillId="0" borderId="14" xfId="2" applyFont="1" applyBorder="1"/>
    <xf numFmtId="43" fontId="0" fillId="0" borderId="14" xfId="1" applyFont="1" applyBorder="1"/>
    <xf numFmtId="0" fontId="0" fillId="0" borderId="0" xfId="0" applyAlignment="1">
      <alignment horizontal="left" indent="1"/>
    </xf>
    <xf numFmtId="43" fontId="0" fillId="0" borderId="0" xfId="1" applyFont="1" applyBorder="1"/>
    <xf numFmtId="44" fontId="0" fillId="0" borderId="0" xfId="2" applyFont="1"/>
    <xf numFmtId="43" fontId="0" fillId="0" borderId="0" xfId="1" applyFont="1"/>
    <xf numFmtId="0" fontId="0" fillId="4" borderId="0" xfId="0" applyFill="1" applyAlignment="1">
      <alignment horizontal="left" indent="1"/>
    </xf>
    <xf numFmtId="44" fontId="0" fillId="4" borderId="0" xfId="2" applyFont="1" applyFill="1"/>
    <xf numFmtId="9" fontId="0" fillId="0" borderId="0" xfId="0" applyNumberFormat="1"/>
    <xf numFmtId="10" fontId="0" fillId="0" borderId="0" xfId="0" applyNumberFormat="1"/>
    <xf numFmtId="0" fontId="12" fillId="2" borderId="0" xfId="0" applyFont="1" applyFill="1" applyAlignment="1">
      <alignment horizontal="center"/>
    </xf>
    <xf numFmtId="0" fontId="12" fillId="2" borderId="0" xfId="0" applyFont="1" applyFill="1"/>
    <xf numFmtId="0" fontId="2" fillId="0" borderId="0" xfId="0" applyFont="1" applyAlignment="1">
      <alignment horizontal="center"/>
    </xf>
    <xf numFmtId="178" fontId="0" fillId="0" borderId="0" xfId="0" applyNumberFormat="1"/>
    <xf numFmtId="43" fontId="2" fillId="0" borderId="14" xfId="0" applyNumberFormat="1" applyFont="1" applyBorder="1"/>
    <xf numFmtId="9" fontId="0" fillId="0" borderId="1" xfId="0" applyNumberFormat="1" applyBorder="1"/>
    <xf numFmtId="167" fontId="0" fillId="0" borderId="1" xfId="0" applyNumberFormat="1" applyBorder="1"/>
    <xf numFmtId="9" fontId="0" fillId="0" borderId="15" xfId="0" applyNumberFormat="1" applyBorder="1"/>
    <xf numFmtId="0" fontId="2" fillId="0" borderId="0" xfId="0" applyFont="1" applyAlignment="1">
      <alignment horizontal="center" vertical="center"/>
    </xf>
    <xf numFmtId="10" fontId="0" fillId="0" borderId="16" xfId="0" applyNumberFormat="1" applyBorder="1"/>
    <xf numFmtId="43" fontId="0" fillId="0" borderId="7" xfId="1" applyFont="1" applyBorder="1"/>
    <xf numFmtId="8" fontId="0" fillId="0" borderId="0" xfId="0" applyNumberFormat="1"/>
    <xf numFmtId="43" fontId="0" fillId="5" borderId="0" xfId="1" applyFont="1" applyFill="1" applyBorder="1"/>
    <xf numFmtId="179" fontId="0" fillId="0" borderId="0" xfId="0" applyNumberFormat="1"/>
    <xf numFmtId="43" fontId="0" fillId="6" borderId="0" xfId="1" applyFont="1" applyFill="1" applyBorder="1"/>
    <xf numFmtId="10" fontId="0" fillId="0" borderId="17" xfId="0" applyNumberFormat="1" applyBorder="1"/>
    <xf numFmtId="43" fontId="0" fillId="0" borderId="2" xfId="1" applyFont="1" applyBorder="1"/>
    <xf numFmtId="43" fontId="0" fillId="0" borderId="6" xfId="1" applyFont="1" applyBorder="1"/>
    <xf numFmtId="0" fontId="0" fillId="0" borderId="6" xfId="0" applyBorder="1"/>
    <xf numFmtId="0" fontId="0" fillId="0" borderId="2" xfId="0" applyBorder="1" applyAlignment="1">
      <alignment horizontal="center"/>
    </xf>
    <xf numFmtId="0" fontId="0" fillId="0" borderId="7" xfId="0" applyBorder="1"/>
    <xf numFmtId="43" fontId="0" fillId="0" borderId="0" xfId="0" applyNumberFormat="1"/>
    <xf numFmtId="0" fontId="2" fillId="2" borderId="2" xfId="0" applyFont="1" applyFill="1" applyBorder="1" applyAlignment="1">
      <alignment horizontal="center"/>
    </xf>
    <xf numFmtId="2" fontId="2" fillId="2" borderId="14" xfId="0" applyNumberFormat="1" applyFont="1" applyFill="1" applyBorder="1"/>
    <xf numFmtId="10" fontId="0" fillId="2" borderId="18" xfId="3" applyNumberFormat="1" applyFont="1" applyFill="1" applyBorder="1"/>
    <xf numFmtId="10" fontId="0" fillId="2" borderId="1" xfId="3" applyNumberFormat="1" applyFont="1" applyFill="1" applyBorder="1"/>
    <xf numFmtId="10" fontId="1" fillId="2" borderId="1" xfId="3" applyNumberFormat="1" applyFont="1" applyFill="1" applyBorder="1"/>
    <xf numFmtId="10" fontId="0" fillId="2" borderId="15" xfId="3" applyNumberFormat="1" applyFont="1" applyFill="1" applyBorder="1"/>
    <xf numFmtId="0" fontId="2" fillId="2" borderId="7" xfId="0" applyFont="1" applyFill="1" applyBorder="1" applyAlignment="1">
      <alignment horizontal="center" vertical="center" wrapText="1"/>
    </xf>
    <xf numFmtId="2" fontId="0" fillId="2" borderId="19" xfId="0" applyNumberFormat="1" applyFill="1" applyBorder="1"/>
    <xf numFmtId="2" fontId="0" fillId="2" borderId="10" xfId="0" applyNumberFormat="1" applyFill="1" applyBorder="1"/>
    <xf numFmtId="2" fontId="0" fillId="2" borderId="3" xfId="0" applyNumberFormat="1" applyFill="1" applyBorder="1"/>
    <xf numFmtId="2" fontId="0" fillId="2" borderId="11" xfId="0" applyNumberFormat="1" applyFill="1" applyBorder="1"/>
    <xf numFmtId="2" fontId="0" fillId="2" borderId="16" xfId="0" applyNumberFormat="1" applyFill="1" applyBorder="1"/>
    <xf numFmtId="2" fontId="0" fillId="2" borderId="12" xfId="0" applyNumberFormat="1" applyFill="1" applyBorder="1"/>
    <xf numFmtId="2" fontId="0" fillId="5" borderId="0" xfId="0" applyNumberFormat="1" applyFill="1"/>
    <xf numFmtId="2" fontId="0" fillId="2" borderId="7" xfId="0" applyNumberFormat="1" applyFill="1" applyBorder="1"/>
    <xf numFmtId="2" fontId="0" fillId="6" borderId="0" xfId="0" applyNumberFormat="1" applyFill="1"/>
    <xf numFmtId="2" fontId="0" fillId="2" borderId="17" xfId="0" applyNumberFormat="1" applyFill="1" applyBorder="1"/>
    <xf numFmtId="2" fontId="0" fillId="2" borderId="13" xfId="0" applyNumberFormat="1" applyFill="1" applyBorder="1"/>
    <xf numFmtId="2" fontId="0" fillId="2" borderId="2" xfId="0" applyNumberFormat="1" applyFill="1" applyBorder="1"/>
    <xf numFmtId="2" fontId="0" fillId="2" borderId="6" xfId="0" applyNumberFormat="1" applyFill="1" applyBorder="1"/>
    <xf numFmtId="0" fontId="2" fillId="0" borderId="7" xfId="0" applyFont="1" applyBorder="1"/>
    <xf numFmtId="43" fontId="0" fillId="2" borderId="9" xfId="1" applyFont="1" applyFill="1" applyBorder="1"/>
    <xf numFmtId="0" fontId="2" fillId="2" borderId="0" xfId="0" applyFont="1" applyFill="1" applyAlignment="1">
      <alignment horizontal="center"/>
    </xf>
    <xf numFmtId="0" fontId="0" fillId="0" borderId="0" xfId="0" quotePrefix="1"/>
    <xf numFmtId="0" fontId="2" fillId="2" borderId="0" xfId="0" applyFont="1" applyFill="1" applyAlignment="1">
      <alignment horizontal="right"/>
    </xf>
    <xf numFmtId="0" fontId="0" fillId="0" borderId="10"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176" fontId="0" fillId="0" borderId="12" xfId="0" applyNumberFormat="1" applyBorder="1" applyAlignment="1">
      <alignment horizontal="center"/>
    </xf>
    <xf numFmtId="176" fontId="0" fillId="0" borderId="0" xfId="0" applyNumberFormat="1" applyAlignment="1">
      <alignment horizontal="center"/>
    </xf>
    <xf numFmtId="176" fontId="0" fillId="0" borderId="7" xfId="0" applyNumberFormat="1" applyBorder="1" applyAlignment="1">
      <alignment horizontal="center"/>
    </xf>
    <xf numFmtId="169" fontId="0" fillId="0" borderId="13" xfId="0" applyNumberFormat="1" applyBorder="1" applyAlignment="1">
      <alignment horizontal="center"/>
    </xf>
    <xf numFmtId="169" fontId="0" fillId="0" borderId="2" xfId="0" applyNumberFormat="1" applyBorder="1" applyAlignment="1">
      <alignment horizontal="center"/>
    </xf>
    <xf numFmtId="169" fontId="0" fillId="0" borderId="6" xfId="0" applyNumberFormat="1" applyBorder="1" applyAlignment="1">
      <alignment horizontal="center"/>
    </xf>
    <xf numFmtId="0" fontId="0" fillId="2" borderId="0" xfId="0" applyFill="1" applyAlignment="1">
      <alignment horizontal="left" indent="1"/>
    </xf>
    <xf numFmtId="10" fontId="0" fillId="2" borderId="0" xfId="3" applyNumberFormat="1" applyFont="1" applyFill="1" applyBorder="1" applyAlignment="1">
      <alignment horizontal="right"/>
    </xf>
    <xf numFmtId="0" fontId="22" fillId="0" borderId="0" xfId="0" applyFont="1" applyAlignment="1">
      <alignment horizontal="left" indent="2"/>
    </xf>
    <xf numFmtId="0" fontId="22" fillId="0" borderId="0" xfId="0" applyFont="1" applyAlignment="1">
      <alignment horizontal="left" indent="5"/>
    </xf>
    <xf numFmtId="169" fontId="22" fillId="0" borderId="0" xfId="0" applyNumberFormat="1" applyFont="1" applyAlignment="1">
      <alignment horizontal="left" indent="2"/>
    </xf>
    <xf numFmtId="0" fontId="0" fillId="0" borderId="0" xfId="0" applyAlignment="1">
      <alignment horizontal="left" indent="2"/>
    </xf>
    <xf numFmtId="0" fontId="23" fillId="0" borderId="0" xfId="0" applyFont="1" applyAlignment="1">
      <alignment horizontal="left" indent="2"/>
    </xf>
    <xf numFmtId="169" fontId="23" fillId="0" borderId="0" xfId="0" applyNumberFormat="1" applyFont="1" applyAlignment="1">
      <alignment horizontal="left" indent="2"/>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lineChart>
        <c:grouping val="standard"/>
        <c:varyColors val="0"/>
        <c:ser>
          <c:idx val="0"/>
          <c:order val="0"/>
          <c:tx>
            <c:strRef>
              <c:f>'Exhibit 3'!$D$5</c:f>
              <c:strCache>
                <c:ptCount val="1"/>
                <c:pt idx="0">
                  <c:v>Stock Price</c:v>
                </c:pt>
              </c:strCache>
            </c:strRef>
          </c:tx>
          <c:marker>
            <c:symbol val="none"/>
          </c:marker>
          <c:cat>
            <c:numRef>
              <c:f>'Exhibit 3'!$B$6:$B$2743</c:f>
              <c:numCache>
                <c:formatCode>m/d/yyyy;@</c:formatCode>
                <c:ptCount val="2738"/>
                <c:pt idx="0">
                  <c:v>35797</c:v>
                </c:pt>
                <c:pt idx="1">
                  <c:v>35800</c:v>
                </c:pt>
                <c:pt idx="2">
                  <c:v>35801</c:v>
                </c:pt>
                <c:pt idx="3">
                  <c:v>35802</c:v>
                </c:pt>
                <c:pt idx="4">
                  <c:v>35803</c:v>
                </c:pt>
                <c:pt idx="5">
                  <c:v>35804</c:v>
                </c:pt>
                <c:pt idx="6">
                  <c:v>35807</c:v>
                </c:pt>
                <c:pt idx="7">
                  <c:v>35808</c:v>
                </c:pt>
                <c:pt idx="8">
                  <c:v>35809</c:v>
                </c:pt>
                <c:pt idx="9">
                  <c:v>35810</c:v>
                </c:pt>
                <c:pt idx="10">
                  <c:v>35811</c:v>
                </c:pt>
                <c:pt idx="11">
                  <c:v>35815</c:v>
                </c:pt>
                <c:pt idx="12">
                  <c:v>35816</c:v>
                </c:pt>
                <c:pt idx="13">
                  <c:v>35817</c:v>
                </c:pt>
                <c:pt idx="14">
                  <c:v>35818</c:v>
                </c:pt>
                <c:pt idx="15">
                  <c:v>35821</c:v>
                </c:pt>
                <c:pt idx="16">
                  <c:v>35822</c:v>
                </c:pt>
                <c:pt idx="17">
                  <c:v>35823</c:v>
                </c:pt>
                <c:pt idx="18">
                  <c:v>35824</c:v>
                </c:pt>
                <c:pt idx="19">
                  <c:v>35825</c:v>
                </c:pt>
                <c:pt idx="20">
                  <c:v>35828</c:v>
                </c:pt>
                <c:pt idx="21">
                  <c:v>35829</c:v>
                </c:pt>
                <c:pt idx="22">
                  <c:v>35830</c:v>
                </c:pt>
                <c:pt idx="23">
                  <c:v>35831</c:v>
                </c:pt>
                <c:pt idx="24">
                  <c:v>35832</c:v>
                </c:pt>
                <c:pt idx="25">
                  <c:v>35835</c:v>
                </c:pt>
                <c:pt idx="26">
                  <c:v>35836</c:v>
                </c:pt>
                <c:pt idx="27">
                  <c:v>35837</c:v>
                </c:pt>
                <c:pt idx="28">
                  <c:v>35838</c:v>
                </c:pt>
                <c:pt idx="29">
                  <c:v>35839</c:v>
                </c:pt>
                <c:pt idx="30">
                  <c:v>35843</c:v>
                </c:pt>
                <c:pt idx="31">
                  <c:v>35844</c:v>
                </c:pt>
                <c:pt idx="32">
                  <c:v>35845</c:v>
                </c:pt>
                <c:pt idx="33">
                  <c:v>35846</c:v>
                </c:pt>
                <c:pt idx="34">
                  <c:v>35849</c:v>
                </c:pt>
                <c:pt idx="35">
                  <c:v>35850</c:v>
                </c:pt>
                <c:pt idx="36">
                  <c:v>35851</c:v>
                </c:pt>
                <c:pt idx="37">
                  <c:v>35852</c:v>
                </c:pt>
                <c:pt idx="38">
                  <c:v>35853</c:v>
                </c:pt>
                <c:pt idx="39">
                  <c:v>35856</c:v>
                </c:pt>
                <c:pt idx="40">
                  <c:v>35857</c:v>
                </c:pt>
                <c:pt idx="41">
                  <c:v>35858</c:v>
                </c:pt>
                <c:pt idx="42">
                  <c:v>35859</c:v>
                </c:pt>
                <c:pt idx="43">
                  <c:v>35860</c:v>
                </c:pt>
                <c:pt idx="44">
                  <c:v>35863</c:v>
                </c:pt>
                <c:pt idx="45">
                  <c:v>35864</c:v>
                </c:pt>
                <c:pt idx="46">
                  <c:v>35865</c:v>
                </c:pt>
                <c:pt idx="47">
                  <c:v>35866</c:v>
                </c:pt>
                <c:pt idx="48">
                  <c:v>35867</c:v>
                </c:pt>
                <c:pt idx="49">
                  <c:v>35870</c:v>
                </c:pt>
                <c:pt idx="50">
                  <c:v>35871</c:v>
                </c:pt>
                <c:pt idx="51">
                  <c:v>35872</c:v>
                </c:pt>
                <c:pt idx="52">
                  <c:v>35873</c:v>
                </c:pt>
                <c:pt idx="53">
                  <c:v>35874</c:v>
                </c:pt>
                <c:pt idx="54">
                  <c:v>35877</c:v>
                </c:pt>
                <c:pt idx="55">
                  <c:v>35878</c:v>
                </c:pt>
                <c:pt idx="56">
                  <c:v>35879</c:v>
                </c:pt>
                <c:pt idx="57">
                  <c:v>35880</c:v>
                </c:pt>
                <c:pt idx="58">
                  <c:v>35881</c:v>
                </c:pt>
                <c:pt idx="59">
                  <c:v>35884</c:v>
                </c:pt>
                <c:pt idx="60">
                  <c:v>35885</c:v>
                </c:pt>
                <c:pt idx="61">
                  <c:v>35886</c:v>
                </c:pt>
                <c:pt idx="62">
                  <c:v>35887</c:v>
                </c:pt>
                <c:pt idx="63">
                  <c:v>35888</c:v>
                </c:pt>
                <c:pt idx="64">
                  <c:v>35891</c:v>
                </c:pt>
                <c:pt idx="65">
                  <c:v>35892</c:v>
                </c:pt>
                <c:pt idx="66">
                  <c:v>35893</c:v>
                </c:pt>
                <c:pt idx="67">
                  <c:v>35894</c:v>
                </c:pt>
                <c:pt idx="68">
                  <c:v>35898</c:v>
                </c:pt>
                <c:pt idx="69">
                  <c:v>35899</c:v>
                </c:pt>
                <c:pt idx="70">
                  <c:v>35900</c:v>
                </c:pt>
                <c:pt idx="71">
                  <c:v>35901</c:v>
                </c:pt>
                <c:pt idx="72">
                  <c:v>35902</c:v>
                </c:pt>
                <c:pt idx="73">
                  <c:v>35905</c:v>
                </c:pt>
                <c:pt idx="74">
                  <c:v>35906</c:v>
                </c:pt>
                <c:pt idx="75">
                  <c:v>35907</c:v>
                </c:pt>
                <c:pt idx="76">
                  <c:v>35908</c:v>
                </c:pt>
                <c:pt idx="77">
                  <c:v>35909</c:v>
                </c:pt>
                <c:pt idx="78">
                  <c:v>35912</c:v>
                </c:pt>
                <c:pt idx="79">
                  <c:v>35913</c:v>
                </c:pt>
                <c:pt idx="80">
                  <c:v>35914</c:v>
                </c:pt>
                <c:pt idx="81">
                  <c:v>35915</c:v>
                </c:pt>
                <c:pt idx="82">
                  <c:v>35916</c:v>
                </c:pt>
                <c:pt idx="83">
                  <c:v>35919</c:v>
                </c:pt>
                <c:pt idx="84">
                  <c:v>35920</c:v>
                </c:pt>
                <c:pt idx="85">
                  <c:v>35921</c:v>
                </c:pt>
                <c:pt idx="86">
                  <c:v>35922</c:v>
                </c:pt>
                <c:pt idx="87">
                  <c:v>35923</c:v>
                </c:pt>
                <c:pt idx="88">
                  <c:v>35926</c:v>
                </c:pt>
                <c:pt idx="89">
                  <c:v>35927</c:v>
                </c:pt>
                <c:pt idx="90">
                  <c:v>35928</c:v>
                </c:pt>
                <c:pt idx="91">
                  <c:v>35929</c:v>
                </c:pt>
                <c:pt idx="92">
                  <c:v>35930</c:v>
                </c:pt>
                <c:pt idx="93">
                  <c:v>35933</c:v>
                </c:pt>
                <c:pt idx="94">
                  <c:v>35934</c:v>
                </c:pt>
                <c:pt idx="95">
                  <c:v>35935</c:v>
                </c:pt>
                <c:pt idx="96">
                  <c:v>35936</c:v>
                </c:pt>
                <c:pt idx="97">
                  <c:v>35937</c:v>
                </c:pt>
                <c:pt idx="98">
                  <c:v>35941</c:v>
                </c:pt>
                <c:pt idx="99">
                  <c:v>35942</c:v>
                </c:pt>
                <c:pt idx="100">
                  <c:v>35943</c:v>
                </c:pt>
                <c:pt idx="101">
                  <c:v>35944</c:v>
                </c:pt>
                <c:pt idx="102">
                  <c:v>35947</c:v>
                </c:pt>
                <c:pt idx="103">
                  <c:v>35948</c:v>
                </c:pt>
                <c:pt idx="104">
                  <c:v>35949</c:v>
                </c:pt>
                <c:pt idx="105">
                  <c:v>35950</c:v>
                </c:pt>
                <c:pt idx="106">
                  <c:v>35951</c:v>
                </c:pt>
                <c:pt idx="107">
                  <c:v>35954</c:v>
                </c:pt>
                <c:pt idx="108">
                  <c:v>35955</c:v>
                </c:pt>
                <c:pt idx="109">
                  <c:v>35956</c:v>
                </c:pt>
                <c:pt idx="110">
                  <c:v>35957</c:v>
                </c:pt>
                <c:pt idx="111">
                  <c:v>35958</c:v>
                </c:pt>
                <c:pt idx="112">
                  <c:v>35961</c:v>
                </c:pt>
                <c:pt idx="113">
                  <c:v>35962</c:v>
                </c:pt>
                <c:pt idx="114">
                  <c:v>35963</c:v>
                </c:pt>
                <c:pt idx="115">
                  <c:v>35964</c:v>
                </c:pt>
                <c:pt idx="116">
                  <c:v>35965</c:v>
                </c:pt>
                <c:pt idx="117">
                  <c:v>35968</c:v>
                </c:pt>
                <c:pt idx="118">
                  <c:v>35969</c:v>
                </c:pt>
                <c:pt idx="119">
                  <c:v>35970</c:v>
                </c:pt>
                <c:pt idx="120">
                  <c:v>35971</c:v>
                </c:pt>
                <c:pt idx="121">
                  <c:v>35972</c:v>
                </c:pt>
                <c:pt idx="122">
                  <c:v>35975</c:v>
                </c:pt>
                <c:pt idx="123">
                  <c:v>35976</c:v>
                </c:pt>
                <c:pt idx="124">
                  <c:v>35977</c:v>
                </c:pt>
                <c:pt idx="125">
                  <c:v>35978</c:v>
                </c:pt>
                <c:pt idx="126">
                  <c:v>35982</c:v>
                </c:pt>
                <c:pt idx="127">
                  <c:v>35983</c:v>
                </c:pt>
                <c:pt idx="128">
                  <c:v>35984</c:v>
                </c:pt>
                <c:pt idx="129">
                  <c:v>35985</c:v>
                </c:pt>
                <c:pt idx="130">
                  <c:v>35986</c:v>
                </c:pt>
                <c:pt idx="131">
                  <c:v>35989</c:v>
                </c:pt>
                <c:pt idx="132">
                  <c:v>35990</c:v>
                </c:pt>
                <c:pt idx="133">
                  <c:v>35991</c:v>
                </c:pt>
                <c:pt idx="134">
                  <c:v>35992</c:v>
                </c:pt>
                <c:pt idx="135">
                  <c:v>35993</c:v>
                </c:pt>
                <c:pt idx="136">
                  <c:v>35996</c:v>
                </c:pt>
                <c:pt idx="137">
                  <c:v>35997</c:v>
                </c:pt>
                <c:pt idx="138">
                  <c:v>35998</c:v>
                </c:pt>
                <c:pt idx="139">
                  <c:v>35999</c:v>
                </c:pt>
                <c:pt idx="140">
                  <c:v>36000</c:v>
                </c:pt>
                <c:pt idx="141">
                  <c:v>36003</c:v>
                </c:pt>
                <c:pt idx="142">
                  <c:v>36004</c:v>
                </c:pt>
                <c:pt idx="143">
                  <c:v>36005</c:v>
                </c:pt>
                <c:pt idx="144">
                  <c:v>36006</c:v>
                </c:pt>
                <c:pt idx="145">
                  <c:v>36007</c:v>
                </c:pt>
                <c:pt idx="146">
                  <c:v>36010</c:v>
                </c:pt>
                <c:pt idx="147">
                  <c:v>36011</c:v>
                </c:pt>
                <c:pt idx="148">
                  <c:v>36012</c:v>
                </c:pt>
                <c:pt idx="149">
                  <c:v>36013</c:v>
                </c:pt>
                <c:pt idx="150">
                  <c:v>36014</c:v>
                </c:pt>
                <c:pt idx="151">
                  <c:v>36017</c:v>
                </c:pt>
                <c:pt idx="152">
                  <c:v>36018</c:v>
                </c:pt>
                <c:pt idx="153">
                  <c:v>36019</c:v>
                </c:pt>
                <c:pt idx="154">
                  <c:v>36020</c:v>
                </c:pt>
                <c:pt idx="155">
                  <c:v>36021</c:v>
                </c:pt>
                <c:pt idx="156">
                  <c:v>36024</c:v>
                </c:pt>
                <c:pt idx="157">
                  <c:v>36025</c:v>
                </c:pt>
                <c:pt idx="158">
                  <c:v>36026</c:v>
                </c:pt>
                <c:pt idx="159">
                  <c:v>36027</c:v>
                </c:pt>
                <c:pt idx="160">
                  <c:v>36028</c:v>
                </c:pt>
                <c:pt idx="161">
                  <c:v>36031</c:v>
                </c:pt>
                <c:pt idx="162">
                  <c:v>36032</c:v>
                </c:pt>
                <c:pt idx="163">
                  <c:v>36033</c:v>
                </c:pt>
                <c:pt idx="164">
                  <c:v>36034</c:v>
                </c:pt>
                <c:pt idx="165">
                  <c:v>36035</c:v>
                </c:pt>
                <c:pt idx="166">
                  <c:v>36038</c:v>
                </c:pt>
                <c:pt idx="167">
                  <c:v>36039</c:v>
                </c:pt>
                <c:pt idx="168">
                  <c:v>36040</c:v>
                </c:pt>
                <c:pt idx="169">
                  <c:v>36041</c:v>
                </c:pt>
                <c:pt idx="170">
                  <c:v>36042</c:v>
                </c:pt>
                <c:pt idx="171">
                  <c:v>36046</c:v>
                </c:pt>
                <c:pt idx="172">
                  <c:v>36047</c:v>
                </c:pt>
                <c:pt idx="173">
                  <c:v>36048</c:v>
                </c:pt>
                <c:pt idx="174">
                  <c:v>36049</c:v>
                </c:pt>
                <c:pt idx="175">
                  <c:v>36052</c:v>
                </c:pt>
                <c:pt idx="176">
                  <c:v>36053</c:v>
                </c:pt>
                <c:pt idx="177">
                  <c:v>36054</c:v>
                </c:pt>
                <c:pt idx="178">
                  <c:v>36055</c:v>
                </c:pt>
                <c:pt idx="179">
                  <c:v>36056</c:v>
                </c:pt>
                <c:pt idx="180">
                  <c:v>36059</c:v>
                </c:pt>
                <c:pt idx="181">
                  <c:v>36060</c:v>
                </c:pt>
                <c:pt idx="182">
                  <c:v>36061</c:v>
                </c:pt>
                <c:pt idx="183">
                  <c:v>36062</c:v>
                </c:pt>
                <c:pt idx="184">
                  <c:v>36063</c:v>
                </c:pt>
                <c:pt idx="185">
                  <c:v>36066</c:v>
                </c:pt>
                <c:pt idx="186">
                  <c:v>36067</c:v>
                </c:pt>
                <c:pt idx="187">
                  <c:v>36068</c:v>
                </c:pt>
                <c:pt idx="188">
                  <c:v>36069</c:v>
                </c:pt>
                <c:pt idx="189">
                  <c:v>36070</c:v>
                </c:pt>
                <c:pt idx="190">
                  <c:v>36073</c:v>
                </c:pt>
                <c:pt idx="191">
                  <c:v>36074</c:v>
                </c:pt>
                <c:pt idx="192">
                  <c:v>36075</c:v>
                </c:pt>
                <c:pt idx="193">
                  <c:v>36076</c:v>
                </c:pt>
                <c:pt idx="194">
                  <c:v>36077</c:v>
                </c:pt>
                <c:pt idx="195">
                  <c:v>36080</c:v>
                </c:pt>
                <c:pt idx="196">
                  <c:v>36081</c:v>
                </c:pt>
                <c:pt idx="197">
                  <c:v>36082</c:v>
                </c:pt>
                <c:pt idx="198">
                  <c:v>36083</c:v>
                </c:pt>
                <c:pt idx="199">
                  <c:v>36084</c:v>
                </c:pt>
                <c:pt idx="200">
                  <c:v>36087</c:v>
                </c:pt>
                <c:pt idx="201">
                  <c:v>36088</c:v>
                </c:pt>
                <c:pt idx="202">
                  <c:v>36089</c:v>
                </c:pt>
                <c:pt idx="203">
                  <c:v>36090</c:v>
                </c:pt>
                <c:pt idx="204">
                  <c:v>36091</c:v>
                </c:pt>
                <c:pt idx="205">
                  <c:v>36094</c:v>
                </c:pt>
                <c:pt idx="206">
                  <c:v>36095</c:v>
                </c:pt>
                <c:pt idx="207">
                  <c:v>36096</c:v>
                </c:pt>
                <c:pt idx="208">
                  <c:v>36097</c:v>
                </c:pt>
                <c:pt idx="209">
                  <c:v>36098</c:v>
                </c:pt>
                <c:pt idx="210">
                  <c:v>36101</c:v>
                </c:pt>
                <c:pt idx="211">
                  <c:v>36102</c:v>
                </c:pt>
                <c:pt idx="212">
                  <c:v>36103</c:v>
                </c:pt>
                <c:pt idx="213">
                  <c:v>36104</c:v>
                </c:pt>
                <c:pt idx="214">
                  <c:v>36105</c:v>
                </c:pt>
                <c:pt idx="215">
                  <c:v>36108</c:v>
                </c:pt>
                <c:pt idx="216">
                  <c:v>36109</c:v>
                </c:pt>
                <c:pt idx="217">
                  <c:v>36110</c:v>
                </c:pt>
                <c:pt idx="218">
                  <c:v>36111</c:v>
                </c:pt>
                <c:pt idx="219">
                  <c:v>36112</c:v>
                </c:pt>
                <c:pt idx="220">
                  <c:v>36115</c:v>
                </c:pt>
                <c:pt idx="221">
                  <c:v>36116</c:v>
                </c:pt>
                <c:pt idx="222">
                  <c:v>36117</c:v>
                </c:pt>
                <c:pt idx="223">
                  <c:v>36118</c:v>
                </c:pt>
                <c:pt idx="224">
                  <c:v>36119</c:v>
                </c:pt>
                <c:pt idx="225">
                  <c:v>36122</c:v>
                </c:pt>
                <c:pt idx="226">
                  <c:v>36123</c:v>
                </c:pt>
                <c:pt idx="227">
                  <c:v>36124</c:v>
                </c:pt>
                <c:pt idx="228">
                  <c:v>36126</c:v>
                </c:pt>
                <c:pt idx="229">
                  <c:v>36129</c:v>
                </c:pt>
                <c:pt idx="230">
                  <c:v>36130</c:v>
                </c:pt>
                <c:pt idx="231">
                  <c:v>36131</c:v>
                </c:pt>
                <c:pt idx="232">
                  <c:v>36132</c:v>
                </c:pt>
                <c:pt idx="233">
                  <c:v>36133</c:v>
                </c:pt>
                <c:pt idx="234">
                  <c:v>36136</c:v>
                </c:pt>
                <c:pt idx="235">
                  <c:v>36137</c:v>
                </c:pt>
                <c:pt idx="236">
                  <c:v>36138</c:v>
                </c:pt>
                <c:pt idx="237">
                  <c:v>36139</c:v>
                </c:pt>
                <c:pt idx="238">
                  <c:v>36140</c:v>
                </c:pt>
                <c:pt idx="239">
                  <c:v>36143</c:v>
                </c:pt>
                <c:pt idx="240">
                  <c:v>36144</c:v>
                </c:pt>
                <c:pt idx="241">
                  <c:v>36145</c:v>
                </c:pt>
                <c:pt idx="242">
                  <c:v>36146</c:v>
                </c:pt>
                <c:pt idx="243">
                  <c:v>36147</c:v>
                </c:pt>
                <c:pt idx="244">
                  <c:v>36150</c:v>
                </c:pt>
                <c:pt idx="245">
                  <c:v>36151</c:v>
                </c:pt>
                <c:pt idx="246">
                  <c:v>36152</c:v>
                </c:pt>
                <c:pt idx="247">
                  <c:v>36153</c:v>
                </c:pt>
                <c:pt idx="248">
                  <c:v>36157</c:v>
                </c:pt>
                <c:pt idx="249">
                  <c:v>36158</c:v>
                </c:pt>
                <c:pt idx="250">
                  <c:v>36159</c:v>
                </c:pt>
                <c:pt idx="251">
                  <c:v>36160</c:v>
                </c:pt>
                <c:pt idx="252">
                  <c:v>36164</c:v>
                </c:pt>
                <c:pt idx="253">
                  <c:v>36165</c:v>
                </c:pt>
                <c:pt idx="254">
                  <c:v>36166</c:v>
                </c:pt>
                <c:pt idx="255">
                  <c:v>36167</c:v>
                </c:pt>
                <c:pt idx="256">
                  <c:v>36168</c:v>
                </c:pt>
                <c:pt idx="257">
                  <c:v>36171</c:v>
                </c:pt>
                <c:pt idx="258">
                  <c:v>36172</c:v>
                </c:pt>
                <c:pt idx="259">
                  <c:v>36173</c:v>
                </c:pt>
                <c:pt idx="260">
                  <c:v>36174</c:v>
                </c:pt>
                <c:pt idx="261">
                  <c:v>36175</c:v>
                </c:pt>
                <c:pt idx="262">
                  <c:v>36179</c:v>
                </c:pt>
                <c:pt idx="263">
                  <c:v>36180</c:v>
                </c:pt>
                <c:pt idx="264">
                  <c:v>36181</c:v>
                </c:pt>
                <c:pt idx="265">
                  <c:v>36182</c:v>
                </c:pt>
                <c:pt idx="266">
                  <c:v>36185</c:v>
                </c:pt>
                <c:pt idx="267">
                  <c:v>36186</c:v>
                </c:pt>
                <c:pt idx="268">
                  <c:v>36187</c:v>
                </c:pt>
                <c:pt idx="269">
                  <c:v>36188</c:v>
                </c:pt>
                <c:pt idx="270">
                  <c:v>36189</c:v>
                </c:pt>
                <c:pt idx="271">
                  <c:v>36192</c:v>
                </c:pt>
                <c:pt idx="272">
                  <c:v>36193</c:v>
                </c:pt>
                <c:pt idx="273">
                  <c:v>36194</c:v>
                </c:pt>
                <c:pt idx="274">
                  <c:v>36195</c:v>
                </c:pt>
                <c:pt idx="275">
                  <c:v>36196</c:v>
                </c:pt>
                <c:pt idx="276">
                  <c:v>36199</c:v>
                </c:pt>
                <c:pt idx="277">
                  <c:v>36200</c:v>
                </c:pt>
                <c:pt idx="278">
                  <c:v>36201</c:v>
                </c:pt>
                <c:pt idx="279">
                  <c:v>36202</c:v>
                </c:pt>
                <c:pt idx="280">
                  <c:v>36203</c:v>
                </c:pt>
                <c:pt idx="281">
                  <c:v>36207</c:v>
                </c:pt>
                <c:pt idx="282">
                  <c:v>36208</c:v>
                </c:pt>
                <c:pt idx="283">
                  <c:v>36209</c:v>
                </c:pt>
                <c:pt idx="284">
                  <c:v>36210</c:v>
                </c:pt>
                <c:pt idx="285">
                  <c:v>36213</c:v>
                </c:pt>
                <c:pt idx="286">
                  <c:v>36214</c:v>
                </c:pt>
                <c:pt idx="287">
                  <c:v>36215</c:v>
                </c:pt>
                <c:pt idx="288">
                  <c:v>36216</c:v>
                </c:pt>
                <c:pt idx="289">
                  <c:v>36217</c:v>
                </c:pt>
                <c:pt idx="290">
                  <c:v>36220</c:v>
                </c:pt>
                <c:pt idx="291">
                  <c:v>36221</c:v>
                </c:pt>
                <c:pt idx="292">
                  <c:v>36222</c:v>
                </c:pt>
                <c:pt idx="293">
                  <c:v>36223</c:v>
                </c:pt>
                <c:pt idx="294">
                  <c:v>36224</c:v>
                </c:pt>
                <c:pt idx="295">
                  <c:v>36227</c:v>
                </c:pt>
                <c:pt idx="296">
                  <c:v>36228</c:v>
                </c:pt>
                <c:pt idx="297">
                  <c:v>36229</c:v>
                </c:pt>
                <c:pt idx="298">
                  <c:v>36230</c:v>
                </c:pt>
                <c:pt idx="299">
                  <c:v>36231</c:v>
                </c:pt>
                <c:pt idx="300">
                  <c:v>36234</c:v>
                </c:pt>
                <c:pt idx="301">
                  <c:v>36235</c:v>
                </c:pt>
                <c:pt idx="302">
                  <c:v>36236</c:v>
                </c:pt>
                <c:pt idx="303">
                  <c:v>36237</c:v>
                </c:pt>
                <c:pt idx="304">
                  <c:v>36238</c:v>
                </c:pt>
                <c:pt idx="305">
                  <c:v>36241</c:v>
                </c:pt>
                <c:pt idx="306">
                  <c:v>36242</c:v>
                </c:pt>
                <c:pt idx="307">
                  <c:v>36243</c:v>
                </c:pt>
                <c:pt idx="308">
                  <c:v>36244</c:v>
                </c:pt>
                <c:pt idx="309">
                  <c:v>36245</c:v>
                </c:pt>
                <c:pt idx="310">
                  <c:v>36248</c:v>
                </c:pt>
                <c:pt idx="311">
                  <c:v>36249</c:v>
                </c:pt>
                <c:pt idx="312">
                  <c:v>36250</c:v>
                </c:pt>
                <c:pt idx="313">
                  <c:v>36251</c:v>
                </c:pt>
                <c:pt idx="314">
                  <c:v>36255</c:v>
                </c:pt>
                <c:pt idx="315">
                  <c:v>36256</c:v>
                </c:pt>
                <c:pt idx="316">
                  <c:v>36257</c:v>
                </c:pt>
                <c:pt idx="317">
                  <c:v>36258</c:v>
                </c:pt>
                <c:pt idx="318">
                  <c:v>36259</c:v>
                </c:pt>
                <c:pt idx="319">
                  <c:v>36262</c:v>
                </c:pt>
                <c:pt idx="320">
                  <c:v>36263</c:v>
                </c:pt>
                <c:pt idx="321">
                  <c:v>36264</c:v>
                </c:pt>
                <c:pt idx="322">
                  <c:v>36265</c:v>
                </c:pt>
                <c:pt idx="323">
                  <c:v>36266</c:v>
                </c:pt>
                <c:pt idx="324">
                  <c:v>36269</c:v>
                </c:pt>
                <c:pt idx="325">
                  <c:v>36270</c:v>
                </c:pt>
                <c:pt idx="326">
                  <c:v>36271</c:v>
                </c:pt>
                <c:pt idx="327">
                  <c:v>36272</c:v>
                </c:pt>
                <c:pt idx="328">
                  <c:v>36273</c:v>
                </c:pt>
                <c:pt idx="329">
                  <c:v>36276</c:v>
                </c:pt>
                <c:pt idx="330">
                  <c:v>36277</c:v>
                </c:pt>
                <c:pt idx="331">
                  <c:v>36278</c:v>
                </c:pt>
                <c:pt idx="332">
                  <c:v>36279</c:v>
                </c:pt>
                <c:pt idx="333">
                  <c:v>36280</c:v>
                </c:pt>
                <c:pt idx="334">
                  <c:v>36283</c:v>
                </c:pt>
                <c:pt idx="335">
                  <c:v>36284</c:v>
                </c:pt>
                <c:pt idx="336">
                  <c:v>36285</c:v>
                </c:pt>
                <c:pt idx="337">
                  <c:v>36286</c:v>
                </c:pt>
                <c:pt idx="338">
                  <c:v>36287</c:v>
                </c:pt>
                <c:pt idx="339">
                  <c:v>36290</c:v>
                </c:pt>
                <c:pt idx="340">
                  <c:v>36291</c:v>
                </c:pt>
                <c:pt idx="341">
                  <c:v>36292</c:v>
                </c:pt>
                <c:pt idx="342">
                  <c:v>36293</c:v>
                </c:pt>
                <c:pt idx="343">
                  <c:v>36294</c:v>
                </c:pt>
                <c:pt idx="344">
                  <c:v>36297</c:v>
                </c:pt>
                <c:pt idx="345">
                  <c:v>36298</c:v>
                </c:pt>
                <c:pt idx="346">
                  <c:v>36299</c:v>
                </c:pt>
                <c:pt idx="347">
                  <c:v>36300</c:v>
                </c:pt>
                <c:pt idx="348">
                  <c:v>36301</c:v>
                </c:pt>
                <c:pt idx="349">
                  <c:v>36304</c:v>
                </c:pt>
                <c:pt idx="350">
                  <c:v>36305</c:v>
                </c:pt>
                <c:pt idx="351">
                  <c:v>36306</c:v>
                </c:pt>
                <c:pt idx="352">
                  <c:v>36307</c:v>
                </c:pt>
                <c:pt idx="353">
                  <c:v>36308</c:v>
                </c:pt>
                <c:pt idx="354">
                  <c:v>36312</c:v>
                </c:pt>
                <c:pt idx="355">
                  <c:v>36313</c:v>
                </c:pt>
                <c:pt idx="356">
                  <c:v>36314</c:v>
                </c:pt>
                <c:pt idx="357">
                  <c:v>36315</c:v>
                </c:pt>
                <c:pt idx="358">
                  <c:v>36318</c:v>
                </c:pt>
                <c:pt idx="359">
                  <c:v>36319</c:v>
                </c:pt>
                <c:pt idx="360">
                  <c:v>36320</c:v>
                </c:pt>
                <c:pt idx="361">
                  <c:v>36321</c:v>
                </c:pt>
                <c:pt idx="362">
                  <c:v>36322</c:v>
                </c:pt>
                <c:pt idx="363">
                  <c:v>36325</c:v>
                </c:pt>
                <c:pt idx="364">
                  <c:v>36326</c:v>
                </c:pt>
                <c:pt idx="365">
                  <c:v>36327</c:v>
                </c:pt>
                <c:pt idx="366">
                  <c:v>36328</c:v>
                </c:pt>
                <c:pt idx="367">
                  <c:v>36329</c:v>
                </c:pt>
                <c:pt idx="368">
                  <c:v>36332</c:v>
                </c:pt>
                <c:pt idx="369">
                  <c:v>36333</c:v>
                </c:pt>
                <c:pt idx="370">
                  <c:v>36334</c:v>
                </c:pt>
                <c:pt idx="371">
                  <c:v>36335</c:v>
                </c:pt>
                <c:pt idx="372">
                  <c:v>36336</c:v>
                </c:pt>
                <c:pt idx="373">
                  <c:v>36339</c:v>
                </c:pt>
                <c:pt idx="374">
                  <c:v>36340</c:v>
                </c:pt>
                <c:pt idx="375">
                  <c:v>36341</c:v>
                </c:pt>
                <c:pt idx="376">
                  <c:v>36342</c:v>
                </c:pt>
                <c:pt idx="377">
                  <c:v>36343</c:v>
                </c:pt>
                <c:pt idx="378">
                  <c:v>36347</c:v>
                </c:pt>
                <c:pt idx="379">
                  <c:v>36348</c:v>
                </c:pt>
                <c:pt idx="380">
                  <c:v>36349</c:v>
                </c:pt>
                <c:pt idx="381">
                  <c:v>36350</c:v>
                </c:pt>
                <c:pt idx="382">
                  <c:v>36353</c:v>
                </c:pt>
                <c:pt idx="383">
                  <c:v>36354</c:v>
                </c:pt>
                <c:pt idx="384">
                  <c:v>36355</c:v>
                </c:pt>
                <c:pt idx="385">
                  <c:v>36356</c:v>
                </c:pt>
                <c:pt idx="386">
                  <c:v>36357</c:v>
                </c:pt>
                <c:pt idx="387">
                  <c:v>36360</c:v>
                </c:pt>
                <c:pt idx="388">
                  <c:v>36361</c:v>
                </c:pt>
                <c:pt idx="389">
                  <c:v>36362</c:v>
                </c:pt>
                <c:pt idx="390">
                  <c:v>36363</c:v>
                </c:pt>
                <c:pt idx="391">
                  <c:v>36364</c:v>
                </c:pt>
                <c:pt idx="392">
                  <c:v>36367</c:v>
                </c:pt>
                <c:pt idx="393">
                  <c:v>36368</c:v>
                </c:pt>
                <c:pt idx="394">
                  <c:v>36369</c:v>
                </c:pt>
                <c:pt idx="395">
                  <c:v>36370</c:v>
                </c:pt>
                <c:pt idx="396">
                  <c:v>36371</c:v>
                </c:pt>
                <c:pt idx="397">
                  <c:v>36374</c:v>
                </c:pt>
                <c:pt idx="398">
                  <c:v>36375</c:v>
                </c:pt>
                <c:pt idx="399">
                  <c:v>36376</c:v>
                </c:pt>
                <c:pt idx="400">
                  <c:v>36377</c:v>
                </c:pt>
                <c:pt idx="401">
                  <c:v>36378</c:v>
                </c:pt>
                <c:pt idx="402">
                  <c:v>36381</c:v>
                </c:pt>
                <c:pt idx="403">
                  <c:v>36382</c:v>
                </c:pt>
                <c:pt idx="404">
                  <c:v>36383</c:v>
                </c:pt>
                <c:pt idx="405">
                  <c:v>36384</c:v>
                </c:pt>
                <c:pt idx="406">
                  <c:v>36385</c:v>
                </c:pt>
                <c:pt idx="407">
                  <c:v>36388</c:v>
                </c:pt>
                <c:pt idx="408">
                  <c:v>36389</c:v>
                </c:pt>
                <c:pt idx="409">
                  <c:v>36390</c:v>
                </c:pt>
                <c:pt idx="410">
                  <c:v>36391</c:v>
                </c:pt>
                <c:pt idx="411">
                  <c:v>36392</c:v>
                </c:pt>
                <c:pt idx="412">
                  <c:v>36395</c:v>
                </c:pt>
                <c:pt idx="413">
                  <c:v>36396</c:v>
                </c:pt>
                <c:pt idx="414">
                  <c:v>36397</c:v>
                </c:pt>
                <c:pt idx="415">
                  <c:v>36398</c:v>
                </c:pt>
                <c:pt idx="416">
                  <c:v>36399</c:v>
                </c:pt>
                <c:pt idx="417">
                  <c:v>36402</c:v>
                </c:pt>
                <c:pt idx="418">
                  <c:v>36403</c:v>
                </c:pt>
                <c:pt idx="419">
                  <c:v>36404</c:v>
                </c:pt>
                <c:pt idx="420">
                  <c:v>36405</c:v>
                </c:pt>
                <c:pt idx="421">
                  <c:v>36406</c:v>
                </c:pt>
                <c:pt idx="422">
                  <c:v>36410</c:v>
                </c:pt>
                <c:pt idx="423">
                  <c:v>36411</c:v>
                </c:pt>
                <c:pt idx="424">
                  <c:v>36412</c:v>
                </c:pt>
                <c:pt idx="425">
                  <c:v>36413</c:v>
                </c:pt>
                <c:pt idx="426">
                  <c:v>36416</c:v>
                </c:pt>
                <c:pt idx="427">
                  <c:v>36417</c:v>
                </c:pt>
                <c:pt idx="428">
                  <c:v>36418</c:v>
                </c:pt>
                <c:pt idx="429">
                  <c:v>36419</c:v>
                </c:pt>
                <c:pt idx="430">
                  <c:v>36420</c:v>
                </c:pt>
                <c:pt idx="431">
                  <c:v>36423</c:v>
                </c:pt>
                <c:pt idx="432">
                  <c:v>36424</c:v>
                </c:pt>
                <c:pt idx="433">
                  <c:v>36425</c:v>
                </c:pt>
                <c:pt idx="434">
                  <c:v>36426</c:v>
                </c:pt>
                <c:pt idx="435">
                  <c:v>36427</c:v>
                </c:pt>
                <c:pt idx="436">
                  <c:v>36430</c:v>
                </c:pt>
                <c:pt idx="437">
                  <c:v>36431</c:v>
                </c:pt>
                <c:pt idx="438">
                  <c:v>36432</c:v>
                </c:pt>
                <c:pt idx="439">
                  <c:v>36433</c:v>
                </c:pt>
                <c:pt idx="440">
                  <c:v>36434</c:v>
                </c:pt>
                <c:pt idx="441">
                  <c:v>36437</c:v>
                </c:pt>
                <c:pt idx="442">
                  <c:v>36438</c:v>
                </c:pt>
                <c:pt idx="443">
                  <c:v>36439</c:v>
                </c:pt>
                <c:pt idx="444">
                  <c:v>36440</c:v>
                </c:pt>
                <c:pt idx="445">
                  <c:v>36441</c:v>
                </c:pt>
                <c:pt idx="446">
                  <c:v>36444</c:v>
                </c:pt>
                <c:pt idx="447">
                  <c:v>36445</c:v>
                </c:pt>
                <c:pt idx="448">
                  <c:v>36446</c:v>
                </c:pt>
                <c:pt idx="449">
                  <c:v>36447</c:v>
                </c:pt>
                <c:pt idx="450">
                  <c:v>36448</c:v>
                </c:pt>
                <c:pt idx="451">
                  <c:v>36451</c:v>
                </c:pt>
                <c:pt idx="452">
                  <c:v>36452</c:v>
                </c:pt>
                <c:pt idx="453">
                  <c:v>36453</c:v>
                </c:pt>
                <c:pt idx="454">
                  <c:v>36454</c:v>
                </c:pt>
                <c:pt idx="455">
                  <c:v>36455</c:v>
                </c:pt>
                <c:pt idx="456">
                  <c:v>36458</c:v>
                </c:pt>
                <c:pt idx="457">
                  <c:v>36459</c:v>
                </c:pt>
                <c:pt idx="458">
                  <c:v>36460</c:v>
                </c:pt>
                <c:pt idx="459">
                  <c:v>36461</c:v>
                </c:pt>
                <c:pt idx="460">
                  <c:v>36462</c:v>
                </c:pt>
                <c:pt idx="461">
                  <c:v>36465</c:v>
                </c:pt>
                <c:pt idx="462">
                  <c:v>36466</c:v>
                </c:pt>
                <c:pt idx="463">
                  <c:v>36467</c:v>
                </c:pt>
                <c:pt idx="464">
                  <c:v>36468</c:v>
                </c:pt>
                <c:pt idx="465">
                  <c:v>36469</c:v>
                </c:pt>
                <c:pt idx="466">
                  <c:v>36472</c:v>
                </c:pt>
                <c:pt idx="467">
                  <c:v>36473</c:v>
                </c:pt>
                <c:pt idx="468">
                  <c:v>36474</c:v>
                </c:pt>
                <c:pt idx="469">
                  <c:v>36475</c:v>
                </c:pt>
                <c:pt idx="470">
                  <c:v>36476</c:v>
                </c:pt>
                <c:pt idx="471">
                  <c:v>36479</c:v>
                </c:pt>
                <c:pt idx="472">
                  <c:v>36480</c:v>
                </c:pt>
                <c:pt idx="473">
                  <c:v>36481</c:v>
                </c:pt>
                <c:pt idx="474">
                  <c:v>36482</c:v>
                </c:pt>
                <c:pt idx="475">
                  <c:v>36483</c:v>
                </c:pt>
                <c:pt idx="476">
                  <c:v>36486</c:v>
                </c:pt>
                <c:pt idx="477">
                  <c:v>36487</c:v>
                </c:pt>
                <c:pt idx="478">
                  <c:v>36488</c:v>
                </c:pt>
                <c:pt idx="479">
                  <c:v>36490</c:v>
                </c:pt>
                <c:pt idx="480">
                  <c:v>36493</c:v>
                </c:pt>
                <c:pt idx="481">
                  <c:v>36494</c:v>
                </c:pt>
                <c:pt idx="482">
                  <c:v>36495</c:v>
                </c:pt>
                <c:pt idx="483">
                  <c:v>36496</c:v>
                </c:pt>
                <c:pt idx="484">
                  <c:v>36497</c:v>
                </c:pt>
                <c:pt idx="485">
                  <c:v>36500</c:v>
                </c:pt>
                <c:pt idx="486">
                  <c:v>36501</c:v>
                </c:pt>
                <c:pt idx="487">
                  <c:v>36502</c:v>
                </c:pt>
                <c:pt idx="488">
                  <c:v>36503</c:v>
                </c:pt>
                <c:pt idx="489">
                  <c:v>36504</c:v>
                </c:pt>
                <c:pt idx="490">
                  <c:v>36507</c:v>
                </c:pt>
                <c:pt idx="491">
                  <c:v>36508</c:v>
                </c:pt>
                <c:pt idx="492">
                  <c:v>36509</c:v>
                </c:pt>
                <c:pt idx="493">
                  <c:v>36510</c:v>
                </c:pt>
                <c:pt idx="494">
                  <c:v>36511</c:v>
                </c:pt>
                <c:pt idx="495">
                  <c:v>36514</c:v>
                </c:pt>
                <c:pt idx="496">
                  <c:v>36515</c:v>
                </c:pt>
                <c:pt idx="497">
                  <c:v>36516</c:v>
                </c:pt>
                <c:pt idx="498">
                  <c:v>36517</c:v>
                </c:pt>
                <c:pt idx="499">
                  <c:v>36521</c:v>
                </c:pt>
                <c:pt idx="500">
                  <c:v>36522</c:v>
                </c:pt>
                <c:pt idx="501">
                  <c:v>36523</c:v>
                </c:pt>
                <c:pt idx="502">
                  <c:v>36524</c:v>
                </c:pt>
                <c:pt idx="503">
                  <c:v>36525</c:v>
                </c:pt>
                <c:pt idx="504">
                  <c:v>36528</c:v>
                </c:pt>
                <c:pt idx="505">
                  <c:v>36529</c:v>
                </c:pt>
                <c:pt idx="506">
                  <c:v>36530</c:v>
                </c:pt>
                <c:pt idx="507">
                  <c:v>36531</c:v>
                </c:pt>
                <c:pt idx="508">
                  <c:v>36532</c:v>
                </c:pt>
                <c:pt idx="509">
                  <c:v>36535</c:v>
                </c:pt>
                <c:pt idx="510">
                  <c:v>36536</c:v>
                </c:pt>
                <c:pt idx="511">
                  <c:v>36537</c:v>
                </c:pt>
                <c:pt idx="512">
                  <c:v>36538</c:v>
                </c:pt>
                <c:pt idx="513">
                  <c:v>36539</c:v>
                </c:pt>
                <c:pt idx="514">
                  <c:v>36543</c:v>
                </c:pt>
                <c:pt idx="515">
                  <c:v>36544</c:v>
                </c:pt>
                <c:pt idx="516">
                  <c:v>36545</c:v>
                </c:pt>
                <c:pt idx="517">
                  <c:v>36546</c:v>
                </c:pt>
                <c:pt idx="518">
                  <c:v>36549</c:v>
                </c:pt>
                <c:pt idx="519">
                  <c:v>36550</c:v>
                </c:pt>
                <c:pt idx="520">
                  <c:v>36551</c:v>
                </c:pt>
                <c:pt idx="521">
                  <c:v>36552</c:v>
                </c:pt>
                <c:pt idx="522">
                  <c:v>36553</c:v>
                </c:pt>
                <c:pt idx="523">
                  <c:v>36556</c:v>
                </c:pt>
                <c:pt idx="524">
                  <c:v>36557</c:v>
                </c:pt>
                <c:pt idx="525">
                  <c:v>36558</c:v>
                </c:pt>
                <c:pt idx="526">
                  <c:v>36559</c:v>
                </c:pt>
                <c:pt idx="527">
                  <c:v>36560</c:v>
                </c:pt>
                <c:pt idx="528">
                  <c:v>36563</c:v>
                </c:pt>
                <c:pt idx="529">
                  <c:v>36564</c:v>
                </c:pt>
                <c:pt idx="530">
                  <c:v>36565</c:v>
                </c:pt>
                <c:pt idx="531">
                  <c:v>36566</c:v>
                </c:pt>
                <c:pt idx="532">
                  <c:v>36567</c:v>
                </c:pt>
                <c:pt idx="533">
                  <c:v>36570</c:v>
                </c:pt>
                <c:pt idx="534">
                  <c:v>36571</c:v>
                </c:pt>
                <c:pt idx="535">
                  <c:v>36572</c:v>
                </c:pt>
                <c:pt idx="536">
                  <c:v>36573</c:v>
                </c:pt>
                <c:pt idx="537">
                  <c:v>36574</c:v>
                </c:pt>
                <c:pt idx="538">
                  <c:v>36578</c:v>
                </c:pt>
                <c:pt idx="539">
                  <c:v>36579</c:v>
                </c:pt>
                <c:pt idx="540">
                  <c:v>36580</c:v>
                </c:pt>
                <c:pt idx="541">
                  <c:v>36581</c:v>
                </c:pt>
                <c:pt idx="542">
                  <c:v>36584</c:v>
                </c:pt>
                <c:pt idx="543">
                  <c:v>36585</c:v>
                </c:pt>
                <c:pt idx="544">
                  <c:v>36586</c:v>
                </c:pt>
                <c:pt idx="545">
                  <c:v>36587</c:v>
                </c:pt>
                <c:pt idx="546">
                  <c:v>36588</c:v>
                </c:pt>
                <c:pt idx="547">
                  <c:v>36591</c:v>
                </c:pt>
                <c:pt idx="548">
                  <c:v>36592</c:v>
                </c:pt>
                <c:pt idx="549">
                  <c:v>36593</c:v>
                </c:pt>
                <c:pt idx="550">
                  <c:v>36594</c:v>
                </c:pt>
                <c:pt idx="551">
                  <c:v>36595</c:v>
                </c:pt>
                <c:pt idx="552">
                  <c:v>36598</c:v>
                </c:pt>
                <c:pt idx="553">
                  <c:v>36599</c:v>
                </c:pt>
                <c:pt idx="554">
                  <c:v>36600</c:v>
                </c:pt>
                <c:pt idx="555">
                  <c:v>36601</c:v>
                </c:pt>
                <c:pt idx="556">
                  <c:v>36602</c:v>
                </c:pt>
                <c:pt idx="557">
                  <c:v>36605</c:v>
                </c:pt>
                <c:pt idx="558">
                  <c:v>36606</c:v>
                </c:pt>
                <c:pt idx="559">
                  <c:v>36607</c:v>
                </c:pt>
                <c:pt idx="560">
                  <c:v>36608</c:v>
                </c:pt>
                <c:pt idx="561">
                  <c:v>36609</c:v>
                </c:pt>
                <c:pt idx="562">
                  <c:v>36612</c:v>
                </c:pt>
                <c:pt idx="563">
                  <c:v>36613</c:v>
                </c:pt>
                <c:pt idx="564">
                  <c:v>36614</c:v>
                </c:pt>
                <c:pt idx="565">
                  <c:v>36615</c:v>
                </c:pt>
                <c:pt idx="566">
                  <c:v>36616</c:v>
                </c:pt>
                <c:pt idx="567">
                  <c:v>36619</c:v>
                </c:pt>
                <c:pt idx="568">
                  <c:v>36620</c:v>
                </c:pt>
                <c:pt idx="569">
                  <c:v>36621</c:v>
                </c:pt>
                <c:pt idx="570">
                  <c:v>36622</c:v>
                </c:pt>
                <c:pt idx="571">
                  <c:v>36623</c:v>
                </c:pt>
                <c:pt idx="572">
                  <c:v>36626</c:v>
                </c:pt>
                <c:pt idx="573">
                  <c:v>36627</c:v>
                </c:pt>
                <c:pt idx="574">
                  <c:v>36628</c:v>
                </c:pt>
                <c:pt idx="575">
                  <c:v>36629</c:v>
                </c:pt>
                <c:pt idx="576">
                  <c:v>36630</c:v>
                </c:pt>
                <c:pt idx="577">
                  <c:v>36633</c:v>
                </c:pt>
                <c:pt idx="578">
                  <c:v>36634</c:v>
                </c:pt>
                <c:pt idx="579">
                  <c:v>36635</c:v>
                </c:pt>
                <c:pt idx="580">
                  <c:v>36636</c:v>
                </c:pt>
                <c:pt idx="581">
                  <c:v>36640</c:v>
                </c:pt>
                <c:pt idx="582">
                  <c:v>36641</c:v>
                </c:pt>
                <c:pt idx="583">
                  <c:v>36642</c:v>
                </c:pt>
                <c:pt idx="584">
                  <c:v>36643</c:v>
                </c:pt>
                <c:pt idx="585">
                  <c:v>36644</c:v>
                </c:pt>
                <c:pt idx="586">
                  <c:v>36647</c:v>
                </c:pt>
                <c:pt idx="587">
                  <c:v>36648</c:v>
                </c:pt>
                <c:pt idx="588">
                  <c:v>36649</c:v>
                </c:pt>
                <c:pt idx="589">
                  <c:v>36650</c:v>
                </c:pt>
                <c:pt idx="590">
                  <c:v>36651</c:v>
                </c:pt>
                <c:pt idx="591">
                  <c:v>36654</c:v>
                </c:pt>
                <c:pt idx="592">
                  <c:v>36655</c:v>
                </c:pt>
                <c:pt idx="593">
                  <c:v>36656</c:v>
                </c:pt>
                <c:pt idx="594">
                  <c:v>36657</c:v>
                </c:pt>
                <c:pt idx="595">
                  <c:v>36658</c:v>
                </c:pt>
                <c:pt idx="596">
                  <c:v>36661</c:v>
                </c:pt>
                <c:pt idx="597">
                  <c:v>36662</c:v>
                </c:pt>
                <c:pt idx="598">
                  <c:v>36663</c:v>
                </c:pt>
                <c:pt idx="599">
                  <c:v>36664</c:v>
                </c:pt>
                <c:pt idx="600">
                  <c:v>36665</c:v>
                </c:pt>
                <c:pt idx="601">
                  <c:v>36668</c:v>
                </c:pt>
                <c:pt idx="602">
                  <c:v>36669</c:v>
                </c:pt>
                <c:pt idx="603">
                  <c:v>36670</c:v>
                </c:pt>
                <c:pt idx="604">
                  <c:v>36671</c:v>
                </c:pt>
                <c:pt idx="605">
                  <c:v>36672</c:v>
                </c:pt>
                <c:pt idx="606">
                  <c:v>36676</c:v>
                </c:pt>
                <c:pt idx="607">
                  <c:v>36677</c:v>
                </c:pt>
                <c:pt idx="608">
                  <c:v>36678</c:v>
                </c:pt>
                <c:pt idx="609">
                  <c:v>36679</c:v>
                </c:pt>
                <c:pt idx="610">
                  <c:v>36682</c:v>
                </c:pt>
                <c:pt idx="611">
                  <c:v>36683</c:v>
                </c:pt>
                <c:pt idx="612">
                  <c:v>36684</c:v>
                </c:pt>
                <c:pt idx="613">
                  <c:v>36685</c:v>
                </c:pt>
                <c:pt idx="614">
                  <c:v>36686</c:v>
                </c:pt>
                <c:pt idx="615">
                  <c:v>36689</c:v>
                </c:pt>
                <c:pt idx="616">
                  <c:v>36690</c:v>
                </c:pt>
                <c:pt idx="617">
                  <c:v>36691</c:v>
                </c:pt>
                <c:pt idx="618">
                  <c:v>36692</c:v>
                </c:pt>
                <c:pt idx="619">
                  <c:v>36693</c:v>
                </c:pt>
                <c:pt idx="620">
                  <c:v>36696</c:v>
                </c:pt>
                <c:pt idx="621">
                  <c:v>36697</c:v>
                </c:pt>
                <c:pt idx="622">
                  <c:v>36698</c:v>
                </c:pt>
                <c:pt idx="623">
                  <c:v>36699</c:v>
                </c:pt>
                <c:pt idx="624">
                  <c:v>36700</c:v>
                </c:pt>
                <c:pt idx="625">
                  <c:v>36703</c:v>
                </c:pt>
                <c:pt idx="626">
                  <c:v>36704</c:v>
                </c:pt>
                <c:pt idx="627">
                  <c:v>36705</c:v>
                </c:pt>
                <c:pt idx="628">
                  <c:v>36706</c:v>
                </c:pt>
                <c:pt idx="629">
                  <c:v>36707</c:v>
                </c:pt>
                <c:pt idx="630">
                  <c:v>36710</c:v>
                </c:pt>
                <c:pt idx="631">
                  <c:v>36712</c:v>
                </c:pt>
                <c:pt idx="632">
                  <c:v>36713</c:v>
                </c:pt>
                <c:pt idx="633">
                  <c:v>36714</c:v>
                </c:pt>
                <c:pt idx="634">
                  <c:v>36717</c:v>
                </c:pt>
                <c:pt idx="635">
                  <c:v>36718</c:v>
                </c:pt>
                <c:pt idx="636">
                  <c:v>36719</c:v>
                </c:pt>
                <c:pt idx="637">
                  <c:v>36720</c:v>
                </c:pt>
                <c:pt idx="638">
                  <c:v>36721</c:v>
                </c:pt>
                <c:pt idx="639">
                  <c:v>36724</c:v>
                </c:pt>
                <c:pt idx="640">
                  <c:v>36725</c:v>
                </c:pt>
                <c:pt idx="641">
                  <c:v>36726</c:v>
                </c:pt>
                <c:pt idx="642">
                  <c:v>36727</c:v>
                </c:pt>
                <c:pt idx="643">
                  <c:v>36728</c:v>
                </c:pt>
                <c:pt idx="644">
                  <c:v>36731</c:v>
                </c:pt>
                <c:pt idx="645">
                  <c:v>36732</c:v>
                </c:pt>
                <c:pt idx="646">
                  <c:v>36733</c:v>
                </c:pt>
                <c:pt idx="647">
                  <c:v>36734</c:v>
                </c:pt>
                <c:pt idx="648">
                  <c:v>36735</c:v>
                </c:pt>
                <c:pt idx="649">
                  <c:v>36738</c:v>
                </c:pt>
                <c:pt idx="650">
                  <c:v>36739</c:v>
                </c:pt>
                <c:pt idx="651">
                  <c:v>36740</c:v>
                </c:pt>
                <c:pt idx="652">
                  <c:v>36741</c:v>
                </c:pt>
                <c:pt idx="653">
                  <c:v>36742</c:v>
                </c:pt>
                <c:pt idx="654">
                  <c:v>36745</c:v>
                </c:pt>
                <c:pt idx="655">
                  <c:v>36746</c:v>
                </c:pt>
                <c:pt idx="656">
                  <c:v>36747</c:v>
                </c:pt>
                <c:pt idx="657">
                  <c:v>36748</c:v>
                </c:pt>
                <c:pt idx="658">
                  <c:v>36749</c:v>
                </c:pt>
                <c:pt idx="659">
                  <c:v>36752</c:v>
                </c:pt>
                <c:pt idx="660">
                  <c:v>36753</c:v>
                </c:pt>
                <c:pt idx="661">
                  <c:v>36754</c:v>
                </c:pt>
                <c:pt idx="662">
                  <c:v>36755</c:v>
                </c:pt>
                <c:pt idx="663">
                  <c:v>36756</c:v>
                </c:pt>
                <c:pt idx="664">
                  <c:v>36759</c:v>
                </c:pt>
                <c:pt idx="665">
                  <c:v>36760</c:v>
                </c:pt>
                <c:pt idx="666">
                  <c:v>36761</c:v>
                </c:pt>
                <c:pt idx="667">
                  <c:v>36762</c:v>
                </c:pt>
                <c:pt idx="668">
                  <c:v>36763</c:v>
                </c:pt>
                <c:pt idx="669">
                  <c:v>36766</c:v>
                </c:pt>
                <c:pt idx="670">
                  <c:v>36767</c:v>
                </c:pt>
                <c:pt idx="671">
                  <c:v>36768</c:v>
                </c:pt>
                <c:pt idx="672">
                  <c:v>36769</c:v>
                </c:pt>
                <c:pt idx="673">
                  <c:v>36770</c:v>
                </c:pt>
                <c:pt idx="674">
                  <c:v>36774</c:v>
                </c:pt>
                <c:pt idx="675">
                  <c:v>36775</c:v>
                </c:pt>
                <c:pt idx="676">
                  <c:v>36776</c:v>
                </c:pt>
                <c:pt idx="677">
                  <c:v>36777</c:v>
                </c:pt>
                <c:pt idx="678">
                  <c:v>36780</c:v>
                </c:pt>
                <c:pt idx="679">
                  <c:v>36781</c:v>
                </c:pt>
                <c:pt idx="680">
                  <c:v>36782</c:v>
                </c:pt>
                <c:pt idx="681">
                  <c:v>36783</c:v>
                </c:pt>
                <c:pt idx="682">
                  <c:v>36784</c:v>
                </c:pt>
                <c:pt idx="683">
                  <c:v>36787</c:v>
                </c:pt>
                <c:pt idx="684">
                  <c:v>36788</c:v>
                </c:pt>
                <c:pt idx="685">
                  <c:v>36789</c:v>
                </c:pt>
                <c:pt idx="686">
                  <c:v>36790</c:v>
                </c:pt>
                <c:pt idx="687">
                  <c:v>36791</c:v>
                </c:pt>
                <c:pt idx="688">
                  <c:v>36794</c:v>
                </c:pt>
                <c:pt idx="689">
                  <c:v>36795</c:v>
                </c:pt>
                <c:pt idx="690">
                  <c:v>36796</c:v>
                </c:pt>
                <c:pt idx="691">
                  <c:v>36797</c:v>
                </c:pt>
                <c:pt idx="692">
                  <c:v>36798</c:v>
                </c:pt>
                <c:pt idx="693">
                  <c:v>36801</c:v>
                </c:pt>
                <c:pt idx="694">
                  <c:v>36802</c:v>
                </c:pt>
                <c:pt idx="695">
                  <c:v>36803</c:v>
                </c:pt>
                <c:pt idx="696">
                  <c:v>36804</c:v>
                </c:pt>
                <c:pt idx="697">
                  <c:v>36805</c:v>
                </c:pt>
                <c:pt idx="698">
                  <c:v>36808</c:v>
                </c:pt>
                <c:pt idx="699">
                  <c:v>36809</c:v>
                </c:pt>
                <c:pt idx="700">
                  <c:v>36810</c:v>
                </c:pt>
                <c:pt idx="701">
                  <c:v>36811</c:v>
                </c:pt>
                <c:pt idx="702">
                  <c:v>36812</c:v>
                </c:pt>
                <c:pt idx="703">
                  <c:v>36815</c:v>
                </c:pt>
                <c:pt idx="704">
                  <c:v>36816</c:v>
                </c:pt>
                <c:pt idx="705">
                  <c:v>36817</c:v>
                </c:pt>
                <c:pt idx="706">
                  <c:v>36818</c:v>
                </c:pt>
                <c:pt idx="707">
                  <c:v>36819</c:v>
                </c:pt>
                <c:pt idx="708">
                  <c:v>36822</c:v>
                </c:pt>
                <c:pt idx="709">
                  <c:v>36823</c:v>
                </c:pt>
                <c:pt idx="710">
                  <c:v>36824</c:v>
                </c:pt>
                <c:pt idx="711">
                  <c:v>36825</c:v>
                </c:pt>
                <c:pt idx="712">
                  <c:v>36826</c:v>
                </c:pt>
                <c:pt idx="713">
                  <c:v>36829</c:v>
                </c:pt>
                <c:pt idx="714">
                  <c:v>36830</c:v>
                </c:pt>
                <c:pt idx="715">
                  <c:v>36831</c:v>
                </c:pt>
                <c:pt idx="716">
                  <c:v>36832</c:v>
                </c:pt>
                <c:pt idx="717">
                  <c:v>36833</c:v>
                </c:pt>
                <c:pt idx="718">
                  <c:v>36836</c:v>
                </c:pt>
                <c:pt idx="719">
                  <c:v>36837</c:v>
                </c:pt>
                <c:pt idx="720">
                  <c:v>36838</c:v>
                </c:pt>
                <c:pt idx="721">
                  <c:v>36839</c:v>
                </c:pt>
                <c:pt idx="722">
                  <c:v>36840</c:v>
                </c:pt>
                <c:pt idx="723">
                  <c:v>36843</c:v>
                </c:pt>
                <c:pt idx="724">
                  <c:v>36844</c:v>
                </c:pt>
                <c:pt idx="725">
                  <c:v>36845</c:v>
                </c:pt>
                <c:pt idx="726">
                  <c:v>36846</c:v>
                </c:pt>
                <c:pt idx="727">
                  <c:v>36847</c:v>
                </c:pt>
                <c:pt idx="728">
                  <c:v>36850</c:v>
                </c:pt>
                <c:pt idx="729">
                  <c:v>36851</c:v>
                </c:pt>
                <c:pt idx="730">
                  <c:v>36852</c:v>
                </c:pt>
                <c:pt idx="731">
                  <c:v>36854</c:v>
                </c:pt>
                <c:pt idx="732">
                  <c:v>36857</c:v>
                </c:pt>
                <c:pt idx="733">
                  <c:v>36858</c:v>
                </c:pt>
                <c:pt idx="734">
                  <c:v>36859</c:v>
                </c:pt>
                <c:pt idx="735">
                  <c:v>36860</c:v>
                </c:pt>
                <c:pt idx="736">
                  <c:v>36861</c:v>
                </c:pt>
                <c:pt idx="737">
                  <c:v>36864</c:v>
                </c:pt>
                <c:pt idx="738">
                  <c:v>36865</c:v>
                </c:pt>
                <c:pt idx="739">
                  <c:v>36866</c:v>
                </c:pt>
                <c:pt idx="740">
                  <c:v>36867</c:v>
                </c:pt>
                <c:pt idx="741">
                  <c:v>36868</c:v>
                </c:pt>
                <c:pt idx="742">
                  <c:v>36871</c:v>
                </c:pt>
                <c:pt idx="743">
                  <c:v>36872</c:v>
                </c:pt>
                <c:pt idx="744">
                  <c:v>36873</c:v>
                </c:pt>
                <c:pt idx="745">
                  <c:v>36874</c:v>
                </c:pt>
                <c:pt idx="746">
                  <c:v>36875</c:v>
                </c:pt>
                <c:pt idx="747">
                  <c:v>36878</c:v>
                </c:pt>
                <c:pt idx="748">
                  <c:v>36879</c:v>
                </c:pt>
                <c:pt idx="749">
                  <c:v>36880</c:v>
                </c:pt>
                <c:pt idx="750">
                  <c:v>36881</c:v>
                </c:pt>
                <c:pt idx="751">
                  <c:v>36882</c:v>
                </c:pt>
                <c:pt idx="752">
                  <c:v>36886</c:v>
                </c:pt>
                <c:pt idx="753">
                  <c:v>36887</c:v>
                </c:pt>
                <c:pt idx="754">
                  <c:v>36888</c:v>
                </c:pt>
                <c:pt idx="755">
                  <c:v>36889</c:v>
                </c:pt>
                <c:pt idx="756">
                  <c:v>36893</c:v>
                </c:pt>
                <c:pt idx="757">
                  <c:v>36894</c:v>
                </c:pt>
                <c:pt idx="758">
                  <c:v>36895</c:v>
                </c:pt>
                <c:pt idx="759">
                  <c:v>36896</c:v>
                </c:pt>
                <c:pt idx="760">
                  <c:v>36899</c:v>
                </c:pt>
                <c:pt idx="761">
                  <c:v>36900</c:v>
                </c:pt>
                <c:pt idx="762">
                  <c:v>36901</c:v>
                </c:pt>
                <c:pt idx="763">
                  <c:v>36902</c:v>
                </c:pt>
                <c:pt idx="764">
                  <c:v>36903</c:v>
                </c:pt>
                <c:pt idx="765">
                  <c:v>36907</c:v>
                </c:pt>
                <c:pt idx="766">
                  <c:v>36908</c:v>
                </c:pt>
                <c:pt idx="767">
                  <c:v>36909</c:v>
                </c:pt>
                <c:pt idx="768">
                  <c:v>36910</c:v>
                </c:pt>
                <c:pt idx="769">
                  <c:v>36913</c:v>
                </c:pt>
                <c:pt idx="770">
                  <c:v>36914</c:v>
                </c:pt>
                <c:pt idx="771">
                  <c:v>36915</c:v>
                </c:pt>
                <c:pt idx="772">
                  <c:v>36916</c:v>
                </c:pt>
                <c:pt idx="773">
                  <c:v>36917</c:v>
                </c:pt>
                <c:pt idx="774">
                  <c:v>36920</c:v>
                </c:pt>
                <c:pt idx="775">
                  <c:v>36921</c:v>
                </c:pt>
                <c:pt idx="776">
                  <c:v>36922</c:v>
                </c:pt>
                <c:pt idx="777">
                  <c:v>36923</c:v>
                </c:pt>
                <c:pt idx="778">
                  <c:v>36924</c:v>
                </c:pt>
                <c:pt idx="779">
                  <c:v>36927</c:v>
                </c:pt>
                <c:pt idx="780">
                  <c:v>36928</c:v>
                </c:pt>
                <c:pt idx="781">
                  <c:v>36929</c:v>
                </c:pt>
                <c:pt idx="782">
                  <c:v>36930</c:v>
                </c:pt>
                <c:pt idx="783">
                  <c:v>36931</c:v>
                </c:pt>
                <c:pt idx="784">
                  <c:v>36934</c:v>
                </c:pt>
                <c:pt idx="785">
                  <c:v>36935</c:v>
                </c:pt>
                <c:pt idx="786">
                  <c:v>36936</c:v>
                </c:pt>
                <c:pt idx="787">
                  <c:v>36937</c:v>
                </c:pt>
                <c:pt idx="788">
                  <c:v>36938</c:v>
                </c:pt>
                <c:pt idx="789">
                  <c:v>36942</c:v>
                </c:pt>
                <c:pt idx="790">
                  <c:v>36943</c:v>
                </c:pt>
                <c:pt idx="791">
                  <c:v>36944</c:v>
                </c:pt>
                <c:pt idx="792">
                  <c:v>36945</c:v>
                </c:pt>
                <c:pt idx="793">
                  <c:v>36948</c:v>
                </c:pt>
                <c:pt idx="794">
                  <c:v>36949</c:v>
                </c:pt>
                <c:pt idx="795">
                  <c:v>36950</c:v>
                </c:pt>
                <c:pt idx="796">
                  <c:v>36951</c:v>
                </c:pt>
                <c:pt idx="797">
                  <c:v>36952</c:v>
                </c:pt>
                <c:pt idx="798">
                  <c:v>36955</c:v>
                </c:pt>
                <c:pt idx="799">
                  <c:v>36956</c:v>
                </c:pt>
                <c:pt idx="800">
                  <c:v>36957</c:v>
                </c:pt>
                <c:pt idx="801">
                  <c:v>36958</c:v>
                </c:pt>
                <c:pt idx="802">
                  <c:v>36959</c:v>
                </c:pt>
                <c:pt idx="803">
                  <c:v>36962</c:v>
                </c:pt>
                <c:pt idx="804">
                  <c:v>36963</c:v>
                </c:pt>
                <c:pt idx="805">
                  <c:v>36964</c:v>
                </c:pt>
                <c:pt idx="806">
                  <c:v>36965</c:v>
                </c:pt>
                <c:pt idx="807">
                  <c:v>36966</c:v>
                </c:pt>
                <c:pt idx="808">
                  <c:v>36969</c:v>
                </c:pt>
                <c:pt idx="809">
                  <c:v>36970</c:v>
                </c:pt>
                <c:pt idx="810">
                  <c:v>36971</c:v>
                </c:pt>
                <c:pt idx="811">
                  <c:v>36972</c:v>
                </c:pt>
                <c:pt idx="812">
                  <c:v>36973</c:v>
                </c:pt>
                <c:pt idx="813">
                  <c:v>36976</c:v>
                </c:pt>
                <c:pt idx="814">
                  <c:v>36977</c:v>
                </c:pt>
                <c:pt idx="815">
                  <c:v>36978</c:v>
                </c:pt>
                <c:pt idx="816">
                  <c:v>36979</c:v>
                </c:pt>
                <c:pt idx="817">
                  <c:v>36980</c:v>
                </c:pt>
                <c:pt idx="818">
                  <c:v>36983</c:v>
                </c:pt>
                <c:pt idx="819">
                  <c:v>36984</c:v>
                </c:pt>
                <c:pt idx="820">
                  <c:v>36985</c:v>
                </c:pt>
                <c:pt idx="821">
                  <c:v>36986</c:v>
                </c:pt>
                <c:pt idx="822">
                  <c:v>36987</c:v>
                </c:pt>
                <c:pt idx="823">
                  <c:v>36990</c:v>
                </c:pt>
                <c:pt idx="824">
                  <c:v>36991</c:v>
                </c:pt>
                <c:pt idx="825">
                  <c:v>36992</c:v>
                </c:pt>
                <c:pt idx="826">
                  <c:v>36993</c:v>
                </c:pt>
                <c:pt idx="827">
                  <c:v>36997</c:v>
                </c:pt>
                <c:pt idx="828">
                  <c:v>36998</c:v>
                </c:pt>
                <c:pt idx="829">
                  <c:v>36999</c:v>
                </c:pt>
                <c:pt idx="830">
                  <c:v>37000</c:v>
                </c:pt>
                <c:pt idx="831">
                  <c:v>37001</c:v>
                </c:pt>
                <c:pt idx="832">
                  <c:v>37004</c:v>
                </c:pt>
                <c:pt idx="833">
                  <c:v>37005</c:v>
                </c:pt>
                <c:pt idx="834">
                  <c:v>37006</c:v>
                </c:pt>
                <c:pt idx="835">
                  <c:v>37007</c:v>
                </c:pt>
                <c:pt idx="836">
                  <c:v>37008</c:v>
                </c:pt>
                <c:pt idx="837">
                  <c:v>37011</c:v>
                </c:pt>
                <c:pt idx="838">
                  <c:v>37012</c:v>
                </c:pt>
                <c:pt idx="839">
                  <c:v>37013</c:v>
                </c:pt>
                <c:pt idx="840">
                  <c:v>37014</c:v>
                </c:pt>
                <c:pt idx="841">
                  <c:v>37015</c:v>
                </c:pt>
                <c:pt idx="842">
                  <c:v>37018</c:v>
                </c:pt>
                <c:pt idx="843">
                  <c:v>37019</c:v>
                </c:pt>
                <c:pt idx="844">
                  <c:v>37020</c:v>
                </c:pt>
                <c:pt idx="845">
                  <c:v>37021</c:v>
                </c:pt>
                <c:pt idx="846">
                  <c:v>37022</c:v>
                </c:pt>
                <c:pt idx="847">
                  <c:v>37025</c:v>
                </c:pt>
                <c:pt idx="848">
                  <c:v>37026</c:v>
                </c:pt>
                <c:pt idx="849">
                  <c:v>37027</c:v>
                </c:pt>
                <c:pt idx="850">
                  <c:v>37028</c:v>
                </c:pt>
                <c:pt idx="851">
                  <c:v>37029</c:v>
                </c:pt>
                <c:pt idx="852">
                  <c:v>37032</c:v>
                </c:pt>
                <c:pt idx="853">
                  <c:v>37033</c:v>
                </c:pt>
                <c:pt idx="854">
                  <c:v>37034</c:v>
                </c:pt>
                <c:pt idx="855">
                  <c:v>37035</c:v>
                </c:pt>
                <c:pt idx="856">
                  <c:v>37036</c:v>
                </c:pt>
                <c:pt idx="857">
                  <c:v>37040</c:v>
                </c:pt>
                <c:pt idx="858">
                  <c:v>37041</c:v>
                </c:pt>
                <c:pt idx="859">
                  <c:v>37042</c:v>
                </c:pt>
                <c:pt idx="860">
                  <c:v>37043</c:v>
                </c:pt>
                <c:pt idx="861">
                  <c:v>37046</c:v>
                </c:pt>
                <c:pt idx="862">
                  <c:v>37047</c:v>
                </c:pt>
                <c:pt idx="863">
                  <c:v>37048</c:v>
                </c:pt>
                <c:pt idx="864">
                  <c:v>37049</c:v>
                </c:pt>
                <c:pt idx="865">
                  <c:v>37050</c:v>
                </c:pt>
                <c:pt idx="866">
                  <c:v>37053</c:v>
                </c:pt>
                <c:pt idx="867">
                  <c:v>37054</c:v>
                </c:pt>
                <c:pt idx="868">
                  <c:v>37055</c:v>
                </c:pt>
                <c:pt idx="869">
                  <c:v>37056</c:v>
                </c:pt>
                <c:pt idx="870">
                  <c:v>37057</c:v>
                </c:pt>
                <c:pt idx="871">
                  <c:v>37060</c:v>
                </c:pt>
                <c:pt idx="872">
                  <c:v>37061</c:v>
                </c:pt>
                <c:pt idx="873">
                  <c:v>37062</c:v>
                </c:pt>
                <c:pt idx="874">
                  <c:v>37063</c:v>
                </c:pt>
                <c:pt idx="875">
                  <c:v>37064</c:v>
                </c:pt>
                <c:pt idx="876">
                  <c:v>37067</c:v>
                </c:pt>
                <c:pt idx="877">
                  <c:v>37068</c:v>
                </c:pt>
                <c:pt idx="878">
                  <c:v>37069</c:v>
                </c:pt>
                <c:pt idx="879">
                  <c:v>37070</c:v>
                </c:pt>
                <c:pt idx="880">
                  <c:v>37071</c:v>
                </c:pt>
                <c:pt idx="881">
                  <c:v>37074</c:v>
                </c:pt>
                <c:pt idx="882">
                  <c:v>37075</c:v>
                </c:pt>
                <c:pt idx="883">
                  <c:v>37077</c:v>
                </c:pt>
                <c:pt idx="884">
                  <c:v>37078</c:v>
                </c:pt>
                <c:pt idx="885">
                  <c:v>37081</c:v>
                </c:pt>
                <c:pt idx="886">
                  <c:v>37082</c:v>
                </c:pt>
                <c:pt idx="887">
                  <c:v>37083</c:v>
                </c:pt>
                <c:pt idx="888">
                  <c:v>37084</c:v>
                </c:pt>
                <c:pt idx="889">
                  <c:v>37085</c:v>
                </c:pt>
                <c:pt idx="890">
                  <c:v>37088</c:v>
                </c:pt>
                <c:pt idx="891">
                  <c:v>37089</c:v>
                </c:pt>
                <c:pt idx="892">
                  <c:v>37090</c:v>
                </c:pt>
                <c:pt idx="893">
                  <c:v>37091</c:v>
                </c:pt>
                <c:pt idx="894">
                  <c:v>37092</c:v>
                </c:pt>
                <c:pt idx="895">
                  <c:v>37095</c:v>
                </c:pt>
                <c:pt idx="896">
                  <c:v>37096</c:v>
                </c:pt>
                <c:pt idx="897">
                  <c:v>37097</c:v>
                </c:pt>
                <c:pt idx="898">
                  <c:v>37098</c:v>
                </c:pt>
                <c:pt idx="899">
                  <c:v>37099</c:v>
                </c:pt>
                <c:pt idx="900">
                  <c:v>37102</c:v>
                </c:pt>
                <c:pt idx="901">
                  <c:v>37103</c:v>
                </c:pt>
                <c:pt idx="902">
                  <c:v>37104</c:v>
                </c:pt>
                <c:pt idx="903">
                  <c:v>37105</c:v>
                </c:pt>
                <c:pt idx="904">
                  <c:v>37106</c:v>
                </c:pt>
                <c:pt idx="905">
                  <c:v>37109</c:v>
                </c:pt>
                <c:pt idx="906">
                  <c:v>37110</c:v>
                </c:pt>
                <c:pt idx="907">
                  <c:v>37111</c:v>
                </c:pt>
                <c:pt idx="908">
                  <c:v>37112</c:v>
                </c:pt>
                <c:pt idx="909">
                  <c:v>37113</c:v>
                </c:pt>
                <c:pt idx="910">
                  <c:v>37116</c:v>
                </c:pt>
                <c:pt idx="911">
                  <c:v>37117</c:v>
                </c:pt>
                <c:pt idx="912">
                  <c:v>37118</c:v>
                </c:pt>
                <c:pt idx="913">
                  <c:v>37119</c:v>
                </c:pt>
                <c:pt idx="914">
                  <c:v>37120</c:v>
                </c:pt>
                <c:pt idx="915">
                  <c:v>37123</c:v>
                </c:pt>
                <c:pt idx="916">
                  <c:v>37124</c:v>
                </c:pt>
                <c:pt idx="917">
                  <c:v>37125</c:v>
                </c:pt>
                <c:pt idx="918">
                  <c:v>37126</c:v>
                </c:pt>
                <c:pt idx="919">
                  <c:v>37127</c:v>
                </c:pt>
                <c:pt idx="920">
                  <c:v>37130</c:v>
                </c:pt>
                <c:pt idx="921">
                  <c:v>37131</c:v>
                </c:pt>
                <c:pt idx="922">
                  <c:v>37132</c:v>
                </c:pt>
                <c:pt idx="923">
                  <c:v>37133</c:v>
                </c:pt>
                <c:pt idx="924">
                  <c:v>37134</c:v>
                </c:pt>
                <c:pt idx="925">
                  <c:v>37138</c:v>
                </c:pt>
                <c:pt idx="926">
                  <c:v>37139</c:v>
                </c:pt>
                <c:pt idx="927">
                  <c:v>37140</c:v>
                </c:pt>
                <c:pt idx="928">
                  <c:v>37141</c:v>
                </c:pt>
                <c:pt idx="929">
                  <c:v>37144</c:v>
                </c:pt>
                <c:pt idx="930">
                  <c:v>37151</c:v>
                </c:pt>
                <c:pt idx="931">
                  <c:v>37152</c:v>
                </c:pt>
                <c:pt idx="932">
                  <c:v>37153</c:v>
                </c:pt>
                <c:pt idx="933">
                  <c:v>37154</c:v>
                </c:pt>
                <c:pt idx="934">
                  <c:v>37155</c:v>
                </c:pt>
                <c:pt idx="935">
                  <c:v>37158</c:v>
                </c:pt>
                <c:pt idx="936">
                  <c:v>37159</c:v>
                </c:pt>
                <c:pt idx="937">
                  <c:v>37160</c:v>
                </c:pt>
                <c:pt idx="938">
                  <c:v>37161</c:v>
                </c:pt>
                <c:pt idx="939">
                  <c:v>37162</c:v>
                </c:pt>
                <c:pt idx="940">
                  <c:v>37165</c:v>
                </c:pt>
                <c:pt idx="941">
                  <c:v>37166</c:v>
                </c:pt>
                <c:pt idx="942">
                  <c:v>37167</c:v>
                </c:pt>
                <c:pt idx="943">
                  <c:v>37168</c:v>
                </c:pt>
                <c:pt idx="944">
                  <c:v>37169</c:v>
                </c:pt>
                <c:pt idx="945">
                  <c:v>37172</c:v>
                </c:pt>
                <c:pt idx="946">
                  <c:v>37173</c:v>
                </c:pt>
                <c:pt idx="947">
                  <c:v>37174</c:v>
                </c:pt>
                <c:pt idx="948">
                  <c:v>37175</c:v>
                </c:pt>
                <c:pt idx="949">
                  <c:v>37176</c:v>
                </c:pt>
                <c:pt idx="950">
                  <c:v>37179</c:v>
                </c:pt>
                <c:pt idx="951">
                  <c:v>37180</c:v>
                </c:pt>
                <c:pt idx="952">
                  <c:v>37181</c:v>
                </c:pt>
                <c:pt idx="953">
                  <c:v>37182</c:v>
                </c:pt>
                <c:pt idx="954">
                  <c:v>37183</c:v>
                </c:pt>
                <c:pt idx="955">
                  <c:v>37186</c:v>
                </c:pt>
                <c:pt idx="956">
                  <c:v>37187</c:v>
                </c:pt>
                <c:pt idx="957">
                  <c:v>37188</c:v>
                </c:pt>
                <c:pt idx="958">
                  <c:v>37189</c:v>
                </c:pt>
                <c:pt idx="959">
                  <c:v>37190</c:v>
                </c:pt>
                <c:pt idx="960">
                  <c:v>37193</c:v>
                </c:pt>
                <c:pt idx="961">
                  <c:v>37194</c:v>
                </c:pt>
                <c:pt idx="962">
                  <c:v>37195</c:v>
                </c:pt>
                <c:pt idx="963">
                  <c:v>37196</c:v>
                </c:pt>
                <c:pt idx="964">
                  <c:v>37197</c:v>
                </c:pt>
                <c:pt idx="965">
                  <c:v>37200</c:v>
                </c:pt>
                <c:pt idx="966">
                  <c:v>37201</c:v>
                </c:pt>
                <c:pt idx="967">
                  <c:v>37202</c:v>
                </c:pt>
                <c:pt idx="968">
                  <c:v>37203</c:v>
                </c:pt>
                <c:pt idx="969">
                  <c:v>37204</c:v>
                </c:pt>
                <c:pt idx="970">
                  <c:v>37207</c:v>
                </c:pt>
                <c:pt idx="971">
                  <c:v>37208</c:v>
                </c:pt>
                <c:pt idx="972">
                  <c:v>37209</c:v>
                </c:pt>
                <c:pt idx="973">
                  <c:v>37210</c:v>
                </c:pt>
                <c:pt idx="974">
                  <c:v>37211</c:v>
                </c:pt>
                <c:pt idx="975">
                  <c:v>37214</c:v>
                </c:pt>
                <c:pt idx="976">
                  <c:v>37215</c:v>
                </c:pt>
                <c:pt idx="977">
                  <c:v>37216</c:v>
                </c:pt>
                <c:pt idx="978">
                  <c:v>37218</c:v>
                </c:pt>
                <c:pt idx="979">
                  <c:v>37221</c:v>
                </c:pt>
                <c:pt idx="980">
                  <c:v>37222</c:v>
                </c:pt>
                <c:pt idx="981">
                  <c:v>37223</c:v>
                </c:pt>
                <c:pt idx="982">
                  <c:v>37224</c:v>
                </c:pt>
                <c:pt idx="983">
                  <c:v>37225</c:v>
                </c:pt>
                <c:pt idx="984">
                  <c:v>37228</c:v>
                </c:pt>
                <c:pt idx="985">
                  <c:v>37229</c:v>
                </c:pt>
                <c:pt idx="986">
                  <c:v>37230</c:v>
                </c:pt>
                <c:pt idx="987">
                  <c:v>37231</c:v>
                </c:pt>
                <c:pt idx="988">
                  <c:v>37232</c:v>
                </c:pt>
                <c:pt idx="989">
                  <c:v>37235</c:v>
                </c:pt>
                <c:pt idx="990">
                  <c:v>37236</c:v>
                </c:pt>
                <c:pt idx="991">
                  <c:v>37237</c:v>
                </c:pt>
                <c:pt idx="992">
                  <c:v>37238</c:v>
                </c:pt>
                <c:pt idx="993">
                  <c:v>37239</c:v>
                </c:pt>
                <c:pt idx="994">
                  <c:v>37242</c:v>
                </c:pt>
                <c:pt idx="995">
                  <c:v>37243</c:v>
                </c:pt>
                <c:pt idx="996">
                  <c:v>37244</c:v>
                </c:pt>
                <c:pt idx="997">
                  <c:v>37245</c:v>
                </c:pt>
                <c:pt idx="998">
                  <c:v>37246</c:v>
                </c:pt>
                <c:pt idx="999">
                  <c:v>37249</c:v>
                </c:pt>
                <c:pt idx="1000">
                  <c:v>37251</c:v>
                </c:pt>
                <c:pt idx="1001">
                  <c:v>37252</c:v>
                </c:pt>
                <c:pt idx="1002">
                  <c:v>37253</c:v>
                </c:pt>
                <c:pt idx="1003">
                  <c:v>37256</c:v>
                </c:pt>
                <c:pt idx="1004">
                  <c:v>37258</c:v>
                </c:pt>
                <c:pt idx="1005">
                  <c:v>37259</c:v>
                </c:pt>
                <c:pt idx="1006">
                  <c:v>37260</c:v>
                </c:pt>
                <c:pt idx="1007">
                  <c:v>37263</c:v>
                </c:pt>
                <c:pt idx="1008">
                  <c:v>37264</c:v>
                </c:pt>
                <c:pt idx="1009">
                  <c:v>37265</c:v>
                </c:pt>
                <c:pt idx="1010">
                  <c:v>37266</c:v>
                </c:pt>
                <c:pt idx="1011">
                  <c:v>37267</c:v>
                </c:pt>
                <c:pt idx="1012">
                  <c:v>37270</c:v>
                </c:pt>
                <c:pt idx="1013">
                  <c:v>37271</c:v>
                </c:pt>
                <c:pt idx="1014">
                  <c:v>37272</c:v>
                </c:pt>
                <c:pt idx="1015">
                  <c:v>37273</c:v>
                </c:pt>
                <c:pt idx="1016">
                  <c:v>37274</c:v>
                </c:pt>
                <c:pt idx="1017">
                  <c:v>37278</c:v>
                </c:pt>
                <c:pt idx="1018">
                  <c:v>37279</c:v>
                </c:pt>
                <c:pt idx="1019">
                  <c:v>37280</c:v>
                </c:pt>
                <c:pt idx="1020">
                  <c:v>37281</c:v>
                </c:pt>
                <c:pt idx="1021">
                  <c:v>37284</c:v>
                </c:pt>
                <c:pt idx="1022">
                  <c:v>37285</c:v>
                </c:pt>
                <c:pt idx="1023">
                  <c:v>37286</c:v>
                </c:pt>
                <c:pt idx="1024">
                  <c:v>37287</c:v>
                </c:pt>
                <c:pt idx="1025">
                  <c:v>37288</c:v>
                </c:pt>
                <c:pt idx="1026">
                  <c:v>37291</c:v>
                </c:pt>
                <c:pt idx="1027">
                  <c:v>37292</c:v>
                </c:pt>
                <c:pt idx="1028">
                  <c:v>37293</c:v>
                </c:pt>
                <c:pt idx="1029">
                  <c:v>37294</c:v>
                </c:pt>
                <c:pt idx="1030">
                  <c:v>37295</c:v>
                </c:pt>
                <c:pt idx="1031">
                  <c:v>37298</c:v>
                </c:pt>
                <c:pt idx="1032">
                  <c:v>37299</c:v>
                </c:pt>
                <c:pt idx="1033">
                  <c:v>37300</c:v>
                </c:pt>
                <c:pt idx="1034">
                  <c:v>37301</c:v>
                </c:pt>
                <c:pt idx="1035">
                  <c:v>37302</c:v>
                </c:pt>
                <c:pt idx="1036">
                  <c:v>37306</c:v>
                </c:pt>
                <c:pt idx="1037">
                  <c:v>37307</c:v>
                </c:pt>
                <c:pt idx="1038">
                  <c:v>37308</c:v>
                </c:pt>
                <c:pt idx="1039">
                  <c:v>37309</c:v>
                </c:pt>
                <c:pt idx="1040">
                  <c:v>37312</c:v>
                </c:pt>
                <c:pt idx="1041">
                  <c:v>37313</c:v>
                </c:pt>
                <c:pt idx="1042">
                  <c:v>37314</c:v>
                </c:pt>
                <c:pt idx="1043">
                  <c:v>37315</c:v>
                </c:pt>
                <c:pt idx="1044">
                  <c:v>37316</c:v>
                </c:pt>
                <c:pt idx="1045">
                  <c:v>37319</c:v>
                </c:pt>
                <c:pt idx="1046">
                  <c:v>37320</c:v>
                </c:pt>
                <c:pt idx="1047">
                  <c:v>37321</c:v>
                </c:pt>
                <c:pt idx="1048">
                  <c:v>37322</c:v>
                </c:pt>
                <c:pt idx="1049">
                  <c:v>37323</c:v>
                </c:pt>
                <c:pt idx="1050">
                  <c:v>37326</c:v>
                </c:pt>
                <c:pt idx="1051">
                  <c:v>37327</c:v>
                </c:pt>
                <c:pt idx="1052">
                  <c:v>37328</c:v>
                </c:pt>
                <c:pt idx="1053">
                  <c:v>37329</c:v>
                </c:pt>
                <c:pt idx="1054">
                  <c:v>37330</c:v>
                </c:pt>
                <c:pt idx="1055">
                  <c:v>37333</c:v>
                </c:pt>
                <c:pt idx="1056">
                  <c:v>37334</c:v>
                </c:pt>
                <c:pt idx="1057">
                  <c:v>37335</c:v>
                </c:pt>
                <c:pt idx="1058">
                  <c:v>37336</c:v>
                </c:pt>
                <c:pt idx="1059">
                  <c:v>37337</c:v>
                </c:pt>
                <c:pt idx="1060">
                  <c:v>37340</c:v>
                </c:pt>
                <c:pt idx="1061">
                  <c:v>37341</c:v>
                </c:pt>
                <c:pt idx="1062">
                  <c:v>37342</c:v>
                </c:pt>
                <c:pt idx="1063">
                  <c:v>37343</c:v>
                </c:pt>
                <c:pt idx="1064">
                  <c:v>37347</c:v>
                </c:pt>
                <c:pt idx="1065">
                  <c:v>37348</c:v>
                </c:pt>
                <c:pt idx="1066">
                  <c:v>37349</c:v>
                </c:pt>
                <c:pt idx="1067">
                  <c:v>37350</c:v>
                </c:pt>
                <c:pt idx="1068">
                  <c:v>37351</c:v>
                </c:pt>
                <c:pt idx="1069">
                  <c:v>37354</c:v>
                </c:pt>
                <c:pt idx="1070">
                  <c:v>37355</c:v>
                </c:pt>
                <c:pt idx="1071">
                  <c:v>37356</c:v>
                </c:pt>
                <c:pt idx="1072">
                  <c:v>37357</c:v>
                </c:pt>
                <c:pt idx="1073">
                  <c:v>37358</c:v>
                </c:pt>
                <c:pt idx="1074">
                  <c:v>37361</c:v>
                </c:pt>
                <c:pt idx="1075">
                  <c:v>37362</c:v>
                </c:pt>
                <c:pt idx="1076">
                  <c:v>37363</c:v>
                </c:pt>
                <c:pt idx="1077">
                  <c:v>37364</c:v>
                </c:pt>
                <c:pt idx="1078">
                  <c:v>37365</c:v>
                </c:pt>
                <c:pt idx="1079">
                  <c:v>37368</c:v>
                </c:pt>
                <c:pt idx="1080">
                  <c:v>37369</c:v>
                </c:pt>
                <c:pt idx="1081">
                  <c:v>37370</c:v>
                </c:pt>
                <c:pt idx="1082">
                  <c:v>37371</c:v>
                </c:pt>
                <c:pt idx="1083">
                  <c:v>37372</c:v>
                </c:pt>
                <c:pt idx="1084">
                  <c:v>37375</c:v>
                </c:pt>
                <c:pt idx="1085">
                  <c:v>37376</c:v>
                </c:pt>
                <c:pt idx="1086">
                  <c:v>37377</c:v>
                </c:pt>
                <c:pt idx="1087">
                  <c:v>37378</c:v>
                </c:pt>
                <c:pt idx="1088">
                  <c:v>37379</c:v>
                </c:pt>
                <c:pt idx="1089">
                  <c:v>37382</c:v>
                </c:pt>
                <c:pt idx="1090">
                  <c:v>37383</c:v>
                </c:pt>
                <c:pt idx="1091">
                  <c:v>37384</c:v>
                </c:pt>
                <c:pt idx="1092">
                  <c:v>37385</c:v>
                </c:pt>
                <c:pt idx="1093">
                  <c:v>37386</c:v>
                </c:pt>
                <c:pt idx="1094">
                  <c:v>37389</c:v>
                </c:pt>
                <c:pt idx="1095">
                  <c:v>37390</c:v>
                </c:pt>
                <c:pt idx="1096">
                  <c:v>37391</c:v>
                </c:pt>
                <c:pt idx="1097">
                  <c:v>37392</c:v>
                </c:pt>
                <c:pt idx="1098">
                  <c:v>37393</c:v>
                </c:pt>
                <c:pt idx="1099">
                  <c:v>37396</c:v>
                </c:pt>
                <c:pt idx="1100">
                  <c:v>37397</c:v>
                </c:pt>
                <c:pt idx="1101">
                  <c:v>37398</c:v>
                </c:pt>
                <c:pt idx="1102">
                  <c:v>37399</c:v>
                </c:pt>
                <c:pt idx="1103">
                  <c:v>37400</c:v>
                </c:pt>
                <c:pt idx="1104">
                  <c:v>37404</c:v>
                </c:pt>
                <c:pt idx="1105">
                  <c:v>37405</c:v>
                </c:pt>
                <c:pt idx="1106">
                  <c:v>37406</c:v>
                </c:pt>
                <c:pt idx="1107">
                  <c:v>37407</c:v>
                </c:pt>
                <c:pt idx="1108">
                  <c:v>37410</c:v>
                </c:pt>
                <c:pt idx="1109">
                  <c:v>37411</c:v>
                </c:pt>
                <c:pt idx="1110">
                  <c:v>37412</c:v>
                </c:pt>
                <c:pt idx="1111">
                  <c:v>37413</c:v>
                </c:pt>
                <c:pt idx="1112">
                  <c:v>37414</c:v>
                </c:pt>
                <c:pt idx="1113">
                  <c:v>37417</c:v>
                </c:pt>
                <c:pt idx="1114">
                  <c:v>37418</c:v>
                </c:pt>
                <c:pt idx="1115">
                  <c:v>37419</c:v>
                </c:pt>
                <c:pt idx="1116">
                  <c:v>37420</c:v>
                </c:pt>
                <c:pt idx="1117">
                  <c:v>37421</c:v>
                </c:pt>
                <c:pt idx="1118">
                  <c:v>37424</c:v>
                </c:pt>
                <c:pt idx="1119">
                  <c:v>37425</c:v>
                </c:pt>
                <c:pt idx="1120">
                  <c:v>37426</c:v>
                </c:pt>
                <c:pt idx="1121">
                  <c:v>37427</c:v>
                </c:pt>
                <c:pt idx="1122">
                  <c:v>37428</c:v>
                </c:pt>
                <c:pt idx="1123">
                  <c:v>37431</c:v>
                </c:pt>
                <c:pt idx="1124">
                  <c:v>37432</c:v>
                </c:pt>
                <c:pt idx="1125">
                  <c:v>37433</c:v>
                </c:pt>
                <c:pt idx="1126">
                  <c:v>37434</c:v>
                </c:pt>
                <c:pt idx="1127">
                  <c:v>37435</c:v>
                </c:pt>
                <c:pt idx="1128">
                  <c:v>37438</c:v>
                </c:pt>
                <c:pt idx="1129">
                  <c:v>37439</c:v>
                </c:pt>
                <c:pt idx="1130">
                  <c:v>37440</c:v>
                </c:pt>
                <c:pt idx="1131">
                  <c:v>37442</c:v>
                </c:pt>
                <c:pt idx="1132">
                  <c:v>37445</c:v>
                </c:pt>
                <c:pt idx="1133">
                  <c:v>37446</c:v>
                </c:pt>
                <c:pt idx="1134">
                  <c:v>37447</c:v>
                </c:pt>
                <c:pt idx="1135">
                  <c:v>37448</c:v>
                </c:pt>
                <c:pt idx="1136">
                  <c:v>37449</c:v>
                </c:pt>
                <c:pt idx="1137">
                  <c:v>37452</c:v>
                </c:pt>
                <c:pt idx="1138">
                  <c:v>37453</c:v>
                </c:pt>
                <c:pt idx="1139">
                  <c:v>37454</c:v>
                </c:pt>
                <c:pt idx="1140">
                  <c:v>37455</c:v>
                </c:pt>
                <c:pt idx="1141">
                  <c:v>37456</c:v>
                </c:pt>
                <c:pt idx="1142">
                  <c:v>37459</c:v>
                </c:pt>
                <c:pt idx="1143">
                  <c:v>37460</c:v>
                </c:pt>
                <c:pt idx="1144">
                  <c:v>37461</c:v>
                </c:pt>
                <c:pt idx="1145">
                  <c:v>37462</c:v>
                </c:pt>
                <c:pt idx="1146">
                  <c:v>37463</c:v>
                </c:pt>
                <c:pt idx="1147">
                  <c:v>37466</c:v>
                </c:pt>
                <c:pt idx="1148">
                  <c:v>37467</c:v>
                </c:pt>
                <c:pt idx="1149">
                  <c:v>37468</c:v>
                </c:pt>
                <c:pt idx="1150">
                  <c:v>37469</c:v>
                </c:pt>
                <c:pt idx="1151">
                  <c:v>37470</c:v>
                </c:pt>
                <c:pt idx="1152">
                  <c:v>37473</c:v>
                </c:pt>
                <c:pt idx="1153">
                  <c:v>37474</c:v>
                </c:pt>
                <c:pt idx="1154">
                  <c:v>37475</c:v>
                </c:pt>
                <c:pt idx="1155">
                  <c:v>37476</c:v>
                </c:pt>
                <c:pt idx="1156">
                  <c:v>37477</c:v>
                </c:pt>
                <c:pt idx="1157">
                  <c:v>37480</c:v>
                </c:pt>
                <c:pt idx="1158">
                  <c:v>37481</c:v>
                </c:pt>
                <c:pt idx="1159">
                  <c:v>37482</c:v>
                </c:pt>
                <c:pt idx="1160">
                  <c:v>37483</c:v>
                </c:pt>
                <c:pt idx="1161">
                  <c:v>37484</c:v>
                </c:pt>
                <c:pt idx="1162">
                  <c:v>37487</c:v>
                </c:pt>
                <c:pt idx="1163">
                  <c:v>37488</c:v>
                </c:pt>
                <c:pt idx="1164">
                  <c:v>37489</c:v>
                </c:pt>
                <c:pt idx="1165">
                  <c:v>37490</c:v>
                </c:pt>
                <c:pt idx="1166">
                  <c:v>37491</c:v>
                </c:pt>
                <c:pt idx="1167">
                  <c:v>37494</c:v>
                </c:pt>
                <c:pt idx="1168">
                  <c:v>37495</c:v>
                </c:pt>
                <c:pt idx="1169">
                  <c:v>37496</c:v>
                </c:pt>
                <c:pt idx="1170">
                  <c:v>37497</c:v>
                </c:pt>
                <c:pt idx="1171">
                  <c:v>37498</c:v>
                </c:pt>
                <c:pt idx="1172">
                  <c:v>37502</c:v>
                </c:pt>
                <c:pt idx="1173">
                  <c:v>37503</c:v>
                </c:pt>
                <c:pt idx="1174">
                  <c:v>37504</c:v>
                </c:pt>
                <c:pt idx="1175">
                  <c:v>37505</c:v>
                </c:pt>
                <c:pt idx="1176">
                  <c:v>37508</c:v>
                </c:pt>
                <c:pt idx="1177">
                  <c:v>37509</c:v>
                </c:pt>
                <c:pt idx="1178">
                  <c:v>37510</c:v>
                </c:pt>
                <c:pt idx="1179">
                  <c:v>37511</c:v>
                </c:pt>
                <c:pt idx="1180">
                  <c:v>37512</c:v>
                </c:pt>
                <c:pt idx="1181">
                  <c:v>37515</c:v>
                </c:pt>
                <c:pt idx="1182">
                  <c:v>37516</c:v>
                </c:pt>
                <c:pt idx="1183">
                  <c:v>37517</c:v>
                </c:pt>
                <c:pt idx="1184">
                  <c:v>37518</c:v>
                </c:pt>
                <c:pt idx="1185">
                  <c:v>37519</c:v>
                </c:pt>
                <c:pt idx="1186">
                  <c:v>37522</c:v>
                </c:pt>
                <c:pt idx="1187">
                  <c:v>37523</c:v>
                </c:pt>
                <c:pt idx="1188">
                  <c:v>37524</c:v>
                </c:pt>
                <c:pt idx="1189">
                  <c:v>37525</c:v>
                </c:pt>
                <c:pt idx="1190">
                  <c:v>37526</c:v>
                </c:pt>
                <c:pt idx="1191">
                  <c:v>37529</c:v>
                </c:pt>
                <c:pt idx="1192">
                  <c:v>37530</c:v>
                </c:pt>
                <c:pt idx="1193">
                  <c:v>37531</c:v>
                </c:pt>
                <c:pt idx="1194">
                  <c:v>37532</c:v>
                </c:pt>
                <c:pt idx="1195">
                  <c:v>37533</c:v>
                </c:pt>
                <c:pt idx="1196">
                  <c:v>37536</c:v>
                </c:pt>
                <c:pt idx="1197">
                  <c:v>37537</c:v>
                </c:pt>
                <c:pt idx="1198">
                  <c:v>37538</c:v>
                </c:pt>
                <c:pt idx="1199">
                  <c:v>37539</c:v>
                </c:pt>
                <c:pt idx="1200">
                  <c:v>37540</c:v>
                </c:pt>
                <c:pt idx="1201">
                  <c:v>37543</c:v>
                </c:pt>
                <c:pt idx="1202">
                  <c:v>37544</c:v>
                </c:pt>
                <c:pt idx="1203">
                  <c:v>37545</c:v>
                </c:pt>
                <c:pt idx="1204">
                  <c:v>37546</c:v>
                </c:pt>
                <c:pt idx="1205">
                  <c:v>37547</c:v>
                </c:pt>
                <c:pt idx="1206">
                  <c:v>37550</c:v>
                </c:pt>
                <c:pt idx="1207">
                  <c:v>37551</c:v>
                </c:pt>
                <c:pt idx="1208">
                  <c:v>37552</c:v>
                </c:pt>
                <c:pt idx="1209">
                  <c:v>37553</c:v>
                </c:pt>
                <c:pt idx="1210">
                  <c:v>37554</c:v>
                </c:pt>
                <c:pt idx="1211">
                  <c:v>37557</c:v>
                </c:pt>
                <c:pt idx="1212">
                  <c:v>37558</c:v>
                </c:pt>
                <c:pt idx="1213">
                  <c:v>37559</c:v>
                </c:pt>
                <c:pt idx="1214">
                  <c:v>37560</c:v>
                </c:pt>
                <c:pt idx="1215">
                  <c:v>37561</c:v>
                </c:pt>
                <c:pt idx="1216">
                  <c:v>37564</c:v>
                </c:pt>
                <c:pt idx="1217">
                  <c:v>37565</c:v>
                </c:pt>
                <c:pt idx="1218">
                  <c:v>37566</c:v>
                </c:pt>
                <c:pt idx="1219">
                  <c:v>37567</c:v>
                </c:pt>
                <c:pt idx="1220">
                  <c:v>37568</c:v>
                </c:pt>
                <c:pt idx="1221">
                  <c:v>37571</c:v>
                </c:pt>
                <c:pt idx="1222">
                  <c:v>37572</c:v>
                </c:pt>
                <c:pt idx="1223">
                  <c:v>37573</c:v>
                </c:pt>
                <c:pt idx="1224">
                  <c:v>37574</c:v>
                </c:pt>
                <c:pt idx="1225">
                  <c:v>37575</c:v>
                </c:pt>
                <c:pt idx="1226">
                  <c:v>37578</c:v>
                </c:pt>
                <c:pt idx="1227">
                  <c:v>37579</c:v>
                </c:pt>
                <c:pt idx="1228">
                  <c:v>37580</c:v>
                </c:pt>
                <c:pt idx="1229">
                  <c:v>37581</c:v>
                </c:pt>
                <c:pt idx="1230">
                  <c:v>37582</c:v>
                </c:pt>
                <c:pt idx="1231">
                  <c:v>37585</c:v>
                </c:pt>
                <c:pt idx="1232">
                  <c:v>37586</c:v>
                </c:pt>
                <c:pt idx="1233">
                  <c:v>37587</c:v>
                </c:pt>
                <c:pt idx="1234">
                  <c:v>37589</c:v>
                </c:pt>
                <c:pt idx="1235">
                  <c:v>37592</c:v>
                </c:pt>
                <c:pt idx="1236">
                  <c:v>37593</c:v>
                </c:pt>
                <c:pt idx="1237">
                  <c:v>37594</c:v>
                </c:pt>
                <c:pt idx="1238">
                  <c:v>37595</c:v>
                </c:pt>
                <c:pt idx="1239">
                  <c:v>37596</c:v>
                </c:pt>
                <c:pt idx="1240">
                  <c:v>37599</c:v>
                </c:pt>
                <c:pt idx="1241">
                  <c:v>37600</c:v>
                </c:pt>
                <c:pt idx="1242">
                  <c:v>37601</c:v>
                </c:pt>
                <c:pt idx="1243">
                  <c:v>37602</c:v>
                </c:pt>
                <c:pt idx="1244">
                  <c:v>37603</c:v>
                </c:pt>
                <c:pt idx="1245">
                  <c:v>37606</c:v>
                </c:pt>
                <c:pt idx="1246">
                  <c:v>37607</c:v>
                </c:pt>
                <c:pt idx="1247">
                  <c:v>37608</c:v>
                </c:pt>
                <c:pt idx="1248">
                  <c:v>37609</c:v>
                </c:pt>
                <c:pt idx="1249">
                  <c:v>37610</c:v>
                </c:pt>
                <c:pt idx="1250">
                  <c:v>37613</c:v>
                </c:pt>
                <c:pt idx="1251">
                  <c:v>37614</c:v>
                </c:pt>
                <c:pt idx="1252">
                  <c:v>37616</c:v>
                </c:pt>
                <c:pt idx="1253">
                  <c:v>37617</c:v>
                </c:pt>
                <c:pt idx="1254">
                  <c:v>37620</c:v>
                </c:pt>
                <c:pt idx="1255">
                  <c:v>37621</c:v>
                </c:pt>
                <c:pt idx="1256">
                  <c:v>37623</c:v>
                </c:pt>
                <c:pt idx="1257">
                  <c:v>37624</c:v>
                </c:pt>
                <c:pt idx="1258">
                  <c:v>37627</c:v>
                </c:pt>
                <c:pt idx="1259">
                  <c:v>37628</c:v>
                </c:pt>
                <c:pt idx="1260">
                  <c:v>37629</c:v>
                </c:pt>
                <c:pt idx="1261">
                  <c:v>37630</c:v>
                </c:pt>
                <c:pt idx="1262">
                  <c:v>37631</c:v>
                </c:pt>
                <c:pt idx="1263">
                  <c:v>37634</c:v>
                </c:pt>
                <c:pt idx="1264">
                  <c:v>37635</c:v>
                </c:pt>
                <c:pt idx="1265">
                  <c:v>37636</c:v>
                </c:pt>
                <c:pt idx="1266">
                  <c:v>37637</c:v>
                </c:pt>
                <c:pt idx="1267">
                  <c:v>37638</c:v>
                </c:pt>
                <c:pt idx="1268">
                  <c:v>37642</c:v>
                </c:pt>
                <c:pt idx="1269">
                  <c:v>37643</c:v>
                </c:pt>
                <c:pt idx="1270">
                  <c:v>37644</c:v>
                </c:pt>
                <c:pt idx="1271">
                  <c:v>37645</c:v>
                </c:pt>
                <c:pt idx="1272">
                  <c:v>37648</c:v>
                </c:pt>
                <c:pt idx="1273">
                  <c:v>37649</c:v>
                </c:pt>
                <c:pt idx="1274">
                  <c:v>37650</c:v>
                </c:pt>
                <c:pt idx="1275">
                  <c:v>37651</c:v>
                </c:pt>
                <c:pt idx="1276">
                  <c:v>37652</c:v>
                </c:pt>
                <c:pt idx="1277">
                  <c:v>37655</c:v>
                </c:pt>
                <c:pt idx="1278">
                  <c:v>37656</c:v>
                </c:pt>
                <c:pt idx="1279">
                  <c:v>37657</c:v>
                </c:pt>
                <c:pt idx="1280">
                  <c:v>37658</c:v>
                </c:pt>
                <c:pt idx="1281">
                  <c:v>37659</c:v>
                </c:pt>
                <c:pt idx="1282">
                  <c:v>37662</c:v>
                </c:pt>
                <c:pt idx="1283">
                  <c:v>37663</c:v>
                </c:pt>
                <c:pt idx="1284">
                  <c:v>37664</c:v>
                </c:pt>
                <c:pt idx="1285">
                  <c:v>37665</c:v>
                </c:pt>
                <c:pt idx="1286">
                  <c:v>37666</c:v>
                </c:pt>
                <c:pt idx="1287">
                  <c:v>37670</c:v>
                </c:pt>
                <c:pt idx="1288">
                  <c:v>37671</c:v>
                </c:pt>
                <c:pt idx="1289">
                  <c:v>37672</c:v>
                </c:pt>
                <c:pt idx="1290">
                  <c:v>37673</c:v>
                </c:pt>
                <c:pt idx="1291">
                  <c:v>37676</c:v>
                </c:pt>
                <c:pt idx="1292">
                  <c:v>37677</c:v>
                </c:pt>
                <c:pt idx="1293">
                  <c:v>37678</c:v>
                </c:pt>
                <c:pt idx="1294">
                  <c:v>37679</c:v>
                </c:pt>
                <c:pt idx="1295">
                  <c:v>37680</c:v>
                </c:pt>
                <c:pt idx="1296">
                  <c:v>37683</c:v>
                </c:pt>
                <c:pt idx="1297">
                  <c:v>37684</c:v>
                </c:pt>
                <c:pt idx="1298">
                  <c:v>37685</c:v>
                </c:pt>
                <c:pt idx="1299">
                  <c:v>37686</c:v>
                </c:pt>
                <c:pt idx="1300">
                  <c:v>37687</c:v>
                </c:pt>
                <c:pt idx="1301">
                  <c:v>37690</c:v>
                </c:pt>
                <c:pt idx="1302">
                  <c:v>37691</c:v>
                </c:pt>
                <c:pt idx="1303">
                  <c:v>37692</c:v>
                </c:pt>
                <c:pt idx="1304">
                  <c:v>37693</c:v>
                </c:pt>
                <c:pt idx="1305">
                  <c:v>37694</c:v>
                </c:pt>
                <c:pt idx="1306">
                  <c:v>37697</c:v>
                </c:pt>
                <c:pt idx="1307">
                  <c:v>37698</c:v>
                </c:pt>
                <c:pt idx="1308">
                  <c:v>37699</c:v>
                </c:pt>
                <c:pt idx="1309">
                  <c:v>37700</c:v>
                </c:pt>
                <c:pt idx="1310">
                  <c:v>37701</c:v>
                </c:pt>
                <c:pt idx="1311">
                  <c:v>37704</c:v>
                </c:pt>
                <c:pt idx="1312">
                  <c:v>37705</c:v>
                </c:pt>
                <c:pt idx="1313">
                  <c:v>37706</c:v>
                </c:pt>
                <c:pt idx="1314">
                  <c:v>37707</c:v>
                </c:pt>
                <c:pt idx="1315">
                  <c:v>37708</c:v>
                </c:pt>
                <c:pt idx="1316">
                  <c:v>37711</c:v>
                </c:pt>
                <c:pt idx="1317">
                  <c:v>37712</c:v>
                </c:pt>
                <c:pt idx="1318">
                  <c:v>37713</c:v>
                </c:pt>
                <c:pt idx="1319">
                  <c:v>37714</c:v>
                </c:pt>
                <c:pt idx="1320">
                  <c:v>37715</c:v>
                </c:pt>
                <c:pt idx="1321">
                  <c:v>37718</c:v>
                </c:pt>
                <c:pt idx="1322">
                  <c:v>37719</c:v>
                </c:pt>
                <c:pt idx="1323">
                  <c:v>37720</c:v>
                </c:pt>
                <c:pt idx="1324">
                  <c:v>37721</c:v>
                </c:pt>
                <c:pt idx="1325">
                  <c:v>37722</c:v>
                </c:pt>
                <c:pt idx="1326">
                  <c:v>37725</c:v>
                </c:pt>
                <c:pt idx="1327">
                  <c:v>37726</c:v>
                </c:pt>
                <c:pt idx="1328">
                  <c:v>37727</c:v>
                </c:pt>
                <c:pt idx="1329">
                  <c:v>37728</c:v>
                </c:pt>
                <c:pt idx="1330">
                  <c:v>37732</c:v>
                </c:pt>
                <c:pt idx="1331">
                  <c:v>37733</c:v>
                </c:pt>
                <c:pt idx="1332">
                  <c:v>37734</c:v>
                </c:pt>
                <c:pt idx="1333">
                  <c:v>37735</c:v>
                </c:pt>
                <c:pt idx="1334">
                  <c:v>37736</c:v>
                </c:pt>
                <c:pt idx="1335">
                  <c:v>37739</c:v>
                </c:pt>
                <c:pt idx="1336">
                  <c:v>37740</c:v>
                </c:pt>
                <c:pt idx="1337">
                  <c:v>37741</c:v>
                </c:pt>
                <c:pt idx="1338">
                  <c:v>37742</c:v>
                </c:pt>
                <c:pt idx="1339">
                  <c:v>37743</c:v>
                </c:pt>
                <c:pt idx="1340">
                  <c:v>37746</c:v>
                </c:pt>
                <c:pt idx="1341">
                  <c:v>37747</c:v>
                </c:pt>
                <c:pt idx="1342">
                  <c:v>37748</c:v>
                </c:pt>
                <c:pt idx="1343">
                  <c:v>37749</c:v>
                </c:pt>
                <c:pt idx="1344">
                  <c:v>37750</c:v>
                </c:pt>
                <c:pt idx="1345">
                  <c:v>37753</c:v>
                </c:pt>
                <c:pt idx="1346">
                  <c:v>37754</c:v>
                </c:pt>
                <c:pt idx="1347">
                  <c:v>37755</c:v>
                </c:pt>
                <c:pt idx="1348">
                  <c:v>37756</c:v>
                </c:pt>
                <c:pt idx="1349">
                  <c:v>37757</c:v>
                </c:pt>
                <c:pt idx="1350">
                  <c:v>37760</c:v>
                </c:pt>
                <c:pt idx="1351">
                  <c:v>37761</c:v>
                </c:pt>
                <c:pt idx="1352">
                  <c:v>37762</c:v>
                </c:pt>
                <c:pt idx="1353">
                  <c:v>37763</c:v>
                </c:pt>
                <c:pt idx="1354">
                  <c:v>37764</c:v>
                </c:pt>
                <c:pt idx="1355">
                  <c:v>37768</c:v>
                </c:pt>
                <c:pt idx="1356">
                  <c:v>37769</c:v>
                </c:pt>
                <c:pt idx="1357">
                  <c:v>37770</c:v>
                </c:pt>
                <c:pt idx="1358">
                  <c:v>37771</c:v>
                </c:pt>
                <c:pt idx="1359">
                  <c:v>37774</c:v>
                </c:pt>
                <c:pt idx="1360">
                  <c:v>37775</c:v>
                </c:pt>
                <c:pt idx="1361">
                  <c:v>37776</c:v>
                </c:pt>
                <c:pt idx="1362">
                  <c:v>37777</c:v>
                </c:pt>
                <c:pt idx="1363">
                  <c:v>37778</c:v>
                </c:pt>
                <c:pt idx="1364">
                  <c:v>37781</c:v>
                </c:pt>
                <c:pt idx="1365">
                  <c:v>37782</c:v>
                </c:pt>
                <c:pt idx="1366">
                  <c:v>37783</c:v>
                </c:pt>
                <c:pt idx="1367">
                  <c:v>37784</c:v>
                </c:pt>
                <c:pt idx="1368">
                  <c:v>37785</c:v>
                </c:pt>
                <c:pt idx="1369">
                  <c:v>37788</c:v>
                </c:pt>
                <c:pt idx="1370">
                  <c:v>37789</c:v>
                </c:pt>
                <c:pt idx="1371">
                  <c:v>37790</c:v>
                </c:pt>
                <c:pt idx="1372">
                  <c:v>37791</c:v>
                </c:pt>
                <c:pt idx="1373">
                  <c:v>37792</c:v>
                </c:pt>
                <c:pt idx="1374">
                  <c:v>37795</c:v>
                </c:pt>
                <c:pt idx="1375">
                  <c:v>37796</c:v>
                </c:pt>
                <c:pt idx="1376">
                  <c:v>37797</c:v>
                </c:pt>
                <c:pt idx="1377">
                  <c:v>37798</c:v>
                </c:pt>
                <c:pt idx="1378">
                  <c:v>37799</c:v>
                </c:pt>
                <c:pt idx="1379">
                  <c:v>37802</c:v>
                </c:pt>
                <c:pt idx="1380">
                  <c:v>37803</c:v>
                </c:pt>
                <c:pt idx="1381">
                  <c:v>37804</c:v>
                </c:pt>
                <c:pt idx="1382">
                  <c:v>37805</c:v>
                </c:pt>
                <c:pt idx="1383">
                  <c:v>37809</c:v>
                </c:pt>
                <c:pt idx="1384">
                  <c:v>37810</c:v>
                </c:pt>
                <c:pt idx="1385">
                  <c:v>37811</c:v>
                </c:pt>
                <c:pt idx="1386">
                  <c:v>37812</c:v>
                </c:pt>
                <c:pt idx="1387">
                  <c:v>37813</c:v>
                </c:pt>
                <c:pt idx="1388">
                  <c:v>37816</c:v>
                </c:pt>
                <c:pt idx="1389">
                  <c:v>37817</c:v>
                </c:pt>
                <c:pt idx="1390">
                  <c:v>37818</c:v>
                </c:pt>
                <c:pt idx="1391">
                  <c:v>37819</c:v>
                </c:pt>
                <c:pt idx="1392">
                  <c:v>37820</c:v>
                </c:pt>
                <c:pt idx="1393">
                  <c:v>37823</c:v>
                </c:pt>
                <c:pt idx="1394">
                  <c:v>37824</c:v>
                </c:pt>
                <c:pt idx="1395">
                  <c:v>37825</c:v>
                </c:pt>
                <c:pt idx="1396">
                  <c:v>37826</c:v>
                </c:pt>
                <c:pt idx="1397">
                  <c:v>37827</c:v>
                </c:pt>
                <c:pt idx="1398">
                  <c:v>37830</c:v>
                </c:pt>
                <c:pt idx="1399">
                  <c:v>37831</c:v>
                </c:pt>
                <c:pt idx="1400">
                  <c:v>37832</c:v>
                </c:pt>
                <c:pt idx="1401">
                  <c:v>37833</c:v>
                </c:pt>
                <c:pt idx="1402">
                  <c:v>37834</c:v>
                </c:pt>
                <c:pt idx="1403">
                  <c:v>37837</c:v>
                </c:pt>
                <c:pt idx="1404">
                  <c:v>37838</c:v>
                </c:pt>
                <c:pt idx="1405">
                  <c:v>37839</c:v>
                </c:pt>
                <c:pt idx="1406">
                  <c:v>37840</c:v>
                </c:pt>
                <c:pt idx="1407">
                  <c:v>37841</c:v>
                </c:pt>
                <c:pt idx="1408">
                  <c:v>37844</c:v>
                </c:pt>
                <c:pt idx="1409">
                  <c:v>37845</c:v>
                </c:pt>
                <c:pt idx="1410">
                  <c:v>37846</c:v>
                </c:pt>
                <c:pt idx="1411">
                  <c:v>37847</c:v>
                </c:pt>
                <c:pt idx="1412">
                  <c:v>37848</c:v>
                </c:pt>
                <c:pt idx="1413">
                  <c:v>37851</c:v>
                </c:pt>
                <c:pt idx="1414">
                  <c:v>37852</c:v>
                </c:pt>
                <c:pt idx="1415">
                  <c:v>37853</c:v>
                </c:pt>
                <c:pt idx="1416">
                  <c:v>37854</c:v>
                </c:pt>
                <c:pt idx="1417">
                  <c:v>37855</c:v>
                </c:pt>
                <c:pt idx="1418">
                  <c:v>37858</c:v>
                </c:pt>
                <c:pt idx="1419">
                  <c:v>37859</c:v>
                </c:pt>
                <c:pt idx="1420">
                  <c:v>37860</c:v>
                </c:pt>
                <c:pt idx="1421">
                  <c:v>37861</c:v>
                </c:pt>
                <c:pt idx="1422">
                  <c:v>37862</c:v>
                </c:pt>
                <c:pt idx="1423">
                  <c:v>37866</c:v>
                </c:pt>
                <c:pt idx="1424">
                  <c:v>37867</c:v>
                </c:pt>
                <c:pt idx="1425">
                  <c:v>37868</c:v>
                </c:pt>
                <c:pt idx="1426">
                  <c:v>37869</c:v>
                </c:pt>
                <c:pt idx="1427">
                  <c:v>37872</c:v>
                </c:pt>
                <c:pt idx="1428">
                  <c:v>37873</c:v>
                </c:pt>
                <c:pt idx="1429">
                  <c:v>37874</c:v>
                </c:pt>
                <c:pt idx="1430">
                  <c:v>37875</c:v>
                </c:pt>
                <c:pt idx="1431">
                  <c:v>37876</c:v>
                </c:pt>
                <c:pt idx="1432">
                  <c:v>37879</c:v>
                </c:pt>
                <c:pt idx="1433">
                  <c:v>37880</c:v>
                </c:pt>
                <c:pt idx="1434">
                  <c:v>37881</c:v>
                </c:pt>
                <c:pt idx="1435">
                  <c:v>37882</c:v>
                </c:pt>
                <c:pt idx="1436">
                  <c:v>37883</c:v>
                </c:pt>
                <c:pt idx="1437">
                  <c:v>37886</c:v>
                </c:pt>
                <c:pt idx="1438">
                  <c:v>37887</c:v>
                </c:pt>
                <c:pt idx="1439">
                  <c:v>37888</c:v>
                </c:pt>
                <c:pt idx="1440">
                  <c:v>37889</c:v>
                </c:pt>
                <c:pt idx="1441">
                  <c:v>37890</c:v>
                </c:pt>
                <c:pt idx="1442">
                  <c:v>37893</c:v>
                </c:pt>
                <c:pt idx="1443">
                  <c:v>37894</c:v>
                </c:pt>
                <c:pt idx="1444">
                  <c:v>37895</c:v>
                </c:pt>
                <c:pt idx="1445">
                  <c:v>37896</c:v>
                </c:pt>
                <c:pt idx="1446">
                  <c:v>37897</c:v>
                </c:pt>
                <c:pt idx="1447">
                  <c:v>37900</c:v>
                </c:pt>
                <c:pt idx="1448">
                  <c:v>37901</c:v>
                </c:pt>
                <c:pt idx="1449">
                  <c:v>37902</c:v>
                </c:pt>
                <c:pt idx="1450">
                  <c:v>37903</c:v>
                </c:pt>
                <c:pt idx="1451">
                  <c:v>37904</c:v>
                </c:pt>
                <c:pt idx="1452">
                  <c:v>37907</c:v>
                </c:pt>
                <c:pt idx="1453">
                  <c:v>37908</c:v>
                </c:pt>
                <c:pt idx="1454">
                  <c:v>37909</c:v>
                </c:pt>
                <c:pt idx="1455">
                  <c:v>37910</c:v>
                </c:pt>
                <c:pt idx="1456">
                  <c:v>37911</c:v>
                </c:pt>
                <c:pt idx="1457">
                  <c:v>37914</c:v>
                </c:pt>
                <c:pt idx="1458">
                  <c:v>37915</c:v>
                </c:pt>
                <c:pt idx="1459">
                  <c:v>37916</c:v>
                </c:pt>
                <c:pt idx="1460">
                  <c:v>37917</c:v>
                </c:pt>
                <c:pt idx="1461">
                  <c:v>37918</c:v>
                </c:pt>
                <c:pt idx="1462">
                  <c:v>37921</c:v>
                </c:pt>
                <c:pt idx="1463">
                  <c:v>37922</c:v>
                </c:pt>
                <c:pt idx="1464">
                  <c:v>37923</c:v>
                </c:pt>
                <c:pt idx="1465">
                  <c:v>37924</c:v>
                </c:pt>
                <c:pt idx="1466">
                  <c:v>37925</c:v>
                </c:pt>
                <c:pt idx="1467">
                  <c:v>37928</c:v>
                </c:pt>
                <c:pt idx="1468">
                  <c:v>37929</c:v>
                </c:pt>
                <c:pt idx="1469">
                  <c:v>37930</c:v>
                </c:pt>
                <c:pt idx="1470">
                  <c:v>37931</c:v>
                </c:pt>
                <c:pt idx="1471">
                  <c:v>37932</c:v>
                </c:pt>
                <c:pt idx="1472">
                  <c:v>37935</c:v>
                </c:pt>
                <c:pt idx="1473">
                  <c:v>37936</c:v>
                </c:pt>
                <c:pt idx="1474">
                  <c:v>37937</c:v>
                </c:pt>
                <c:pt idx="1475">
                  <c:v>37938</c:v>
                </c:pt>
                <c:pt idx="1476">
                  <c:v>37939</c:v>
                </c:pt>
                <c:pt idx="1477">
                  <c:v>37942</c:v>
                </c:pt>
                <c:pt idx="1478">
                  <c:v>37943</c:v>
                </c:pt>
                <c:pt idx="1479">
                  <c:v>37944</c:v>
                </c:pt>
                <c:pt idx="1480">
                  <c:v>37945</c:v>
                </c:pt>
                <c:pt idx="1481">
                  <c:v>37946</c:v>
                </c:pt>
                <c:pt idx="1482">
                  <c:v>37949</c:v>
                </c:pt>
                <c:pt idx="1483">
                  <c:v>37950</c:v>
                </c:pt>
                <c:pt idx="1484">
                  <c:v>37951</c:v>
                </c:pt>
                <c:pt idx="1485">
                  <c:v>37953</c:v>
                </c:pt>
                <c:pt idx="1486">
                  <c:v>37956</c:v>
                </c:pt>
                <c:pt idx="1487">
                  <c:v>37957</c:v>
                </c:pt>
                <c:pt idx="1488">
                  <c:v>37958</c:v>
                </c:pt>
                <c:pt idx="1489">
                  <c:v>37959</c:v>
                </c:pt>
                <c:pt idx="1490">
                  <c:v>37960</c:v>
                </c:pt>
                <c:pt idx="1491">
                  <c:v>37963</c:v>
                </c:pt>
                <c:pt idx="1492">
                  <c:v>37964</c:v>
                </c:pt>
                <c:pt idx="1493">
                  <c:v>37965</c:v>
                </c:pt>
                <c:pt idx="1494">
                  <c:v>37966</c:v>
                </c:pt>
                <c:pt idx="1495">
                  <c:v>37967</c:v>
                </c:pt>
                <c:pt idx="1496">
                  <c:v>37970</c:v>
                </c:pt>
                <c:pt idx="1497">
                  <c:v>37971</c:v>
                </c:pt>
                <c:pt idx="1498">
                  <c:v>37972</c:v>
                </c:pt>
                <c:pt idx="1499">
                  <c:v>37973</c:v>
                </c:pt>
                <c:pt idx="1500">
                  <c:v>37974</c:v>
                </c:pt>
                <c:pt idx="1501">
                  <c:v>37977</c:v>
                </c:pt>
                <c:pt idx="1502">
                  <c:v>37978</c:v>
                </c:pt>
                <c:pt idx="1503">
                  <c:v>37979</c:v>
                </c:pt>
                <c:pt idx="1504">
                  <c:v>37981</c:v>
                </c:pt>
                <c:pt idx="1505">
                  <c:v>37984</c:v>
                </c:pt>
                <c:pt idx="1506">
                  <c:v>37985</c:v>
                </c:pt>
                <c:pt idx="1507">
                  <c:v>37986</c:v>
                </c:pt>
                <c:pt idx="1508">
                  <c:v>37988</c:v>
                </c:pt>
                <c:pt idx="1509">
                  <c:v>37991</c:v>
                </c:pt>
                <c:pt idx="1510">
                  <c:v>37992</c:v>
                </c:pt>
                <c:pt idx="1511">
                  <c:v>37993</c:v>
                </c:pt>
                <c:pt idx="1512">
                  <c:v>37994</c:v>
                </c:pt>
                <c:pt idx="1513">
                  <c:v>37995</c:v>
                </c:pt>
                <c:pt idx="1514">
                  <c:v>37998</c:v>
                </c:pt>
                <c:pt idx="1515">
                  <c:v>37999</c:v>
                </c:pt>
                <c:pt idx="1516">
                  <c:v>38000</c:v>
                </c:pt>
                <c:pt idx="1517">
                  <c:v>38001</c:v>
                </c:pt>
                <c:pt idx="1518">
                  <c:v>38002</c:v>
                </c:pt>
                <c:pt idx="1519">
                  <c:v>38006</c:v>
                </c:pt>
                <c:pt idx="1520">
                  <c:v>38007</c:v>
                </c:pt>
                <c:pt idx="1521">
                  <c:v>38008</c:v>
                </c:pt>
                <c:pt idx="1522">
                  <c:v>38009</c:v>
                </c:pt>
                <c:pt idx="1523">
                  <c:v>38012</c:v>
                </c:pt>
                <c:pt idx="1524">
                  <c:v>38013</c:v>
                </c:pt>
                <c:pt idx="1525">
                  <c:v>38014</c:v>
                </c:pt>
                <c:pt idx="1526">
                  <c:v>38015</c:v>
                </c:pt>
                <c:pt idx="1527">
                  <c:v>38016</c:v>
                </c:pt>
                <c:pt idx="1528">
                  <c:v>38019</c:v>
                </c:pt>
                <c:pt idx="1529">
                  <c:v>38020</c:v>
                </c:pt>
                <c:pt idx="1530">
                  <c:v>38021</c:v>
                </c:pt>
                <c:pt idx="1531">
                  <c:v>38022</c:v>
                </c:pt>
                <c:pt idx="1532">
                  <c:v>38023</c:v>
                </c:pt>
                <c:pt idx="1533">
                  <c:v>38026</c:v>
                </c:pt>
                <c:pt idx="1534">
                  <c:v>38027</c:v>
                </c:pt>
                <c:pt idx="1535">
                  <c:v>38028</c:v>
                </c:pt>
                <c:pt idx="1536">
                  <c:v>38029</c:v>
                </c:pt>
                <c:pt idx="1537">
                  <c:v>38030</c:v>
                </c:pt>
                <c:pt idx="1538">
                  <c:v>38034</c:v>
                </c:pt>
                <c:pt idx="1539">
                  <c:v>38035</c:v>
                </c:pt>
                <c:pt idx="1540">
                  <c:v>38036</c:v>
                </c:pt>
                <c:pt idx="1541">
                  <c:v>38037</c:v>
                </c:pt>
                <c:pt idx="1542">
                  <c:v>38040</c:v>
                </c:pt>
                <c:pt idx="1543">
                  <c:v>38041</c:v>
                </c:pt>
                <c:pt idx="1544">
                  <c:v>38042</c:v>
                </c:pt>
                <c:pt idx="1545">
                  <c:v>38043</c:v>
                </c:pt>
                <c:pt idx="1546">
                  <c:v>38044</c:v>
                </c:pt>
                <c:pt idx="1547">
                  <c:v>38047</c:v>
                </c:pt>
                <c:pt idx="1548">
                  <c:v>38048</c:v>
                </c:pt>
                <c:pt idx="1549">
                  <c:v>38049</c:v>
                </c:pt>
                <c:pt idx="1550">
                  <c:v>38050</c:v>
                </c:pt>
                <c:pt idx="1551">
                  <c:v>38051</c:v>
                </c:pt>
                <c:pt idx="1552">
                  <c:v>38054</c:v>
                </c:pt>
                <c:pt idx="1553">
                  <c:v>38055</c:v>
                </c:pt>
                <c:pt idx="1554">
                  <c:v>38056</c:v>
                </c:pt>
                <c:pt idx="1555">
                  <c:v>38057</c:v>
                </c:pt>
                <c:pt idx="1556">
                  <c:v>38058</c:v>
                </c:pt>
                <c:pt idx="1557">
                  <c:v>38061</c:v>
                </c:pt>
                <c:pt idx="1558">
                  <c:v>38062</c:v>
                </c:pt>
                <c:pt idx="1559">
                  <c:v>38063</c:v>
                </c:pt>
                <c:pt idx="1560">
                  <c:v>38064</c:v>
                </c:pt>
                <c:pt idx="1561">
                  <c:v>38065</c:v>
                </c:pt>
                <c:pt idx="1562">
                  <c:v>38068</c:v>
                </c:pt>
                <c:pt idx="1563">
                  <c:v>38069</c:v>
                </c:pt>
                <c:pt idx="1564">
                  <c:v>38070</c:v>
                </c:pt>
                <c:pt idx="1565">
                  <c:v>38071</c:v>
                </c:pt>
                <c:pt idx="1566">
                  <c:v>38072</c:v>
                </c:pt>
                <c:pt idx="1567">
                  <c:v>38075</c:v>
                </c:pt>
                <c:pt idx="1568">
                  <c:v>38076</c:v>
                </c:pt>
                <c:pt idx="1569">
                  <c:v>38077</c:v>
                </c:pt>
                <c:pt idx="1570">
                  <c:v>38078</c:v>
                </c:pt>
                <c:pt idx="1571">
                  <c:v>38079</c:v>
                </c:pt>
                <c:pt idx="1572">
                  <c:v>38082</c:v>
                </c:pt>
                <c:pt idx="1573">
                  <c:v>38083</c:v>
                </c:pt>
                <c:pt idx="1574">
                  <c:v>38084</c:v>
                </c:pt>
                <c:pt idx="1575">
                  <c:v>38085</c:v>
                </c:pt>
                <c:pt idx="1576">
                  <c:v>38089</c:v>
                </c:pt>
                <c:pt idx="1577">
                  <c:v>38090</c:v>
                </c:pt>
                <c:pt idx="1578">
                  <c:v>38091</c:v>
                </c:pt>
                <c:pt idx="1579">
                  <c:v>38092</c:v>
                </c:pt>
                <c:pt idx="1580">
                  <c:v>38093</c:v>
                </c:pt>
                <c:pt idx="1581">
                  <c:v>38096</c:v>
                </c:pt>
                <c:pt idx="1582">
                  <c:v>38097</c:v>
                </c:pt>
                <c:pt idx="1583">
                  <c:v>38098</c:v>
                </c:pt>
                <c:pt idx="1584">
                  <c:v>38099</c:v>
                </c:pt>
                <c:pt idx="1585">
                  <c:v>38100</c:v>
                </c:pt>
                <c:pt idx="1586">
                  <c:v>38103</c:v>
                </c:pt>
                <c:pt idx="1587">
                  <c:v>38104</c:v>
                </c:pt>
                <c:pt idx="1588">
                  <c:v>38105</c:v>
                </c:pt>
                <c:pt idx="1589">
                  <c:v>38106</c:v>
                </c:pt>
                <c:pt idx="1590">
                  <c:v>38107</c:v>
                </c:pt>
                <c:pt idx="1591">
                  <c:v>38110</c:v>
                </c:pt>
                <c:pt idx="1592">
                  <c:v>38111</c:v>
                </c:pt>
                <c:pt idx="1593">
                  <c:v>38112</c:v>
                </c:pt>
                <c:pt idx="1594">
                  <c:v>38113</c:v>
                </c:pt>
                <c:pt idx="1595">
                  <c:v>38114</c:v>
                </c:pt>
                <c:pt idx="1596">
                  <c:v>38117</c:v>
                </c:pt>
                <c:pt idx="1597">
                  <c:v>38118</c:v>
                </c:pt>
                <c:pt idx="1598">
                  <c:v>38119</c:v>
                </c:pt>
                <c:pt idx="1599">
                  <c:v>38120</c:v>
                </c:pt>
                <c:pt idx="1600">
                  <c:v>38121</c:v>
                </c:pt>
                <c:pt idx="1601">
                  <c:v>38124</c:v>
                </c:pt>
                <c:pt idx="1602">
                  <c:v>38125</c:v>
                </c:pt>
                <c:pt idx="1603">
                  <c:v>38126</c:v>
                </c:pt>
                <c:pt idx="1604">
                  <c:v>38127</c:v>
                </c:pt>
                <c:pt idx="1605">
                  <c:v>38128</c:v>
                </c:pt>
                <c:pt idx="1606">
                  <c:v>38131</c:v>
                </c:pt>
                <c:pt idx="1607">
                  <c:v>38132</c:v>
                </c:pt>
                <c:pt idx="1608">
                  <c:v>38133</c:v>
                </c:pt>
                <c:pt idx="1609">
                  <c:v>38134</c:v>
                </c:pt>
                <c:pt idx="1610">
                  <c:v>38135</c:v>
                </c:pt>
                <c:pt idx="1611">
                  <c:v>38139</c:v>
                </c:pt>
                <c:pt idx="1612">
                  <c:v>38140</c:v>
                </c:pt>
                <c:pt idx="1613">
                  <c:v>38141</c:v>
                </c:pt>
                <c:pt idx="1614">
                  <c:v>38142</c:v>
                </c:pt>
                <c:pt idx="1615">
                  <c:v>38145</c:v>
                </c:pt>
                <c:pt idx="1616">
                  <c:v>38146</c:v>
                </c:pt>
                <c:pt idx="1617">
                  <c:v>38147</c:v>
                </c:pt>
                <c:pt idx="1618">
                  <c:v>38148</c:v>
                </c:pt>
                <c:pt idx="1619">
                  <c:v>38152</c:v>
                </c:pt>
                <c:pt idx="1620">
                  <c:v>38153</c:v>
                </c:pt>
                <c:pt idx="1621">
                  <c:v>38154</c:v>
                </c:pt>
                <c:pt idx="1622">
                  <c:v>38155</c:v>
                </c:pt>
                <c:pt idx="1623">
                  <c:v>38156</c:v>
                </c:pt>
                <c:pt idx="1624">
                  <c:v>38159</c:v>
                </c:pt>
                <c:pt idx="1625">
                  <c:v>38160</c:v>
                </c:pt>
                <c:pt idx="1626">
                  <c:v>38161</c:v>
                </c:pt>
                <c:pt idx="1627">
                  <c:v>38162</c:v>
                </c:pt>
                <c:pt idx="1628">
                  <c:v>38163</c:v>
                </c:pt>
                <c:pt idx="1629">
                  <c:v>38166</c:v>
                </c:pt>
                <c:pt idx="1630">
                  <c:v>38167</c:v>
                </c:pt>
                <c:pt idx="1631">
                  <c:v>38168</c:v>
                </c:pt>
                <c:pt idx="1632">
                  <c:v>38169</c:v>
                </c:pt>
                <c:pt idx="1633">
                  <c:v>38170</c:v>
                </c:pt>
                <c:pt idx="1634">
                  <c:v>38174</c:v>
                </c:pt>
                <c:pt idx="1635">
                  <c:v>38175</c:v>
                </c:pt>
                <c:pt idx="1636">
                  <c:v>38176</c:v>
                </c:pt>
                <c:pt idx="1637">
                  <c:v>38177</c:v>
                </c:pt>
                <c:pt idx="1638">
                  <c:v>38180</c:v>
                </c:pt>
                <c:pt idx="1639">
                  <c:v>38181</c:v>
                </c:pt>
                <c:pt idx="1640">
                  <c:v>38182</c:v>
                </c:pt>
                <c:pt idx="1641">
                  <c:v>38183</c:v>
                </c:pt>
                <c:pt idx="1642">
                  <c:v>38184</c:v>
                </c:pt>
                <c:pt idx="1643">
                  <c:v>38187</c:v>
                </c:pt>
                <c:pt idx="1644">
                  <c:v>38188</c:v>
                </c:pt>
                <c:pt idx="1645">
                  <c:v>38189</c:v>
                </c:pt>
                <c:pt idx="1646">
                  <c:v>38190</c:v>
                </c:pt>
                <c:pt idx="1647">
                  <c:v>38191</c:v>
                </c:pt>
                <c:pt idx="1648">
                  <c:v>38194</c:v>
                </c:pt>
                <c:pt idx="1649">
                  <c:v>38195</c:v>
                </c:pt>
                <c:pt idx="1650">
                  <c:v>38196</c:v>
                </c:pt>
                <c:pt idx="1651">
                  <c:v>38197</c:v>
                </c:pt>
                <c:pt idx="1652">
                  <c:v>38198</c:v>
                </c:pt>
                <c:pt idx="1653">
                  <c:v>38201</c:v>
                </c:pt>
                <c:pt idx="1654">
                  <c:v>38202</c:v>
                </c:pt>
                <c:pt idx="1655">
                  <c:v>38203</c:v>
                </c:pt>
                <c:pt idx="1656">
                  <c:v>38204</c:v>
                </c:pt>
                <c:pt idx="1657">
                  <c:v>38205</c:v>
                </c:pt>
                <c:pt idx="1658">
                  <c:v>38208</c:v>
                </c:pt>
                <c:pt idx="1659">
                  <c:v>38209</c:v>
                </c:pt>
                <c:pt idx="1660">
                  <c:v>38210</c:v>
                </c:pt>
                <c:pt idx="1661">
                  <c:v>38211</c:v>
                </c:pt>
                <c:pt idx="1662">
                  <c:v>38212</c:v>
                </c:pt>
                <c:pt idx="1663">
                  <c:v>38215</c:v>
                </c:pt>
                <c:pt idx="1664">
                  <c:v>38216</c:v>
                </c:pt>
                <c:pt idx="1665">
                  <c:v>38217</c:v>
                </c:pt>
                <c:pt idx="1666">
                  <c:v>38218</c:v>
                </c:pt>
                <c:pt idx="1667">
                  <c:v>38219</c:v>
                </c:pt>
                <c:pt idx="1668">
                  <c:v>38222</c:v>
                </c:pt>
                <c:pt idx="1669">
                  <c:v>38223</c:v>
                </c:pt>
                <c:pt idx="1670">
                  <c:v>38224</c:v>
                </c:pt>
                <c:pt idx="1671">
                  <c:v>38225</c:v>
                </c:pt>
                <c:pt idx="1672">
                  <c:v>38226</c:v>
                </c:pt>
                <c:pt idx="1673">
                  <c:v>38229</c:v>
                </c:pt>
                <c:pt idx="1674">
                  <c:v>38230</c:v>
                </c:pt>
                <c:pt idx="1675">
                  <c:v>38231</c:v>
                </c:pt>
                <c:pt idx="1676">
                  <c:v>38232</c:v>
                </c:pt>
                <c:pt idx="1677">
                  <c:v>38233</c:v>
                </c:pt>
                <c:pt idx="1678">
                  <c:v>38237</c:v>
                </c:pt>
                <c:pt idx="1679">
                  <c:v>38238</c:v>
                </c:pt>
                <c:pt idx="1680">
                  <c:v>38239</c:v>
                </c:pt>
                <c:pt idx="1681">
                  <c:v>38240</c:v>
                </c:pt>
                <c:pt idx="1682">
                  <c:v>38243</c:v>
                </c:pt>
                <c:pt idx="1683">
                  <c:v>38244</c:v>
                </c:pt>
                <c:pt idx="1684">
                  <c:v>38245</c:v>
                </c:pt>
                <c:pt idx="1685">
                  <c:v>38246</c:v>
                </c:pt>
                <c:pt idx="1686">
                  <c:v>38247</c:v>
                </c:pt>
                <c:pt idx="1687">
                  <c:v>38250</c:v>
                </c:pt>
                <c:pt idx="1688">
                  <c:v>38251</c:v>
                </c:pt>
                <c:pt idx="1689">
                  <c:v>38252</c:v>
                </c:pt>
                <c:pt idx="1690">
                  <c:v>38253</c:v>
                </c:pt>
                <c:pt idx="1691">
                  <c:v>38254</c:v>
                </c:pt>
                <c:pt idx="1692">
                  <c:v>38257</c:v>
                </c:pt>
                <c:pt idx="1693">
                  <c:v>38258</c:v>
                </c:pt>
                <c:pt idx="1694">
                  <c:v>38259</c:v>
                </c:pt>
                <c:pt idx="1695">
                  <c:v>38260</c:v>
                </c:pt>
                <c:pt idx="1696">
                  <c:v>38261</c:v>
                </c:pt>
                <c:pt idx="1697">
                  <c:v>38264</c:v>
                </c:pt>
                <c:pt idx="1698">
                  <c:v>38265</c:v>
                </c:pt>
                <c:pt idx="1699">
                  <c:v>38266</c:v>
                </c:pt>
                <c:pt idx="1700">
                  <c:v>38267</c:v>
                </c:pt>
                <c:pt idx="1701">
                  <c:v>38268</c:v>
                </c:pt>
                <c:pt idx="1702">
                  <c:v>38271</c:v>
                </c:pt>
                <c:pt idx="1703">
                  <c:v>38272</c:v>
                </c:pt>
                <c:pt idx="1704">
                  <c:v>38273</c:v>
                </c:pt>
                <c:pt idx="1705">
                  <c:v>38274</c:v>
                </c:pt>
                <c:pt idx="1706">
                  <c:v>38275</c:v>
                </c:pt>
                <c:pt idx="1707">
                  <c:v>38278</c:v>
                </c:pt>
                <c:pt idx="1708">
                  <c:v>38279</c:v>
                </c:pt>
                <c:pt idx="1709">
                  <c:v>38280</c:v>
                </c:pt>
                <c:pt idx="1710">
                  <c:v>38281</c:v>
                </c:pt>
                <c:pt idx="1711">
                  <c:v>38282</c:v>
                </c:pt>
                <c:pt idx="1712">
                  <c:v>38285</c:v>
                </c:pt>
                <c:pt idx="1713">
                  <c:v>38286</c:v>
                </c:pt>
                <c:pt idx="1714">
                  <c:v>38287</c:v>
                </c:pt>
                <c:pt idx="1715">
                  <c:v>38288</c:v>
                </c:pt>
                <c:pt idx="1716">
                  <c:v>38289</c:v>
                </c:pt>
                <c:pt idx="1717">
                  <c:v>38292</c:v>
                </c:pt>
                <c:pt idx="1718">
                  <c:v>38293</c:v>
                </c:pt>
                <c:pt idx="1719">
                  <c:v>38294</c:v>
                </c:pt>
                <c:pt idx="1720">
                  <c:v>38295</c:v>
                </c:pt>
                <c:pt idx="1721">
                  <c:v>38296</c:v>
                </c:pt>
                <c:pt idx="1722">
                  <c:v>38299</c:v>
                </c:pt>
                <c:pt idx="1723">
                  <c:v>38300</c:v>
                </c:pt>
                <c:pt idx="1724">
                  <c:v>38301</c:v>
                </c:pt>
                <c:pt idx="1725">
                  <c:v>38302</c:v>
                </c:pt>
                <c:pt idx="1726">
                  <c:v>38303</c:v>
                </c:pt>
                <c:pt idx="1727">
                  <c:v>38306</c:v>
                </c:pt>
                <c:pt idx="1728">
                  <c:v>38307</c:v>
                </c:pt>
                <c:pt idx="1729">
                  <c:v>38308</c:v>
                </c:pt>
                <c:pt idx="1730">
                  <c:v>38309</c:v>
                </c:pt>
                <c:pt idx="1731">
                  <c:v>38310</c:v>
                </c:pt>
                <c:pt idx="1732">
                  <c:v>38313</c:v>
                </c:pt>
                <c:pt idx="1733">
                  <c:v>38314</c:v>
                </c:pt>
                <c:pt idx="1734">
                  <c:v>38315</c:v>
                </c:pt>
                <c:pt idx="1735">
                  <c:v>38317</c:v>
                </c:pt>
                <c:pt idx="1736">
                  <c:v>38320</c:v>
                </c:pt>
                <c:pt idx="1737">
                  <c:v>38321</c:v>
                </c:pt>
                <c:pt idx="1738">
                  <c:v>38322</c:v>
                </c:pt>
                <c:pt idx="1739">
                  <c:v>38323</c:v>
                </c:pt>
                <c:pt idx="1740">
                  <c:v>38324</c:v>
                </c:pt>
                <c:pt idx="1741">
                  <c:v>38327</c:v>
                </c:pt>
                <c:pt idx="1742">
                  <c:v>38328</c:v>
                </c:pt>
                <c:pt idx="1743">
                  <c:v>38329</c:v>
                </c:pt>
                <c:pt idx="1744">
                  <c:v>38330</c:v>
                </c:pt>
                <c:pt idx="1745">
                  <c:v>38331</c:v>
                </c:pt>
                <c:pt idx="1746">
                  <c:v>38334</c:v>
                </c:pt>
                <c:pt idx="1747">
                  <c:v>38335</c:v>
                </c:pt>
                <c:pt idx="1748">
                  <c:v>38336</c:v>
                </c:pt>
                <c:pt idx="1749">
                  <c:v>38337</c:v>
                </c:pt>
                <c:pt idx="1750">
                  <c:v>38338</c:v>
                </c:pt>
                <c:pt idx="1751">
                  <c:v>38341</c:v>
                </c:pt>
                <c:pt idx="1752">
                  <c:v>38342</c:v>
                </c:pt>
                <c:pt idx="1753">
                  <c:v>38343</c:v>
                </c:pt>
                <c:pt idx="1754">
                  <c:v>38344</c:v>
                </c:pt>
                <c:pt idx="1755">
                  <c:v>38348</c:v>
                </c:pt>
                <c:pt idx="1756">
                  <c:v>38349</c:v>
                </c:pt>
                <c:pt idx="1757">
                  <c:v>38350</c:v>
                </c:pt>
                <c:pt idx="1758">
                  <c:v>38351</c:v>
                </c:pt>
                <c:pt idx="1759">
                  <c:v>38352</c:v>
                </c:pt>
                <c:pt idx="1760">
                  <c:v>38355</c:v>
                </c:pt>
                <c:pt idx="1761">
                  <c:v>38356</c:v>
                </c:pt>
                <c:pt idx="1762">
                  <c:v>38357</c:v>
                </c:pt>
                <c:pt idx="1763">
                  <c:v>38358</c:v>
                </c:pt>
                <c:pt idx="1764">
                  <c:v>38359</c:v>
                </c:pt>
                <c:pt idx="1765">
                  <c:v>38362</c:v>
                </c:pt>
                <c:pt idx="1766">
                  <c:v>38363</c:v>
                </c:pt>
                <c:pt idx="1767">
                  <c:v>38364</c:v>
                </c:pt>
                <c:pt idx="1768">
                  <c:v>38365</c:v>
                </c:pt>
                <c:pt idx="1769">
                  <c:v>38366</c:v>
                </c:pt>
                <c:pt idx="1770">
                  <c:v>38370</c:v>
                </c:pt>
                <c:pt idx="1771">
                  <c:v>38371</c:v>
                </c:pt>
                <c:pt idx="1772">
                  <c:v>38372</c:v>
                </c:pt>
                <c:pt idx="1773">
                  <c:v>38373</c:v>
                </c:pt>
                <c:pt idx="1774">
                  <c:v>38376</c:v>
                </c:pt>
                <c:pt idx="1775">
                  <c:v>38377</c:v>
                </c:pt>
                <c:pt idx="1776">
                  <c:v>38378</c:v>
                </c:pt>
                <c:pt idx="1777">
                  <c:v>38379</c:v>
                </c:pt>
                <c:pt idx="1778">
                  <c:v>38380</c:v>
                </c:pt>
                <c:pt idx="1779">
                  <c:v>38383</c:v>
                </c:pt>
                <c:pt idx="1780">
                  <c:v>38384</c:v>
                </c:pt>
                <c:pt idx="1781">
                  <c:v>38385</c:v>
                </c:pt>
                <c:pt idx="1782">
                  <c:v>38386</c:v>
                </c:pt>
                <c:pt idx="1783">
                  <c:v>38387</c:v>
                </c:pt>
                <c:pt idx="1784">
                  <c:v>38390</c:v>
                </c:pt>
                <c:pt idx="1785">
                  <c:v>38391</c:v>
                </c:pt>
                <c:pt idx="1786">
                  <c:v>38392</c:v>
                </c:pt>
                <c:pt idx="1787">
                  <c:v>38393</c:v>
                </c:pt>
                <c:pt idx="1788">
                  <c:v>38394</c:v>
                </c:pt>
                <c:pt idx="1789">
                  <c:v>38397</c:v>
                </c:pt>
                <c:pt idx="1790">
                  <c:v>38398</c:v>
                </c:pt>
                <c:pt idx="1791">
                  <c:v>38399</c:v>
                </c:pt>
                <c:pt idx="1792">
                  <c:v>38400</c:v>
                </c:pt>
                <c:pt idx="1793">
                  <c:v>38401</c:v>
                </c:pt>
                <c:pt idx="1794">
                  <c:v>38405</c:v>
                </c:pt>
                <c:pt idx="1795">
                  <c:v>38406</c:v>
                </c:pt>
                <c:pt idx="1796">
                  <c:v>38407</c:v>
                </c:pt>
                <c:pt idx="1797">
                  <c:v>38408</c:v>
                </c:pt>
                <c:pt idx="1798">
                  <c:v>38411</c:v>
                </c:pt>
                <c:pt idx="1799">
                  <c:v>38412</c:v>
                </c:pt>
                <c:pt idx="1800">
                  <c:v>38413</c:v>
                </c:pt>
                <c:pt idx="1801">
                  <c:v>38414</c:v>
                </c:pt>
                <c:pt idx="1802">
                  <c:v>38415</c:v>
                </c:pt>
                <c:pt idx="1803">
                  <c:v>38418</c:v>
                </c:pt>
                <c:pt idx="1804">
                  <c:v>38419</c:v>
                </c:pt>
                <c:pt idx="1805">
                  <c:v>38420</c:v>
                </c:pt>
                <c:pt idx="1806">
                  <c:v>38421</c:v>
                </c:pt>
                <c:pt idx="1807">
                  <c:v>38422</c:v>
                </c:pt>
                <c:pt idx="1808">
                  <c:v>38425</c:v>
                </c:pt>
                <c:pt idx="1809">
                  <c:v>38426</c:v>
                </c:pt>
                <c:pt idx="1810">
                  <c:v>38427</c:v>
                </c:pt>
                <c:pt idx="1811">
                  <c:v>38428</c:v>
                </c:pt>
                <c:pt idx="1812">
                  <c:v>38429</c:v>
                </c:pt>
                <c:pt idx="1813">
                  <c:v>38432</c:v>
                </c:pt>
                <c:pt idx="1814">
                  <c:v>38433</c:v>
                </c:pt>
                <c:pt idx="1815">
                  <c:v>38434</c:v>
                </c:pt>
                <c:pt idx="1816">
                  <c:v>38435</c:v>
                </c:pt>
                <c:pt idx="1817">
                  <c:v>38439</c:v>
                </c:pt>
                <c:pt idx="1818">
                  <c:v>38440</c:v>
                </c:pt>
                <c:pt idx="1819">
                  <c:v>38441</c:v>
                </c:pt>
                <c:pt idx="1820">
                  <c:v>38442</c:v>
                </c:pt>
                <c:pt idx="1821">
                  <c:v>38443</c:v>
                </c:pt>
                <c:pt idx="1822">
                  <c:v>38446</c:v>
                </c:pt>
                <c:pt idx="1823">
                  <c:v>38447</c:v>
                </c:pt>
                <c:pt idx="1824">
                  <c:v>38448</c:v>
                </c:pt>
                <c:pt idx="1825">
                  <c:v>38449</c:v>
                </c:pt>
                <c:pt idx="1826">
                  <c:v>38450</c:v>
                </c:pt>
                <c:pt idx="1827">
                  <c:v>38453</c:v>
                </c:pt>
                <c:pt idx="1828">
                  <c:v>38454</c:v>
                </c:pt>
                <c:pt idx="1829">
                  <c:v>38455</c:v>
                </c:pt>
                <c:pt idx="1830">
                  <c:v>38456</c:v>
                </c:pt>
                <c:pt idx="1831">
                  <c:v>38457</c:v>
                </c:pt>
                <c:pt idx="1832">
                  <c:v>38460</c:v>
                </c:pt>
                <c:pt idx="1833">
                  <c:v>38461</c:v>
                </c:pt>
                <c:pt idx="1834">
                  <c:v>38462</c:v>
                </c:pt>
                <c:pt idx="1835">
                  <c:v>38463</c:v>
                </c:pt>
                <c:pt idx="1836">
                  <c:v>38464</c:v>
                </c:pt>
                <c:pt idx="1837">
                  <c:v>38467</c:v>
                </c:pt>
                <c:pt idx="1838">
                  <c:v>38468</c:v>
                </c:pt>
                <c:pt idx="1839">
                  <c:v>38469</c:v>
                </c:pt>
                <c:pt idx="1840">
                  <c:v>38470</c:v>
                </c:pt>
                <c:pt idx="1841">
                  <c:v>38471</c:v>
                </c:pt>
                <c:pt idx="1842">
                  <c:v>38474</c:v>
                </c:pt>
                <c:pt idx="1843">
                  <c:v>38475</c:v>
                </c:pt>
                <c:pt idx="1844">
                  <c:v>38476</c:v>
                </c:pt>
                <c:pt idx="1845">
                  <c:v>38477</c:v>
                </c:pt>
                <c:pt idx="1846">
                  <c:v>38478</c:v>
                </c:pt>
                <c:pt idx="1847">
                  <c:v>38481</c:v>
                </c:pt>
                <c:pt idx="1848">
                  <c:v>38482</c:v>
                </c:pt>
                <c:pt idx="1849">
                  <c:v>38483</c:v>
                </c:pt>
                <c:pt idx="1850">
                  <c:v>38484</c:v>
                </c:pt>
                <c:pt idx="1851">
                  <c:v>38485</c:v>
                </c:pt>
                <c:pt idx="1852">
                  <c:v>38488</c:v>
                </c:pt>
                <c:pt idx="1853">
                  <c:v>38489</c:v>
                </c:pt>
                <c:pt idx="1854">
                  <c:v>38490</c:v>
                </c:pt>
                <c:pt idx="1855">
                  <c:v>38491</c:v>
                </c:pt>
                <c:pt idx="1856">
                  <c:v>38492</c:v>
                </c:pt>
                <c:pt idx="1857">
                  <c:v>38495</c:v>
                </c:pt>
                <c:pt idx="1858">
                  <c:v>38496</c:v>
                </c:pt>
                <c:pt idx="1859">
                  <c:v>38497</c:v>
                </c:pt>
                <c:pt idx="1860">
                  <c:v>38498</c:v>
                </c:pt>
                <c:pt idx="1861">
                  <c:v>38499</c:v>
                </c:pt>
                <c:pt idx="1862">
                  <c:v>38503</c:v>
                </c:pt>
                <c:pt idx="1863">
                  <c:v>38504</c:v>
                </c:pt>
                <c:pt idx="1864">
                  <c:v>38505</c:v>
                </c:pt>
                <c:pt idx="1865">
                  <c:v>38506</c:v>
                </c:pt>
                <c:pt idx="1866">
                  <c:v>38509</c:v>
                </c:pt>
                <c:pt idx="1867">
                  <c:v>38510</c:v>
                </c:pt>
                <c:pt idx="1868">
                  <c:v>38511</c:v>
                </c:pt>
                <c:pt idx="1869">
                  <c:v>38512</c:v>
                </c:pt>
                <c:pt idx="1870">
                  <c:v>38513</c:v>
                </c:pt>
                <c:pt idx="1871">
                  <c:v>38516</c:v>
                </c:pt>
                <c:pt idx="1872">
                  <c:v>38517</c:v>
                </c:pt>
                <c:pt idx="1873">
                  <c:v>38518</c:v>
                </c:pt>
                <c:pt idx="1874">
                  <c:v>38519</c:v>
                </c:pt>
                <c:pt idx="1875">
                  <c:v>38520</c:v>
                </c:pt>
                <c:pt idx="1876">
                  <c:v>38523</c:v>
                </c:pt>
                <c:pt idx="1877">
                  <c:v>38524</c:v>
                </c:pt>
                <c:pt idx="1878">
                  <c:v>38525</c:v>
                </c:pt>
                <c:pt idx="1879">
                  <c:v>38526</c:v>
                </c:pt>
                <c:pt idx="1880">
                  <c:v>38527</c:v>
                </c:pt>
                <c:pt idx="1881">
                  <c:v>38530</c:v>
                </c:pt>
                <c:pt idx="1882">
                  <c:v>38531</c:v>
                </c:pt>
                <c:pt idx="1883">
                  <c:v>38532</c:v>
                </c:pt>
                <c:pt idx="1884">
                  <c:v>38533</c:v>
                </c:pt>
                <c:pt idx="1885">
                  <c:v>38534</c:v>
                </c:pt>
                <c:pt idx="1886">
                  <c:v>38538</c:v>
                </c:pt>
                <c:pt idx="1887">
                  <c:v>38539</c:v>
                </c:pt>
                <c:pt idx="1888">
                  <c:v>38540</c:v>
                </c:pt>
                <c:pt idx="1889">
                  <c:v>38541</c:v>
                </c:pt>
                <c:pt idx="1890">
                  <c:v>38544</c:v>
                </c:pt>
                <c:pt idx="1891">
                  <c:v>38545</c:v>
                </c:pt>
                <c:pt idx="1892">
                  <c:v>38546</c:v>
                </c:pt>
                <c:pt idx="1893">
                  <c:v>38547</c:v>
                </c:pt>
                <c:pt idx="1894">
                  <c:v>38548</c:v>
                </c:pt>
                <c:pt idx="1895">
                  <c:v>38551</c:v>
                </c:pt>
                <c:pt idx="1896">
                  <c:v>38552</c:v>
                </c:pt>
                <c:pt idx="1897">
                  <c:v>38553</c:v>
                </c:pt>
                <c:pt idx="1898">
                  <c:v>38554</c:v>
                </c:pt>
                <c:pt idx="1899">
                  <c:v>38555</c:v>
                </c:pt>
                <c:pt idx="1900">
                  <c:v>38558</c:v>
                </c:pt>
                <c:pt idx="1901">
                  <c:v>38559</c:v>
                </c:pt>
                <c:pt idx="1902">
                  <c:v>38560</c:v>
                </c:pt>
                <c:pt idx="1903">
                  <c:v>38561</c:v>
                </c:pt>
                <c:pt idx="1904">
                  <c:v>38562</c:v>
                </c:pt>
                <c:pt idx="1905">
                  <c:v>38565</c:v>
                </c:pt>
                <c:pt idx="1906">
                  <c:v>38566</c:v>
                </c:pt>
                <c:pt idx="1907">
                  <c:v>38567</c:v>
                </c:pt>
                <c:pt idx="1908">
                  <c:v>38568</c:v>
                </c:pt>
                <c:pt idx="1909">
                  <c:v>38569</c:v>
                </c:pt>
                <c:pt idx="1910">
                  <c:v>38572</c:v>
                </c:pt>
                <c:pt idx="1911">
                  <c:v>38573</c:v>
                </c:pt>
                <c:pt idx="1912">
                  <c:v>38574</c:v>
                </c:pt>
                <c:pt idx="1913">
                  <c:v>38575</c:v>
                </c:pt>
                <c:pt idx="1914">
                  <c:v>38576</c:v>
                </c:pt>
                <c:pt idx="1915">
                  <c:v>38579</c:v>
                </c:pt>
                <c:pt idx="1916">
                  <c:v>38580</c:v>
                </c:pt>
                <c:pt idx="1917">
                  <c:v>38581</c:v>
                </c:pt>
                <c:pt idx="1918">
                  <c:v>38582</c:v>
                </c:pt>
                <c:pt idx="1919">
                  <c:v>38583</c:v>
                </c:pt>
                <c:pt idx="1920">
                  <c:v>38586</c:v>
                </c:pt>
                <c:pt idx="1921">
                  <c:v>38587</c:v>
                </c:pt>
                <c:pt idx="1922">
                  <c:v>38588</c:v>
                </c:pt>
                <c:pt idx="1923">
                  <c:v>38589</c:v>
                </c:pt>
                <c:pt idx="1924">
                  <c:v>38590</c:v>
                </c:pt>
                <c:pt idx="1925">
                  <c:v>38593</c:v>
                </c:pt>
                <c:pt idx="1926">
                  <c:v>38594</c:v>
                </c:pt>
                <c:pt idx="1927">
                  <c:v>38595</c:v>
                </c:pt>
                <c:pt idx="1928">
                  <c:v>38596</c:v>
                </c:pt>
                <c:pt idx="1929">
                  <c:v>38597</c:v>
                </c:pt>
                <c:pt idx="1930">
                  <c:v>38601</c:v>
                </c:pt>
                <c:pt idx="1931">
                  <c:v>38602</c:v>
                </c:pt>
                <c:pt idx="1932">
                  <c:v>38603</c:v>
                </c:pt>
                <c:pt idx="1933">
                  <c:v>38604</c:v>
                </c:pt>
                <c:pt idx="1934">
                  <c:v>38607</c:v>
                </c:pt>
                <c:pt idx="1935">
                  <c:v>38608</c:v>
                </c:pt>
                <c:pt idx="1936">
                  <c:v>38609</c:v>
                </c:pt>
                <c:pt idx="1937">
                  <c:v>38610</c:v>
                </c:pt>
                <c:pt idx="1938">
                  <c:v>38611</c:v>
                </c:pt>
                <c:pt idx="1939">
                  <c:v>38614</c:v>
                </c:pt>
                <c:pt idx="1940">
                  <c:v>38615</c:v>
                </c:pt>
                <c:pt idx="1941">
                  <c:v>38616</c:v>
                </c:pt>
                <c:pt idx="1942">
                  <c:v>38617</c:v>
                </c:pt>
                <c:pt idx="1943">
                  <c:v>38618</c:v>
                </c:pt>
                <c:pt idx="1944">
                  <c:v>38621</c:v>
                </c:pt>
                <c:pt idx="1945">
                  <c:v>38622</c:v>
                </c:pt>
                <c:pt idx="1946">
                  <c:v>38623</c:v>
                </c:pt>
                <c:pt idx="1947">
                  <c:v>38624</c:v>
                </c:pt>
                <c:pt idx="1948">
                  <c:v>38625</c:v>
                </c:pt>
                <c:pt idx="1949">
                  <c:v>38628</c:v>
                </c:pt>
                <c:pt idx="1950">
                  <c:v>38629</c:v>
                </c:pt>
                <c:pt idx="1951">
                  <c:v>38630</c:v>
                </c:pt>
                <c:pt idx="1952">
                  <c:v>38631</c:v>
                </c:pt>
                <c:pt idx="1953">
                  <c:v>38632</c:v>
                </c:pt>
                <c:pt idx="1954">
                  <c:v>38635</c:v>
                </c:pt>
                <c:pt idx="1955">
                  <c:v>38636</c:v>
                </c:pt>
                <c:pt idx="1956">
                  <c:v>38637</c:v>
                </c:pt>
                <c:pt idx="1957">
                  <c:v>38638</c:v>
                </c:pt>
                <c:pt idx="1958">
                  <c:v>38639</c:v>
                </c:pt>
                <c:pt idx="1959">
                  <c:v>38642</c:v>
                </c:pt>
                <c:pt idx="1960">
                  <c:v>38643</c:v>
                </c:pt>
                <c:pt idx="1961">
                  <c:v>38644</c:v>
                </c:pt>
                <c:pt idx="1962">
                  <c:v>38645</c:v>
                </c:pt>
                <c:pt idx="1963">
                  <c:v>38646</c:v>
                </c:pt>
                <c:pt idx="1964">
                  <c:v>38649</c:v>
                </c:pt>
                <c:pt idx="1965">
                  <c:v>38650</c:v>
                </c:pt>
                <c:pt idx="1966">
                  <c:v>38651</c:v>
                </c:pt>
                <c:pt idx="1967">
                  <c:v>38652</c:v>
                </c:pt>
                <c:pt idx="1968">
                  <c:v>38653</c:v>
                </c:pt>
                <c:pt idx="1969">
                  <c:v>38656</c:v>
                </c:pt>
                <c:pt idx="1970">
                  <c:v>38657</c:v>
                </c:pt>
                <c:pt idx="1971">
                  <c:v>38658</c:v>
                </c:pt>
                <c:pt idx="1972">
                  <c:v>38659</c:v>
                </c:pt>
                <c:pt idx="1973">
                  <c:v>38660</c:v>
                </c:pt>
                <c:pt idx="1974">
                  <c:v>38663</c:v>
                </c:pt>
                <c:pt idx="1975">
                  <c:v>38664</c:v>
                </c:pt>
                <c:pt idx="1976">
                  <c:v>38665</c:v>
                </c:pt>
                <c:pt idx="1977">
                  <c:v>38666</c:v>
                </c:pt>
                <c:pt idx="1978">
                  <c:v>38667</c:v>
                </c:pt>
                <c:pt idx="1979">
                  <c:v>38670</c:v>
                </c:pt>
                <c:pt idx="1980">
                  <c:v>38671</c:v>
                </c:pt>
                <c:pt idx="1981">
                  <c:v>38672</c:v>
                </c:pt>
                <c:pt idx="1982">
                  <c:v>38673</c:v>
                </c:pt>
                <c:pt idx="1983">
                  <c:v>38674</c:v>
                </c:pt>
                <c:pt idx="1984">
                  <c:v>38677</c:v>
                </c:pt>
                <c:pt idx="1985">
                  <c:v>38678</c:v>
                </c:pt>
                <c:pt idx="1986">
                  <c:v>38679</c:v>
                </c:pt>
                <c:pt idx="1987">
                  <c:v>38681</c:v>
                </c:pt>
                <c:pt idx="1988">
                  <c:v>38684</c:v>
                </c:pt>
                <c:pt idx="1989">
                  <c:v>38685</c:v>
                </c:pt>
                <c:pt idx="1990">
                  <c:v>38686</c:v>
                </c:pt>
                <c:pt idx="1991">
                  <c:v>38687</c:v>
                </c:pt>
                <c:pt idx="1992">
                  <c:v>38688</c:v>
                </c:pt>
                <c:pt idx="1993">
                  <c:v>38691</c:v>
                </c:pt>
                <c:pt idx="1994">
                  <c:v>38692</c:v>
                </c:pt>
                <c:pt idx="1995">
                  <c:v>38693</c:v>
                </c:pt>
                <c:pt idx="1996">
                  <c:v>38694</c:v>
                </c:pt>
                <c:pt idx="1997">
                  <c:v>38695</c:v>
                </c:pt>
                <c:pt idx="1998">
                  <c:v>38698</c:v>
                </c:pt>
                <c:pt idx="1999">
                  <c:v>38699</c:v>
                </c:pt>
                <c:pt idx="2000">
                  <c:v>38700</c:v>
                </c:pt>
                <c:pt idx="2001">
                  <c:v>38701</c:v>
                </c:pt>
                <c:pt idx="2002">
                  <c:v>38702</c:v>
                </c:pt>
                <c:pt idx="2003">
                  <c:v>38705</c:v>
                </c:pt>
                <c:pt idx="2004">
                  <c:v>38706</c:v>
                </c:pt>
                <c:pt idx="2005">
                  <c:v>38707</c:v>
                </c:pt>
                <c:pt idx="2006">
                  <c:v>38708</c:v>
                </c:pt>
                <c:pt idx="2007">
                  <c:v>38709</c:v>
                </c:pt>
                <c:pt idx="2008">
                  <c:v>38713</c:v>
                </c:pt>
                <c:pt idx="2009">
                  <c:v>38714</c:v>
                </c:pt>
                <c:pt idx="2010">
                  <c:v>38715</c:v>
                </c:pt>
                <c:pt idx="2011">
                  <c:v>38716</c:v>
                </c:pt>
                <c:pt idx="2012">
                  <c:v>38720</c:v>
                </c:pt>
                <c:pt idx="2013">
                  <c:v>38721</c:v>
                </c:pt>
                <c:pt idx="2014">
                  <c:v>38722</c:v>
                </c:pt>
                <c:pt idx="2015">
                  <c:v>38723</c:v>
                </c:pt>
                <c:pt idx="2016">
                  <c:v>38726</c:v>
                </c:pt>
                <c:pt idx="2017">
                  <c:v>38727</c:v>
                </c:pt>
                <c:pt idx="2018">
                  <c:v>38728</c:v>
                </c:pt>
                <c:pt idx="2019">
                  <c:v>38729</c:v>
                </c:pt>
                <c:pt idx="2020">
                  <c:v>38730</c:v>
                </c:pt>
                <c:pt idx="2021">
                  <c:v>38734</c:v>
                </c:pt>
                <c:pt idx="2022">
                  <c:v>38735</c:v>
                </c:pt>
                <c:pt idx="2023">
                  <c:v>38736</c:v>
                </c:pt>
                <c:pt idx="2024">
                  <c:v>38737</c:v>
                </c:pt>
                <c:pt idx="2025">
                  <c:v>38740</c:v>
                </c:pt>
                <c:pt idx="2026">
                  <c:v>38741</c:v>
                </c:pt>
                <c:pt idx="2027">
                  <c:v>38742</c:v>
                </c:pt>
                <c:pt idx="2028">
                  <c:v>38743</c:v>
                </c:pt>
                <c:pt idx="2029">
                  <c:v>38744</c:v>
                </c:pt>
                <c:pt idx="2030">
                  <c:v>38747</c:v>
                </c:pt>
                <c:pt idx="2031">
                  <c:v>38748</c:v>
                </c:pt>
                <c:pt idx="2032">
                  <c:v>38749</c:v>
                </c:pt>
                <c:pt idx="2033">
                  <c:v>38750</c:v>
                </c:pt>
                <c:pt idx="2034">
                  <c:v>38751</c:v>
                </c:pt>
                <c:pt idx="2035">
                  <c:v>38754</c:v>
                </c:pt>
                <c:pt idx="2036">
                  <c:v>38755</c:v>
                </c:pt>
                <c:pt idx="2037">
                  <c:v>38756</c:v>
                </c:pt>
                <c:pt idx="2038">
                  <c:v>38757</c:v>
                </c:pt>
                <c:pt idx="2039">
                  <c:v>38758</c:v>
                </c:pt>
                <c:pt idx="2040">
                  <c:v>38761</c:v>
                </c:pt>
                <c:pt idx="2041">
                  <c:v>38762</c:v>
                </c:pt>
                <c:pt idx="2042">
                  <c:v>38763</c:v>
                </c:pt>
                <c:pt idx="2043">
                  <c:v>38764</c:v>
                </c:pt>
                <c:pt idx="2044">
                  <c:v>38765</c:v>
                </c:pt>
                <c:pt idx="2045">
                  <c:v>38769</c:v>
                </c:pt>
                <c:pt idx="2046">
                  <c:v>38770</c:v>
                </c:pt>
                <c:pt idx="2047">
                  <c:v>38771</c:v>
                </c:pt>
                <c:pt idx="2048">
                  <c:v>38772</c:v>
                </c:pt>
                <c:pt idx="2049">
                  <c:v>38775</c:v>
                </c:pt>
                <c:pt idx="2050">
                  <c:v>38776</c:v>
                </c:pt>
                <c:pt idx="2051">
                  <c:v>38777</c:v>
                </c:pt>
                <c:pt idx="2052">
                  <c:v>38778</c:v>
                </c:pt>
                <c:pt idx="2053">
                  <c:v>38779</c:v>
                </c:pt>
                <c:pt idx="2054">
                  <c:v>38782</c:v>
                </c:pt>
                <c:pt idx="2055">
                  <c:v>38783</c:v>
                </c:pt>
                <c:pt idx="2056">
                  <c:v>38784</c:v>
                </c:pt>
                <c:pt idx="2057">
                  <c:v>38785</c:v>
                </c:pt>
                <c:pt idx="2058">
                  <c:v>38786</c:v>
                </c:pt>
                <c:pt idx="2059">
                  <c:v>38789</c:v>
                </c:pt>
                <c:pt idx="2060">
                  <c:v>38790</c:v>
                </c:pt>
                <c:pt idx="2061">
                  <c:v>38791</c:v>
                </c:pt>
                <c:pt idx="2062">
                  <c:v>38792</c:v>
                </c:pt>
                <c:pt idx="2063">
                  <c:v>38793</c:v>
                </c:pt>
                <c:pt idx="2064">
                  <c:v>38796</c:v>
                </c:pt>
                <c:pt idx="2065">
                  <c:v>38797</c:v>
                </c:pt>
                <c:pt idx="2066">
                  <c:v>38798</c:v>
                </c:pt>
                <c:pt idx="2067">
                  <c:v>38799</c:v>
                </c:pt>
                <c:pt idx="2068">
                  <c:v>38800</c:v>
                </c:pt>
                <c:pt idx="2069">
                  <c:v>38803</c:v>
                </c:pt>
                <c:pt idx="2070">
                  <c:v>38804</c:v>
                </c:pt>
                <c:pt idx="2071">
                  <c:v>38805</c:v>
                </c:pt>
                <c:pt idx="2072">
                  <c:v>38806</c:v>
                </c:pt>
                <c:pt idx="2073">
                  <c:v>38807</c:v>
                </c:pt>
                <c:pt idx="2074">
                  <c:v>38810</c:v>
                </c:pt>
                <c:pt idx="2075">
                  <c:v>38811</c:v>
                </c:pt>
                <c:pt idx="2076">
                  <c:v>38812</c:v>
                </c:pt>
                <c:pt idx="2077">
                  <c:v>38813</c:v>
                </c:pt>
                <c:pt idx="2078">
                  <c:v>38814</c:v>
                </c:pt>
                <c:pt idx="2079">
                  <c:v>38817</c:v>
                </c:pt>
                <c:pt idx="2080">
                  <c:v>38818</c:v>
                </c:pt>
                <c:pt idx="2081">
                  <c:v>38819</c:v>
                </c:pt>
                <c:pt idx="2082">
                  <c:v>38820</c:v>
                </c:pt>
                <c:pt idx="2083">
                  <c:v>38824</c:v>
                </c:pt>
                <c:pt idx="2084">
                  <c:v>38825</c:v>
                </c:pt>
                <c:pt idx="2085">
                  <c:v>38826</c:v>
                </c:pt>
                <c:pt idx="2086">
                  <c:v>38827</c:v>
                </c:pt>
                <c:pt idx="2087">
                  <c:v>38828</c:v>
                </c:pt>
                <c:pt idx="2088">
                  <c:v>38831</c:v>
                </c:pt>
                <c:pt idx="2089">
                  <c:v>38832</c:v>
                </c:pt>
                <c:pt idx="2090">
                  <c:v>38833</c:v>
                </c:pt>
                <c:pt idx="2091">
                  <c:v>38834</c:v>
                </c:pt>
                <c:pt idx="2092">
                  <c:v>38835</c:v>
                </c:pt>
                <c:pt idx="2093">
                  <c:v>38838</c:v>
                </c:pt>
                <c:pt idx="2094">
                  <c:v>38839</c:v>
                </c:pt>
                <c:pt idx="2095">
                  <c:v>38840</c:v>
                </c:pt>
                <c:pt idx="2096">
                  <c:v>38841</c:v>
                </c:pt>
                <c:pt idx="2097">
                  <c:v>38842</c:v>
                </c:pt>
                <c:pt idx="2098">
                  <c:v>38845</c:v>
                </c:pt>
                <c:pt idx="2099">
                  <c:v>38846</c:v>
                </c:pt>
                <c:pt idx="2100">
                  <c:v>38847</c:v>
                </c:pt>
                <c:pt idx="2101">
                  <c:v>38848</c:v>
                </c:pt>
                <c:pt idx="2102">
                  <c:v>38849</c:v>
                </c:pt>
                <c:pt idx="2103">
                  <c:v>38852</c:v>
                </c:pt>
                <c:pt idx="2104">
                  <c:v>38853</c:v>
                </c:pt>
                <c:pt idx="2105">
                  <c:v>38854</c:v>
                </c:pt>
                <c:pt idx="2106">
                  <c:v>38855</c:v>
                </c:pt>
                <c:pt idx="2107">
                  <c:v>38856</c:v>
                </c:pt>
                <c:pt idx="2108">
                  <c:v>38859</c:v>
                </c:pt>
                <c:pt idx="2109">
                  <c:v>38860</c:v>
                </c:pt>
                <c:pt idx="2110">
                  <c:v>38861</c:v>
                </c:pt>
                <c:pt idx="2111">
                  <c:v>38862</c:v>
                </c:pt>
                <c:pt idx="2112">
                  <c:v>38863</c:v>
                </c:pt>
                <c:pt idx="2113">
                  <c:v>38867</c:v>
                </c:pt>
                <c:pt idx="2114">
                  <c:v>38868</c:v>
                </c:pt>
                <c:pt idx="2115">
                  <c:v>38869</c:v>
                </c:pt>
                <c:pt idx="2116">
                  <c:v>38870</c:v>
                </c:pt>
                <c:pt idx="2117">
                  <c:v>38873</c:v>
                </c:pt>
                <c:pt idx="2118">
                  <c:v>38874</c:v>
                </c:pt>
                <c:pt idx="2119">
                  <c:v>38875</c:v>
                </c:pt>
                <c:pt idx="2120">
                  <c:v>38876</c:v>
                </c:pt>
                <c:pt idx="2121">
                  <c:v>38877</c:v>
                </c:pt>
                <c:pt idx="2122">
                  <c:v>38880</c:v>
                </c:pt>
                <c:pt idx="2123">
                  <c:v>38881</c:v>
                </c:pt>
                <c:pt idx="2124">
                  <c:v>38882</c:v>
                </c:pt>
                <c:pt idx="2125">
                  <c:v>38883</c:v>
                </c:pt>
                <c:pt idx="2126">
                  <c:v>38884</c:v>
                </c:pt>
                <c:pt idx="2127">
                  <c:v>38887</c:v>
                </c:pt>
                <c:pt idx="2128">
                  <c:v>38888</c:v>
                </c:pt>
                <c:pt idx="2129">
                  <c:v>38889</c:v>
                </c:pt>
                <c:pt idx="2130">
                  <c:v>38890</c:v>
                </c:pt>
                <c:pt idx="2131">
                  <c:v>38891</c:v>
                </c:pt>
                <c:pt idx="2132">
                  <c:v>38894</c:v>
                </c:pt>
                <c:pt idx="2133">
                  <c:v>38895</c:v>
                </c:pt>
                <c:pt idx="2134">
                  <c:v>38896</c:v>
                </c:pt>
                <c:pt idx="2135">
                  <c:v>38897</c:v>
                </c:pt>
                <c:pt idx="2136">
                  <c:v>38898</c:v>
                </c:pt>
                <c:pt idx="2137">
                  <c:v>38901</c:v>
                </c:pt>
                <c:pt idx="2138">
                  <c:v>38903</c:v>
                </c:pt>
                <c:pt idx="2139">
                  <c:v>38904</c:v>
                </c:pt>
                <c:pt idx="2140">
                  <c:v>38905</c:v>
                </c:pt>
                <c:pt idx="2141">
                  <c:v>38908</c:v>
                </c:pt>
                <c:pt idx="2142">
                  <c:v>38909</c:v>
                </c:pt>
                <c:pt idx="2143">
                  <c:v>38910</c:v>
                </c:pt>
                <c:pt idx="2144">
                  <c:v>38911</c:v>
                </c:pt>
                <c:pt idx="2145">
                  <c:v>38912</c:v>
                </c:pt>
                <c:pt idx="2146">
                  <c:v>38915</c:v>
                </c:pt>
                <c:pt idx="2147">
                  <c:v>38916</c:v>
                </c:pt>
                <c:pt idx="2148">
                  <c:v>38917</c:v>
                </c:pt>
                <c:pt idx="2149">
                  <c:v>38918</c:v>
                </c:pt>
                <c:pt idx="2150">
                  <c:v>38919</c:v>
                </c:pt>
                <c:pt idx="2151">
                  <c:v>38922</c:v>
                </c:pt>
                <c:pt idx="2152">
                  <c:v>38923</c:v>
                </c:pt>
                <c:pt idx="2153">
                  <c:v>38924</c:v>
                </c:pt>
                <c:pt idx="2154">
                  <c:v>38925</c:v>
                </c:pt>
                <c:pt idx="2155">
                  <c:v>38926</c:v>
                </c:pt>
                <c:pt idx="2156">
                  <c:v>38929</c:v>
                </c:pt>
                <c:pt idx="2157">
                  <c:v>38930</c:v>
                </c:pt>
                <c:pt idx="2158">
                  <c:v>38931</c:v>
                </c:pt>
                <c:pt idx="2159">
                  <c:v>38932</c:v>
                </c:pt>
                <c:pt idx="2160">
                  <c:v>38933</c:v>
                </c:pt>
                <c:pt idx="2161">
                  <c:v>38936</c:v>
                </c:pt>
                <c:pt idx="2162">
                  <c:v>38937</c:v>
                </c:pt>
                <c:pt idx="2163">
                  <c:v>38938</c:v>
                </c:pt>
                <c:pt idx="2164">
                  <c:v>38939</c:v>
                </c:pt>
                <c:pt idx="2165">
                  <c:v>38940</c:v>
                </c:pt>
                <c:pt idx="2166">
                  <c:v>38943</c:v>
                </c:pt>
                <c:pt idx="2167">
                  <c:v>38944</c:v>
                </c:pt>
                <c:pt idx="2168">
                  <c:v>38945</c:v>
                </c:pt>
                <c:pt idx="2169">
                  <c:v>38946</c:v>
                </c:pt>
                <c:pt idx="2170">
                  <c:v>38947</c:v>
                </c:pt>
                <c:pt idx="2171">
                  <c:v>38950</c:v>
                </c:pt>
                <c:pt idx="2172">
                  <c:v>38951</c:v>
                </c:pt>
                <c:pt idx="2173">
                  <c:v>38952</c:v>
                </c:pt>
                <c:pt idx="2174">
                  <c:v>38953</c:v>
                </c:pt>
                <c:pt idx="2175">
                  <c:v>38954</c:v>
                </c:pt>
                <c:pt idx="2176">
                  <c:v>38957</c:v>
                </c:pt>
                <c:pt idx="2177">
                  <c:v>38958</c:v>
                </c:pt>
                <c:pt idx="2178">
                  <c:v>38959</c:v>
                </c:pt>
                <c:pt idx="2179">
                  <c:v>38960</c:v>
                </c:pt>
                <c:pt idx="2180">
                  <c:v>38961</c:v>
                </c:pt>
                <c:pt idx="2181">
                  <c:v>38965</c:v>
                </c:pt>
                <c:pt idx="2182">
                  <c:v>38966</c:v>
                </c:pt>
                <c:pt idx="2183">
                  <c:v>38967</c:v>
                </c:pt>
                <c:pt idx="2184">
                  <c:v>38968</c:v>
                </c:pt>
                <c:pt idx="2185">
                  <c:v>38971</c:v>
                </c:pt>
                <c:pt idx="2186">
                  <c:v>38972</c:v>
                </c:pt>
                <c:pt idx="2187">
                  <c:v>38973</c:v>
                </c:pt>
                <c:pt idx="2188">
                  <c:v>38974</c:v>
                </c:pt>
                <c:pt idx="2189">
                  <c:v>38975</c:v>
                </c:pt>
                <c:pt idx="2190">
                  <c:v>38978</c:v>
                </c:pt>
                <c:pt idx="2191">
                  <c:v>38979</c:v>
                </c:pt>
                <c:pt idx="2192">
                  <c:v>38980</c:v>
                </c:pt>
                <c:pt idx="2193">
                  <c:v>38981</c:v>
                </c:pt>
                <c:pt idx="2194">
                  <c:v>38982</c:v>
                </c:pt>
                <c:pt idx="2195">
                  <c:v>38985</c:v>
                </c:pt>
                <c:pt idx="2196">
                  <c:v>38986</c:v>
                </c:pt>
                <c:pt idx="2197">
                  <c:v>38987</c:v>
                </c:pt>
                <c:pt idx="2198">
                  <c:v>38988</c:v>
                </c:pt>
                <c:pt idx="2199">
                  <c:v>38989</c:v>
                </c:pt>
                <c:pt idx="2200">
                  <c:v>38992</c:v>
                </c:pt>
                <c:pt idx="2201">
                  <c:v>38993</c:v>
                </c:pt>
                <c:pt idx="2202">
                  <c:v>38994</c:v>
                </c:pt>
                <c:pt idx="2203">
                  <c:v>38995</c:v>
                </c:pt>
                <c:pt idx="2204">
                  <c:v>38996</c:v>
                </c:pt>
                <c:pt idx="2205">
                  <c:v>38999</c:v>
                </c:pt>
                <c:pt idx="2206">
                  <c:v>39000</c:v>
                </c:pt>
                <c:pt idx="2207">
                  <c:v>39001</c:v>
                </c:pt>
                <c:pt idx="2208">
                  <c:v>39002</c:v>
                </c:pt>
                <c:pt idx="2209">
                  <c:v>39003</c:v>
                </c:pt>
                <c:pt idx="2210">
                  <c:v>39006</c:v>
                </c:pt>
                <c:pt idx="2211">
                  <c:v>39007</c:v>
                </c:pt>
                <c:pt idx="2212">
                  <c:v>39008</c:v>
                </c:pt>
                <c:pt idx="2213">
                  <c:v>39009</c:v>
                </c:pt>
                <c:pt idx="2214">
                  <c:v>39010</c:v>
                </c:pt>
                <c:pt idx="2215">
                  <c:v>39013</c:v>
                </c:pt>
                <c:pt idx="2216">
                  <c:v>39014</c:v>
                </c:pt>
                <c:pt idx="2217">
                  <c:v>39015</c:v>
                </c:pt>
                <c:pt idx="2218">
                  <c:v>39016</c:v>
                </c:pt>
                <c:pt idx="2219">
                  <c:v>39017</c:v>
                </c:pt>
                <c:pt idx="2220">
                  <c:v>39020</c:v>
                </c:pt>
                <c:pt idx="2221">
                  <c:v>39021</c:v>
                </c:pt>
                <c:pt idx="2222">
                  <c:v>39022</c:v>
                </c:pt>
                <c:pt idx="2223">
                  <c:v>39023</c:v>
                </c:pt>
                <c:pt idx="2224">
                  <c:v>39024</c:v>
                </c:pt>
                <c:pt idx="2225">
                  <c:v>39027</c:v>
                </c:pt>
                <c:pt idx="2226">
                  <c:v>39028</c:v>
                </c:pt>
                <c:pt idx="2227">
                  <c:v>39029</c:v>
                </c:pt>
                <c:pt idx="2228">
                  <c:v>39030</c:v>
                </c:pt>
                <c:pt idx="2229">
                  <c:v>39031</c:v>
                </c:pt>
                <c:pt idx="2230">
                  <c:v>39034</c:v>
                </c:pt>
                <c:pt idx="2231">
                  <c:v>39035</c:v>
                </c:pt>
                <c:pt idx="2232">
                  <c:v>39036</c:v>
                </c:pt>
                <c:pt idx="2233">
                  <c:v>39037</c:v>
                </c:pt>
                <c:pt idx="2234">
                  <c:v>39038</c:v>
                </c:pt>
                <c:pt idx="2235">
                  <c:v>39041</c:v>
                </c:pt>
                <c:pt idx="2236">
                  <c:v>39042</c:v>
                </c:pt>
                <c:pt idx="2237">
                  <c:v>39043</c:v>
                </c:pt>
                <c:pt idx="2238">
                  <c:v>39045</c:v>
                </c:pt>
                <c:pt idx="2239">
                  <c:v>39048</c:v>
                </c:pt>
                <c:pt idx="2240">
                  <c:v>39049</c:v>
                </c:pt>
                <c:pt idx="2241">
                  <c:v>39050</c:v>
                </c:pt>
                <c:pt idx="2242">
                  <c:v>39051</c:v>
                </c:pt>
                <c:pt idx="2243">
                  <c:v>39052</c:v>
                </c:pt>
                <c:pt idx="2244">
                  <c:v>39055</c:v>
                </c:pt>
                <c:pt idx="2245">
                  <c:v>39056</c:v>
                </c:pt>
                <c:pt idx="2246">
                  <c:v>39057</c:v>
                </c:pt>
                <c:pt idx="2247">
                  <c:v>39058</c:v>
                </c:pt>
                <c:pt idx="2248">
                  <c:v>39059</c:v>
                </c:pt>
                <c:pt idx="2249">
                  <c:v>39062</c:v>
                </c:pt>
                <c:pt idx="2250">
                  <c:v>39063</c:v>
                </c:pt>
                <c:pt idx="2251">
                  <c:v>39064</c:v>
                </c:pt>
                <c:pt idx="2252">
                  <c:v>39065</c:v>
                </c:pt>
                <c:pt idx="2253">
                  <c:v>39066</c:v>
                </c:pt>
                <c:pt idx="2254">
                  <c:v>39069</c:v>
                </c:pt>
                <c:pt idx="2255">
                  <c:v>39070</c:v>
                </c:pt>
                <c:pt idx="2256">
                  <c:v>39071</c:v>
                </c:pt>
                <c:pt idx="2257">
                  <c:v>39072</c:v>
                </c:pt>
                <c:pt idx="2258">
                  <c:v>39073</c:v>
                </c:pt>
                <c:pt idx="2259">
                  <c:v>39077</c:v>
                </c:pt>
                <c:pt idx="2260">
                  <c:v>39078</c:v>
                </c:pt>
                <c:pt idx="2261">
                  <c:v>39079</c:v>
                </c:pt>
                <c:pt idx="2262">
                  <c:v>39080</c:v>
                </c:pt>
                <c:pt idx="2263">
                  <c:v>39085</c:v>
                </c:pt>
                <c:pt idx="2264">
                  <c:v>39086</c:v>
                </c:pt>
                <c:pt idx="2265">
                  <c:v>39087</c:v>
                </c:pt>
                <c:pt idx="2266">
                  <c:v>39090</c:v>
                </c:pt>
                <c:pt idx="2267">
                  <c:v>39091</c:v>
                </c:pt>
                <c:pt idx="2268">
                  <c:v>39092</c:v>
                </c:pt>
                <c:pt idx="2269">
                  <c:v>39093</c:v>
                </c:pt>
                <c:pt idx="2270">
                  <c:v>39094</c:v>
                </c:pt>
                <c:pt idx="2271">
                  <c:v>39098</c:v>
                </c:pt>
                <c:pt idx="2272">
                  <c:v>39099</c:v>
                </c:pt>
                <c:pt idx="2273">
                  <c:v>39100</c:v>
                </c:pt>
                <c:pt idx="2274">
                  <c:v>39101</c:v>
                </c:pt>
                <c:pt idx="2275">
                  <c:v>39104</c:v>
                </c:pt>
                <c:pt idx="2276">
                  <c:v>39105</c:v>
                </c:pt>
                <c:pt idx="2277">
                  <c:v>39106</c:v>
                </c:pt>
                <c:pt idx="2278">
                  <c:v>39107</c:v>
                </c:pt>
                <c:pt idx="2279">
                  <c:v>39108</c:v>
                </c:pt>
                <c:pt idx="2280">
                  <c:v>39111</c:v>
                </c:pt>
                <c:pt idx="2281">
                  <c:v>39112</c:v>
                </c:pt>
                <c:pt idx="2282">
                  <c:v>39113</c:v>
                </c:pt>
                <c:pt idx="2283">
                  <c:v>39114</c:v>
                </c:pt>
                <c:pt idx="2284">
                  <c:v>39115</c:v>
                </c:pt>
                <c:pt idx="2285">
                  <c:v>39118</c:v>
                </c:pt>
                <c:pt idx="2286">
                  <c:v>39119</c:v>
                </c:pt>
                <c:pt idx="2287">
                  <c:v>39120</c:v>
                </c:pt>
                <c:pt idx="2288">
                  <c:v>39121</c:v>
                </c:pt>
                <c:pt idx="2289">
                  <c:v>39122</c:v>
                </c:pt>
                <c:pt idx="2290">
                  <c:v>39125</c:v>
                </c:pt>
                <c:pt idx="2291">
                  <c:v>39126</c:v>
                </c:pt>
                <c:pt idx="2292">
                  <c:v>39127</c:v>
                </c:pt>
                <c:pt idx="2293">
                  <c:v>39128</c:v>
                </c:pt>
                <c:pt idx="2294">
                  <c:v>39129</c:v>
                </c:pt>
                <c:pt idx="2295">
                  <c:v>39133</c:v>
                </c:pt>
                <c:pt idx="2296">
                  <c:v>39134</c:v>
                </c:pt>
                <c:pt idx="2297">
                  <c:v>39135</c:v>
                </c:pt>
                <c:pt idx="2298">
                  <c:v>39136</c:v>
                </c:pt>
                <c:pt idx="2299">
                  <c:v>39139</c:v>
                </c:pt>
                <c:pt idx="2300">
                  <c:v>39140</c:v>
                </c:pt>
                <c:pt idx="2301">
                  <c:v>39141</c:v>
                </c:pt>
                <c:pt idx="2302">
                  <c:v>39142</c:v>
                </c:pt>
                <c:pt idx="2303">
                  <c:v>39143</c:v>
                </c:pt>
                <c:pt idx="2304">
                  <c:v>39146</c:v>
                </c:pt>
                <c:pt idx="2305">
                  <c:v>39147</c:v>
                </c:pt>
                <c:pt idx="2306">
                  <c:v>39148</c:v>
                </c:pt>
                <c:pt idx="2307">
                  <c:v>39149</c:v>
                </c:pt>
                <c:pt idx="2308">
                  <c:v>39150</c:v>
                </c:pt>
                <c:pt idx="2309">
                  <c:v>39153</c:v>
                </c:pt>
                <c:pt idx="2310">
                  <c:v>39154</c:v>
                </c:pt>
                <c:pt idx="2311">
                  <c:v>39155</c:v>
                </c:pt>
                <c:pt idx="2312">
                  <c:v>39156</c:v>
                </c:pt>
                <c:pt idx="2313">
                  <c:v>39157</c:v>
                </c:pt>
                <c:pt idx="2314">
                  <c:v>39160</c:v>
                </c:pt>
                <c:pt idx="2315">
                  <c:v>39161</c:v>
                </c:pt>
                <c:pt idx="2316">
                  <c:v>39162</c:v>
                </c:pt>
                <c:pt idx="2317">
                  <c:v>39163</c:v>
                </c:pt>
                <c:pt idx="2318">
                  <c:v>39164</c:v>
                </c:pt>
                <c:pt idx="2319">
                  <c:v>39167</c:v>
                </c:pt>
                <c:pt idx="2320">
                  <c:v>39168</c:v>
                </c:pt>
                <c:pt idx="2321">
                  <c:v>39169</c:v>
                </c:pt>
                <c:pt idx="2322">
                  <c:v>39170</c:v>
                </c:pt>
                <c:pt idx="2323">
                  <c:v>39171</c:v>
                </c:pt>
                <c:pt idx="2324">
                  <c:v>39174</c:v>
                </c:pt>
                <c:pt idx="2325">
                  <c:v>39175</c:v>
                </c:pt>
                <c:pt idx="2326">
                  <c:v>39176</c:v>
                </c:pt>
                <c:pt idx="2327">
                  <c:v>39177</c:v>
                </c:pt>
                <c:pt idx="2328">
                  <c:v>39181</c:v>
                </c:pt>
                <c:pt idx="2329">
                  <c:v>39182</c:v>
                </c:pt>
                <c:pt idx="2330">
                  <c:v>39183</c:v>
                </c:pt>
                <c:pt idx="2331">
                  <c:v>39184</c:v>
                </c:pt>
                <c:pt idx="2332">
                  <c:v>39185</c:v>
                </c:pt>
                <c:pt idx="2333">
                  <c:v>39188</c:v>
                </c:pt>
                <c:pt idx="2334">
                  <c:v>39189</c:v>
                </c:pt>
                <c:pt idx="2335">
                  <c:v>39190</c:v>
                </c:pt>
                <c:pt idx="2336">
                  <c:v>39191</c:v>
                </c:pt>
                <c:pt idx="2337">
                  <c:v>39192</c:v>
                </c:pt>
                <c:pt idx="2338">
                  <c:v>39195</c:v>
                </c:pt>
                <c:pt idx="2339">
                  <c:v>39196</c:v>
                </c:pt>
                <c:pt idx="2340">
                  <c:v>39197</c:v>
                </c:pt>
                <c:pt idx="2341">
                  <c:v>39198</c:v>
                </c:pt>
                <c:pt idx="2342">
                  <c:v>39199</c:v>
                </c:pt>
                <c:pt idx="2343">
                  <c:v>39202</c:v>
                </c:pt>
                <c:pt idx="2344">
                  <c:v>39203</c:v>
                </c:pt>
                <c:pt idx="2345">
                  <c:v>39204</c:v>
                </c:pt>
                <c:pt idx="2346">
                  <c:v>39205</c:v>
                </c:pt>
                <c:pt idx="2347">
                  <c:v>39206</c:v>
                </c:pt>
                <c:pt idx="2348">
                  <c:v>39209</c:v>
                </c:pt>
                <c:pt idx="2349">
                  <c:v>39210</c:v>
                </c:pt>
                <c:pt idx="2350">
                  <c:v>39211</c:v>
                </c:pt>
                <c:pt idx="2351">
                  <c:v>39212</c:v>
                </c:pt>
                <c:pt idx="2352">
                  <c:v>39213</c:v>
                </c:pt>
                <c:pt idx="2353">
                  <c:v>39216</c:v>
                </c:pt>
                <c:pt idx="2354">
                  <c:v>39217</c:v>
                </c:pt>
                <c:pt idx="2355">
                  <c:v>39218</c:v>
                </c:pt>
                <c:pt idx="2356">
                  <c:v>39219</c:v>
                </c:pt>
                <c:pt idx="2357">
                  <c:v>39220</c:v>
                </c:pt>
                <c:pt idx="2358">
                  <c:v>39223</c:v>
                </c:pt>
                <c:pt idx="2359">
                  <c:v>39224</c:v>
                </c:pt>
                <c:pt idx="2360">
                  <c:v>39225</c:v>
                </c:pt>
                <c:pt idx="2361">
                  <c:v>39226</c:v>
                </c:pt>
                <c:pt idx="2362">
                  <c:v>39227</c:v>
                </c:pt>
                <c:pt idx="2363">
                  <c:v>39231</c:v>
                </c:pt>
                <c:pt idx="2364">
                  <c:v>39232</c:v>
                </c:pt>
                <c:pt idx="2365">
                  <c:v>39233</c:v>
                </c:pt>
                <c:pt idx="2366">
                  <c:v>39234</c:v>
                </c:pt>
                <c:pt idx="2367">
                  <c:v>39237</c:v>
                </c:pt>
                <c:pt idx="2368">
                  <c:v>39238</c:v>
                </c:pt>
                <c:pt idx="2369">
                  <c:v>39239</c:v>
                </c:pt>
                <c:pt idx="2370">
                  <c:v>39240</c:v>
                </c:pt>
                <c:pt idx="2371">
                  <c:v>39241</c:v>
                </c:pt>
                <c:pt idx="2372">
                  <c:v>39244</c:v>
                </c:pt>
                <c:pt idx="2373">
                  <c:v>39245</c:v>
                </c:pt>
                <c:pt idx="2374">
                  <c:v>39246</c:v>
                </c:pt>
                <c:pt idx="2375">
                  <c:v>39247</c:v>
                </c:pt>
                <c:pt idx="2376">
                  <c:v>39248</c:v>
                </c:pt>
                <c:pt idx="2377">
                  <c:v>39251</c:v>
                </c:pt>
                <c:pt idx="2378">
                  <c:v>39252</c:v>
                </c:pt>
                <c:pt idx="2379">
                  <c:v>39253</c:v>
                </c:pt>
                <c:pt idx="2380">
                  <c:v>39254</c:v>
                </c:pt>
                <c:pt idx="2381">
                  <c:v>39255</c:v>
                </c:pt>
                <c:pt idx="2382">
                  <c:v>39258</c:v>
                </c:pt>
                <c:pt idx="2383">
                  <c:v>39259</c:v>
                </c:pt>
                <c:pt idx="2384">
                  <c:v>39260</c:v>
                </c:pt>
                <c:pt idx="2385">
                  <c:v>39261</c:v>
                </c:pt>
                <c:pt idx="2386">
                  <c:v>39262</c:v>
                </c:pt>
                <c:pt idx="2387">
                  <c:v>39265</c:v>
                </c:pt>
                <c:pt idx="2388">
                  <c:v>39266</c:v>
                </c:pt>
                <c:pt idx="2389">
                  <c:v>39268</c:v>
                </c:pt>
                <c:pt idx="2390">
                  <c:v>39269</c:v>
                </c:pt>
                <c:pt idx="2391">
                  <c:v>39272</c:v>
                </c:pt>
                <c:pt idx="2392">
                  <c:v>39273</c:v>
                </c:pt>
                <c:pt idx="2393">
                  <c:v>39274</c:v>
                </c:pt>
                <c:pt idx="2394">
                  <c:v>39275</c:v>
                </c:pt>
                <c:pt idx="2395">
                  <c:v>39276</c:v>
                </c:pt>
                <c:pt idx="2396">
                  <c:v>39279</c:v>
                </c:pt>
                <c:pt idx="2397">
                  <c:v>39280</c:v>
                </c:pt>
                <c:pt idx="2398">
                  <c:v>39281</c:v>
                </c:pt>
                <c:pt idx="2399">
                  <c:v>39282</c:v>
                </c:pt>
                <c:pt idx="2400">
                  <c:v>39283</c:v>
                </c:pt>
                <c:pt idx="2401">
                  <c:v>39286</c:v>
                </c:pt>
                <c:pt idx="2402">
                  <c:v>39287</c:v>
                </c:pt>
                <c:pt idx="2403">
                  <c:v>39288</c:v>
                </c:pt>
                <c:pt idx="2404">
                  <c:v>39289</c:v>
                </c:pt>
                <c:pt idx="2405">
                  <c:v>39290</c:v>
                </c:pt>
                <c:pt idx="2406">
                  <c:v>39293</c:v>
                </c:pt>
                <c:pt idx="2407">
                  <c:v>39294</c:v>
                </c:pt>
                <c:pt idx="2408">
                  <c:v>39295</c:v>
                </c:pt>
                <c:pt idx="2409">
                  <c:v>39296</c:v>
                </c:pt>
                <c:pt idx="2410">
                  <c:v>39297</c:v>
                </c:pt>
                <c:pt idx="2411">
                  <c:v>39300</c:v>
                </c:pt>
                <c:pt idx="2412">
                  <c:v>39301</c:v>
                </c:pt>
                <c:pt idx="2413">
                  <c:v>39302</c:v>
                </c:pt>
                <c:pt idx="2414">
                  <c:v>39303</c:v>
                </c:pt>
                <c:pt idx="2415">
                  <c:v>39304</c:v>
                </c:pt>
                <c:pt idx="2416">
                  <c:v>39307</c:v>
                </c:pt>
                <c:pt idx="2417">
                  <c:v>39308</c:v>
                </c:pt>
                <c:pt idx="2418">
                  <c:v>39309</c:v>
                </c:pt>
                <c:pt idx="2419">
                  <c:v>39310</c:v>
                </c:pt>
                <c:pt idx="2420">
                  <c:v>39311</c:v>
                </c:pt>
                <c:pt idx="2421">
                  <c:v>39314</c:v>
                </c:pt>
                <c:pt idx="2422">
                  <c:v>39315</c:v>
                </c:pt>
                <c:pt idx="2423">
                  <c:v>39316</c:v>
                </c:pt>
                <c:pt idx="2424">
                  <c:v>39317</c:v>
                </c:pt>
                <c:pt idx="2425">
                  <c:v>39318</c:v>
                </c:pt>
                <c:pt idx="2426">
                  <c:v>39321</c:v>
                </c:pt>
                <c:pt idx="2427">
                  <c:v>39322</c:v>
                </c:pt>
                <c:pt idx="2428">
                  <c:v>39323</c:v>
                </c:pt>
                <c:pt idx="2429">
                  <c:v>39324</c:v>
                </c:pt>
                <c:pt idx="2430">
                  <c:v>39325</c:v>
                </c:pt>
                <c:pt idx="2431">
                  <c:v>39329</c:v>
                </c:pt>
                <c:pt idx="2432">
                  <c:v>39330</c:v>
                </c:pt>
                <c:pt idx="2433">
                  <c:v>39331</c:v>
                </c:pt>
                <c:pt idx="2434">
                  <c:v>39332</c:v>
                </c:pt>
                <c:pt idx="2435">
                  <c:v>39335</c:v>
                </c:pt>
                <c:pt idx="2436">
                  <c:v>39336</c:v>
                </c:pt>
                <c:pt idx="2437">
                  <c:v>39337</c:v>
                </c:pt>
                <c:pt idx="2438">
                  <c:v>39338</c:v>
                </c:pt>
                <c:pt idx="2439">
                  <c:v>39339</c:v>
                </c:pt>
                <c:pt idx="2440">
                  <c:v>39342</c:v>
                </c:pt>
                <c:pt idx="2441">
                  <c:v>39343</c:v>
                </c:pt>
                <c:pt idx="2442">
                  <c:v>39344</c:v>
                </c:pt>
                <c:pt idx="2443">
                  <c:v>39345</c:v>
                </c:pt>
                <c:pt idx="2444">
                  <c:v>39346</c:v>
                </c:pt>
                <c:pt idx="2445">
                  <c:v>39349</c:v>
                </c:pt>
                <c:pt idx="2446">
                  <c:v>39350</c:v>
                </c:pt>
                <c:pt idx="2447">
                  <c:v>39351</c:v>
                </c:pt>
                <c:pt idx="2448">
                  <c:v>39352</c:v>
                </c:pt>
                <c:pt idx="2449">
                  <c:v>39353</c:v>
                </c:pt>
                <c:pt idx="2450">
                  <c:v>39356</c:v>
                </c:pt>
                <c:pt idx="2451">
                  <c:v>39357</c:v>
                </c:pt>
                <c:pt idx="2452">
                  <c:v>39358</c:v>
                </c:pt>
                <c:pt idx="2453">
                  <c:v>39359</c:v>
                </c:pt>
                <c:pt idx="2454">
                  <c:v>39360</c:v>
                </c:pt>
                <c:pt idx="2455">
                  <c:v>39363</c:v>
                </c:pt>
                <c:pt idx="2456">
                  <c:v>39364</c:v>
                </c:pt>
                <c:pt idx="2457">
                  <c:v>39365</c:v>
                </c:pt>
                <c:pt idx="2458">
                  <c:v>39366</c:v>
                </c:pt>
                <c:pt idx="2459">
                  <c:v>39367</c:v>
                </c:pt>
                <c:pt idx="2460">
                  <c:v>39370</c:v>
                </c:pt>
                <c:pt idx="2461">
                  <c:v>39371</c:v>
                </c:pt>
                <c:pt idx="2462">
                  <c:v>39372</c:v>
                </c:pt>
                <c:pt idx="2463">
                  <c:v>39373</c:v>
                </c:pt>
                <c:pt idx="2464">
                  <c:v>39374</c:v>
                </c:pt>
                <c:pt idx="2465">
                  <c:v>39377</c:v>
                </c:pt>
                <c:pt idx="2466">
                  <c:v>39378</c:v>
                </c:pt>
                <c:pt idx="2467">
                  <c:v>39379</c:v>
                </c:pt>
                <c:pt idx="2468">
                  <c:v>39380</c:v>
                </c:pt>
                <c:pt idx="2469">
                  <c:v>39381</c:v>
                </c:pt>
                <c:pt idx="2470">
                  <c:v>39384</c:v>
                </c:pt>
                <c:pt idx="2471">
                  <c:v>39385</c:v>
                </c:pt>
                <c:pt idx="2472">
                  <c:v>39386</c:v>
                </c:pt>
                <c:pt idx="2473">
                  <c:v>39387</c:v>
                </c:pt>
                <c:pt idx="2474">
                  <c:v>39388</c:v>
                </c:pt>
                <c:pt idx="2475">
                  <c:v>39391</c:v>
                </c:pt>
                <c:pt idx="2476">
                  <c:v>39392</c:v>
                </c:pt>
                <c:pt idx="2477">
                  <c:v>39393</c:v>
                </c:pt>
                <c:pt idx="2478">
                  <c:v>39394</c:v>
                </c:pt>
                <c:pt idx="2479">
                  <c:v>39395</c:v>
                </c:pt>
                <c:pt idx="2480">
                  <c:v>39398</c:v>
                </c:pt>
                <c:pt idx="2481">
                  <c:v>39399</c:v>
                </c:pt>
                <c:pt idx="2482">
                  <c:v>39400</c:v>
                </c:pt>
                <c:pt idx="2483">
                  <c:v>39401</c:v>
                </c:pt>
                <c:pt idx="2484">
                  <c:v>39402</c:v>
                </c:pt>
                <c:pt idx="2485">
                  <c:v>39405</c:v>
                </c:pt>
                <c:pt idx="2486">
                  <c:v>39406</c:v>
                </c:pt>
                <c:pt idx="2487">
                  <c:v>39407</c:v>
                </c:pt>
                <c:pt idx="2488">
                  <c:v>39409</c:v>
                </c:pt>
                <c:pt idx="2489">
                  <c:v>39412</c:v>
                </c:pt>
                <c:pt idx="2490">
                  <c:v>39413</c:v>
                </c:pt>
                <c:pt idx="2491">
                  <c:v>39414</c:v>
                </c:pt>
                <c:pt idx="2492">
                  <c:v>39415</c:v>
                </c:pt>
                <c:pt idx="2493">
                  <c:v>39416</c:v>
                </c:pt>
                <c:pt idx="2494">
                  <c:v>39419</c:v>
                </c:pt>
                <c:pt idx="2495">
                  <c:v>39420</c:v>
                </c:pt>
                <c:pt idx="2496">
                  <c:v>39421</c:v>
                </c:pt>
                <c:pt idx="2497">
                  <c:v>39422</c:v>
                </c:pt>
                <c:pt idx="2498">
                  <c:v>39423</c:v>
                </c:pt>
                <c:pt idx="2499">
                  <c:v>39426</c:v>
                </c:pt>
                <c:pt idx="2500">
                  <c:v>39427</c:v>
                </c:pt>
                <c:pt idx="2501">
                  <c:v>39428</c:v>
                </c:pt>
                <c:pt idx="2502">
                  <c:v>39429</c:v>
                </c:pt>
                <c:pt idx="2503">
                  <c:v>39430</c:v>
                </c:pt>
                <c:pt idx="2504">
                  <c:v>39433</c:v>
                </c:pt>
                <c:pt idx="2505">
                  <c:v>39434</c:v>
                </c:pt>
                <c:pt idx="2506">
                  <c:v>39435</c:v>
                </c:pt>
                <c:pt idx="2507">
                  <c:v>39436</c:v>
                </c:pt>
                <c:pt idx="2508">
                  <c:v>39437</c:v>
                </c:pt>
                <c:pt idx="2509">
                  <c:v>39440</c:v>
                </c:pt>
                <c:pt idx="2510">
                  <c:v>39442</c:v>
                </c:pt>
                <c:pt idx="2511">
                  <c:v>39443</c:v>
                </c:pt>
                <c:pt idx="2512">
                  <c:v>39444</c:v>
                </c:pt>
                <c:pt idx="2513">
                  <c:v>39447</c:v>
                </c:pt>
                <c:pt idx="2514">
                  <c:v>39449</c:v>
                </c:pt>
                <c:pt idx="2515">
                  <c:v>39450</c:v>
                </c:pt>
                <c:pt idx="2516">
                  <c:v>39451</c:v>
                </c:pt>
                <c:pt idx="2517">
                  <c:v>39454</c:v>
                </c:pt>
                <c:pt idx="2518">
                  <c:v>39455</c:v>
                </c:pt>
                <c:pt idx="2519">
                  <c:v>39456</c:v>
                </c:pt>
                <c:pt idx="2520">
                  <c:v>39457</c:v>
                </c:pt>
                <c:pt idx="2521">
                  <c:v>39458</c:v>
                </c:pt>
                <c:pt idx="2522">
                  <c:v>39461</c:v>
                </c:pt>
                <c:pt idx="2523">
                  <c:v>39462</c:v>
                </c:pt>
                <c:pt idx="2524">
                  <c:v>39463</c:v>
                </c:pt>
                <c:pt idx="2525">
                  <c:v>39464</c:v>
                </c:pt>
                <c:pt idx="2526">
                  <c:v>39465</c:v>
                </c:pt>
                <c:pt idx="2527">
                  <c:v>39469</c:v>
                </c:pt>
                <c:pt idx="2528">
                  <c:v>39470</c:v>
                </c:pt>
                <c:pt idx="2529">
                  <c:v>39471</c:v>
                </c:pt>
                <c:pt idx="2530">
                  <c:v>39472</c:v>
                </c:pt>
                <c:pt idx="2531">
                  <c:v>39475</c:v>
                </c:pt>
                <c:pt idx="2532">
                  <c:v>39476</c:v>
                </c:pt>
                <c:pt idx="2533">
                  <c:v>39477</c:v>
                </c:pt>
                <c:pt idx="2534">
                  <c:v>39478</c:v>
                </c:pt>
                <c:pt idx="2535">
                  <c:v>39479</c:v>
                </c:pt>
                <c:pt idx="2536">
                  <c:v>39482</c:v>
                </c:pt>
                <c:pt idx="2537">
                  <c:v>39483</c:v>
                </c:pt>
                <c:pt idx="2538">
                  <c:v>39484</c:v>
                </c:pt>
                <c:pt idx="2539">
                  <c:v>39485</c:v>
                </c:pt>
                <c:pt idx="2540">
                  <c:v>39486</c:v>
                </c:pt>
                <c:pt idx="2541">
                  <c:v>39489</c:v>
                </c:pt>
                <c:pt idx="2542">
                  <c:v>39490</c:v>
                </c:pt>
                <c:pt idx="2543">
                  <c:v>39491</c:v>
                </c:pt>
                <c:pt idx="2544">
                  <c:v>39492</c:v>
                </c:pt>
                <c:pt idx="2545">
                  <c:v>39493</c:v>
                </c:pt>
                <c:pt idx="2546">
                  <c:v>39497</c:v>
                </c:pt>
                <c:pt idx="2547">
                  <c:v>39498</c:v>
                </c:pt>
                <c:pt idx="2548">
                  <c:v>39499</c:v>
                </c:pt>
                <c:pt idx="2549">
                  <c:v>39500</c:v>
                </c:pt>
                <c:pt idx="2550">
                  <c:v>39503</c:v>
                </c:pt>
                <c:pt idx="2551">
                  <c:v>39504</c:v>
                </c:pt>
                <c:pt idx="2552">
                  <c:v>39505</c:v>
                </c:pt>
                <c:pt idx="2553">
                  <c:v>39506</c:v>
                </c:pt>
                <c:pt idx="2554">
                  <c:v>39507</c:v>
                </c:pt>
                <c:pt idx="2555">
                  <c:v>39510</c:v>
                </c:pt>
                <c:pt idx="2556">
                  <c:v>39511</c:v>
                </c:pt>
                <c:pt idx="2557">
                  <c:v>39512</c:v>
                </c:pt>
                <c:pt idx="2558">
                  <c:v>39513</c:v>
                </c:pt>
                <c:pt idx="2559">
                  <c:v>39514</c:v>
                </c:pt>
                <c:pt idx="2560">
                  <c:v>39517</c:v>
                </c:pt>
                <c:pt idx="2561">
                  <c:v>39518</c:v>
                </c:pt>
                <c:pt idx="2562">
                  <c:v>39519</c:v>
                </c:pt>
                <c:pt idx="2563">
                  <c:v>39520</c:v>
                </c:pt>
                <c:pt idx="2564">
                  <c:v>39521</c:v>
                </c:pt>
                <c:pt idx="2565">
                  <c:v>39524</c:v>
                </c:pt>
                <c:pt idx="2566">
                  <c:v>39525</c:v>
                </c:pt>
                <c:pt idx="2567">
                  <c:v>39526</c:v>
                </c:pt>
                <c:pt idx="2568">
                  <c:v>39527</c:v>
                </c:pt>
                <c:pt idx="2569">
                  <c:v>39531</c:v>
                </c:pt>
                <c:pt idx="2570">
                  <c:v>39532</c:v>
                </c:pt>
                <c:pt idx="2571">
                  <c:v>39533</c:v>
                </c:pt>
                <c:pt idx="2572">
                  <c:v>39534</c:v>
                </c:pt>
                <c:pt idx="2573">
                  <c:v>39535</c:v>
                </c:pt>
                <c:pt idx="2574">
                  <c:v>39538</c:v>
                </c:pt>
                <c:pt idx="2575">
                  <c:v>39539</c:v>
                </c:pt>
                <c:pt idx="2576">
                  <c:v>39540</c:v>
                </c:pt>
                <c:pt idx="2577">
                  <c:v>39541</c:v>
                </c:pt>
                <c:pt idx="2578">
                  <c:v>39542</c:v>
                </c:pt>
                <c:pt idx="2579">
                  <c:v>39545</c:v>
                </c:pt>
                <c:pt idx="2580">
                  <c:v>39546</c:v>
                </c:pt>
                <c:pt idx="2581">
                  <c:v>39547</c:v>
                </c:pt>
                <c:pt idx="2582">
                  <c:v>39548</c:v>
                </c:pt>
                <c:pt idx="2583">
                  <c:v>39549</c:v>
                </c:pt>
                <c:pt idx="2584">
                  <c:v>39552</c:v>
                </c:pt>
                <c:pt idx="2585">
                  <c:v>39553</c:v>
                </c:pt>
                <c:pt idx="2586">
                  <c:v>39554</c:v>
                </c:pt>
                <c:pt idx="2587">
                  <c:v>39555</c:v>
                </c:pt>
                <c:pt idx="2588">
                  <c:v>39556</c:v>
                </c:pt>
                <c:pt idx="2589">
                  <c:v>39559</c:v>
                </c:pt>
                <c:pt idx="2590">
                  <c:v>39560</c:v>
                </c:pt>
                <c:pt idx="2591">
                  <c:v>39561</c:v>
                </c:pt>
                <c:pt idx="2592">
                  <c:v>39562</c:v>
                </c:pt>
                <c:pt idx="2593">
                  <c:v>39563</c:v>
                </c:pt>
                <c:pt idx="2594">
                  <c:v>39566</c:v>
                </c:pt>
                <c:pt idx="2595">
                  <c:v>39567</c:v>
                </c:pt>
                <c:pt idx="2596">
                  <c:v>39568</c:v>
                </c:pt>
                <c:pt idx="2597">
                  <c:v>39569</c:v>
                </c:pt>
                <c:pt idx="2598">
                  <c:v>39570</c:v>
                </c:pt>
                <c:pt idx="2599">
                  <c:v>39573</c:v>
                </c:pt>
                <c:pt idx="2600">
                  <c:v>39574</c:v>
                </c:pt>
                <c:pt idx="2601">
                  <c:v>39575</c:v>
                </c:pt>
                <c:pt idx="2602">
                  <c:v>39576</c:v>
                </c:pt>
                <c:pt idx="2603">
                  <c:v>39577</c:v>
                </c:pt>
                <c:pt idx="2604">
                  <c:v>39580</c:v>
                </c:pt>
                <c:pt idx="2605">
                  <c:v>39581</c:v>
                </c:pt>
                <c:pt idx="2606">
                  <c:v>39582</c:v>
                </c:pt>
                <c:pt idx="2607">
                  <c:v>39583</c:v>
                </c:pt>
                <c:pt idx="2608">
                  <c:v>39584</c:v>
                </c:pt>
                <c:pt idx="2609">
                  <c:v>39587</c:v>
                </c:pt>
                <c:pt idx="2610">
                  <c:v>39588</c:v>
                </c:pt>
                <c:pt idx="2611">
                  <c:v>39589</c:v>
                </c:pt>
                <c:pt idx="2612">
                  <c:v>39590</c:v>
                </c:pt>
                <c:pt idx="2613">
                  <c:v>39591</c:v>
                </c:pt>
                <c:pt idx="2614">
                  <c:v>39595</c:v>
                </c:pt>
                <c:pt idx="2615">
                  <c:v>39596</c:v>
                </c:pt>
                <c:pt idx="2616">
                  <c:v>39597</c:v>
                </c:pt>
                <c:pt idx="2617">
                  <c:v>39598</c:v>
                </c:pt>
                <c:pt idx="2618">
                  <c:v>39601</c:v>
                </c:pt>
                <c:pt idx="2619">
                  <c:v>39602</c:v>
                </c:pt>
                <c:pt idx="2620">
                  <c:v>39603</c:v>
                </c:pt>
                <c:pt idx="2621">
                  <c:v>39604</c:v>
                </c:pt>
                <c:pt idx="2622">
                  <c:v>39605</c:v>
                </c:pt>
                <c:pt idx="2623">
                  <c:v>39608</c:v>
                </c:pt>
                <c:pt idx="2624">
                  <c:v>39609</c:v>
                </c:pt>
                <c:pt idx="2625">
                  <c:v>39610</c:v>
                </c:pt>
                <c:pt idx="2626">
                  <c:v>39611</c:v>
                </c:pt>
                <c:pt idx="2627">
                  <c:v>39612</c:v>
                </c:pt>
                <c:pt idx="2628">
                  <c:v>39615</c:v>
                </c:pt>
                <c:pt idx="2629">
                  <c:v>39616</c:v>
                </c:pt>
                <c:pt idx="2630">
                  <c:v>39617</c:v>
                </c:pt>
                <c:pt idx="2631">
                  <c:v>39618</c:v>
                </c:pt>
                <c:pt idx="2632">
                  <c:v>39619</c:v>
                </c:pt>
                <c:pt idx="2633">
                  <c:v>39622</c:v>
                </c:pt>
                <c:pt idx="2634">
                  <c:v>39623</c:v>
                </c:pt>
                <c:pt idx="2635">
                  <c:v>39624</c:v>
                </c:pt>
                <c:pt idx="2636">
                  <c:v>39625</c:v>
                </c:pt>
                <c:pt idx="2637">
                  <c:v>39626</c:v>
                </c:pt>
                <c:pt idx="2638">
                  <c:v>39629</c:v>
                </c:pt>
                <c:pt idx="2639">
                  <c:v>39630</c:v>
                </c:pt>
                <c:pt idx="2640">
                  <c:v>39631</c:v>
                </c:pt>
                <c:pt idx="2641">
                  <c:v>39632</c:v>
                </c:pt>
                <c:pt idx="2642">
                  <c:v>39636</c:v>
                </c:pt>
                <c:pt idx="2643">
                  <c:v>39637</c:v>
                </c:pt>
                <c:pt idx="2644">
                  <c:v>39638</c:v>
                </c:pt>
                <c:pt idx="2645">
                  <c:v>39639</c:v>
                </c:pt>
                <c:pt idx="2646">
                  <c:v>39640</c:v>
                </c:pt>
                <c:pt idx="2647">
                  <c:v>39643</c:v>
                </c:pt>
                <c:pt idx="2648">
                  <c:v>39644</c:v>
                </c:pt>
                <c:pt idx="2649">
                  <c:v>39645</c:v>
                </c:pt>
                <c:pt idx="2650">
                  <c:v>39646</c:v>
                </c:pt>
                <c:pt idx="2651">
                  <c:v>39647</c:v>
                </c:pt>
                <c:pt idx="2652">
                  <c:v>39650</c:v>
                </c:pt>
                <c:pt idx="2653">
                  <c:v>39651</c:v>
                </c:pt>
                <c:pt idx="2654">
                  <c:v>39652</c:v>
                </c:pt>
                <c:pt idx="2655">
                  <c:v>39653</c:v>
                </c:pt>
                <c:pt idx="2656">
                  <c:v>39654</c:v>
                </c:pt>
                <c:pt idx="2657">
                  <c:v>39657</c:v>
                </c:pt>
                <c:pt idx="2658">
                  <c:v>39658</c:v>
                </c:pt>
                <c:pt idx="2659">
                  <c:v>39659</c:v>
                </c:pt>
                <c:pt idx="2660">
                  <c:v>39660</c:v>
                </c:pt>
                <c:pt idx="2661">
                  <c:v>39661</c:v>
                </c:pt>
                <c:pt idx="2662">
                  <c:v>39664</c:v>
                </c:pt>
                <c:pt idx="2663">
                  <c:v>39665</c:v>
                </c:pt>
                <c:pt idx="2664">
                  <c:v>39666</c:v>
                </c:pt>
                <c:pt idx="2665">
                  <c:v>39667</c:v>
                </c:pt>
                <c:pt idx="2666">
                  <c:v>39668</c:v>
                </c:pt>
                <c:pt idx="2667">
                  <c:v>39671</c:v>
                </c:pt>
                <c:pt idx="2668">
                  <c:v>39672</c:v>
                </c:pt>
                <c:pt idx="2669">
                  <c:v>39673</c:v>
                </c:pt>
                <c:pt idx="2670">
                  <c:v>39674</c:v>
                </c:pt>
                <c:pt idx="2671">
                  <c:v>39675</c:v>
                </c:pt>
                <c:pt idx="2672">
                  <c:v>39678</c:v>
                </c:pt>
                <c:pt idx="2673">
                  <c:v>39679</c:v>
                </c:pt>
                <c:pt idx="2674">
                  <c:v>39680</c:v>
                </c:pt>
                <c:pt idx="2675">
                  <c:v>39681</c:v>
                </c:pt>
                <c:pt idx="2676">
                  <c:v>39682</c:v>
                </c:pt>
                <c:pt idx="2677">
                  <c:v>39685</c:v>
                </c:pt>
                <c:pt idx="2678">
                  <c:v>39686</c:v>
                </c:pt>
                <c:pt idx="2679">
                  <c:v>39687</c:v>
                </c:pt>
                <c:pt idx="2680">
                  <c:v>39688</c:v>
                </c:pt>
                <c:pt idx="2681">
                  <c:v>39689</c:v>
                </c:pt>
                <c:pt idx="2682">
                  <c:v>39693</c:v>
                </c:pt>
                <c:pt idx="2683">
                  <c:v>39694</c:v>
                </c:pt>
                <c:pt idx="2684">
                  <c:v>39695</c:v>
                </c:pt>
                <c:pt idx="2685">
                  <c:v>39696</c:v>
                </c:pt>
                <c:pt idx="2686">
                  <c:v>39699</c:v>
                </c:pt>
                <c:pt idx="2687">
                  <c:v>39700</c:v>
                </c:pt>
                <c:pt idx="2688">
                  <c:v>39701</c:v>
                </c:pt>
                <c:pt idx="2689">
                  <c:v>39702</c:v>
                </c:pt>
                <c:pt idx="2690">
                  <c:v>39703</c:v>
                </c:pt>
                <c:pt idx="2691">
                  <c:v>39706</c:v>
                </c:pt>
                <c:pt idx="2692">
                  <c:v>39707</c:v>
                </c:pt>
                <c:pt idx="2693">
                  <c:v>39708</c:v>
                </c:pt>
                <c:pt idx="2694">
                  <c:v>39709</c:v>
                </c:pt>
                <c:pt idx="2695">
                  <c:v>39710</c:v>
                </c:pt>
                <c:pt idx="2696">
                  <c:v>39713</c:v>
                </c:pt>
                <c:pt idx="2697">
                  <c:v>39714</c:v>
                </c:pt>
                <c:pt idx="2698">
                  <c:v>39715</c:v>
                </c:pt>
                <c:pt idx="2699">
                  <c:v>39716</c:v>
                </c:pt>
                <c:pt idx="2700">
                  <c:v>39717</c:v>
                </c:pt>
                <c:pt idx="2701">
                  <c:v>39720</c:v>
                </c:pt>
                <c:pt idx="2702">
                  <c:v>39721</c:v>
                </c:pt>
                <c:pt idx="2703">
                  <c:v>39722</c:v>
                </c:pt>
                <c:pt idx="2704">
                  <c:v>39723</c:v>
                </c:pt>
                <c:pt idx="2705">
                  <c:v>39724</c:v>
                </c:pt>
                <c:pt idx="2706">
                  <c:v>39727</c:v>
                </c:pt>
                <c:pt idx="2707">
                  <c:v>39728</c:v>
                </c:pt>
                <c:pt idx="2708">
                  <c:v>39729</c:v>
                </c:pt>
                <c:pt idx="2709">
                  <c:v>39730</c:v>
                </c:pt>
                <c:pt idx="2710">
                  <c:v>39731</c:v>
                </c:pt>
                <c:pt idx="2711">
                  <c:v>39734</c:v>
                </c:pt>
                <c:pt idx="2712">
                  <c:v>39735</c:v>
                </c:pt>
                <c:pt idx="2713">
                  <c:v>39736</c:v>
                </c:pt>
                <c:pt idx="2714">
                  <c:v>39737</c:v>
                </c:pt>
                <c:pt idx="2715">
                  <c:v>39738</c:v>
                </c:pt>
                <c:pt idx="2716">
                  <c:v>39741</c:v>
                </c:pt>
                <c:pt idx="2717">
                  <c:v>39742</c:v>
                </c:pt>
                <c:pt idx="2718">
                  <c:v>39743</c:v>
                </c:pt>
                <c:pt idx="2719">
                  <c:v>39744</c:v>
                </c:pt>
                <c:pt idx="2720">
                  <c:v>39745</c:v>
                </c:pt>
                <c:pt idx="2721">
                  <c:v>39748</c:v>
                </c:pt>
                <c:pt idx="2722">
                  <c:v>39749</c:v>
                </c:pt>
                <c:pt idx="2723">
                  <c:v>39750</c:v>
                </c:pt>
                <c:pt idx="2724">
                  <c:v>39751</c:v>
                </c:pt>
                <c:pt idx="2725">
                  <c:v>39752</c:v>
                </c:pt>
                <c:pt idx="2726">
                  <c:v>39755</c:v>
                </c:pt>
                <c:pt idx="2727">
                  <c:v>39756</c:v>
                </c:pt>
                <c:pt idx="2728">
                  <c:v>39757</c:v>
                </c:pt>
                <c:pt idx="2729">
                  <c:v>39758</c:v>
                </c:pt>
                <c:pt idx="2730">
                  <c:v>39759</c:v>
                </c:pt>
                <c:pt idx="2731">
                  <c:v>39762</c:v>
                </c:pt>
                <c:pt idx="2732">
                  <c:v>39763</c:v>
                </c:pt>
                <c:pt idx="2733">
                  <c:v>39764</c:v>
                </c:pt>
                <c:pt idx="2734">
                  <c:v>39765</c:v>
                </c:pt>
                <c:pt idx="2735">
                  <c:v>39766</c:v>
                </c:pt>
                <c:pt idx="2736">
                  <c:v>39769</c:v>
                </c:pt>
                <c:pt idx="2737">
                  <c:v>39770</c:v>
                </c:pt>
              </c:numCache>
            </c:numRef>
          </c:cat>
          <c:val>
            <c:numRef>
              <c:f>'Exhibit 3'!$D$6:$D$2743</c:f>
              <c:numCache>
                <c:formatCode>General</c:formatCode>
                <c:ptCount val="2738"/>
                <c:pt idx="0">
                  <c:v>22.1875</c:v>
                </c:pt>
                <c:pt idx="1">
                  <c:v>21.75</c:v>
                </c:pt>
                <c:pt idx="2">
                  <c:v>21.78125</c:v>
                </c:pt>
                <c:pt idx="3">
                  <c:v>21.71875</c:v>
                </c:pt>
                <c:pt idx="4">
                  <c:v>21.875</c:v>
                </c:pt>
                <c:pt idx="5">
                  <c:v>21.96875</c:v>
                </c:pt>
                <c:pt idx="6">
                  <c:v>22.46875</c:v>
                </c:pt>
                <c:pt idx="7">
                  <c:v>21.90625</c:v>
                </c:pt>
                <c:pt idx="8">
                  <c:v>21.71875</c:v>
                </c:pt>
                <c:pt idx="9">
                  <c:v>22.03125</c:v>
                </c:pt>
                <c:pt idx="10">
                  <c:v>22.25</c:v>
                </c:pt>
                <c:pt idx="11">
                  <c:v>22.4375</c:v>
                </c:pt>
                <c:pt idx="12">
                  <c:v>22.03125</c:v>
                </c:pt>
                <c:pt idx="13">
                  <c:v>22.6875</c:v>
                </c:pt>
                <c:pt idx="14">
                  <c:v>22.375</c:v>
                </c:pt>
                <c:pt idx="15">
                  <c:v>22.28125</c:v>
                </c:pt>
                <c:pt idx="16">
                  <c:v>22.375</c:v>
                </c:pt>
                <c:pt idx="17">
                  <c:v>22</c:v>
                </c:pt>
                <c:pt idx="18">
                  <c:v>22.375</c:v>
                </c:pt>
                <c:pt idx="19">
                  <c:v>22.46875</c:v>
                </c:pt>
                <c:pt idx="20">
                  <c:v>22.625</c:v>
                </c:pt>
                <c:pt idx="21">
                  <c:v>22.46875</c:v>
                </c:pt>
                <c:pt idx="22">
                  <c:v>22.59375</c:v>
                </c:pt>
                <c:pt idx="23">
                  <c:v>22.34375</c:v>
                </c:pt>
                <c:pt idx="24">
                  <c:v>22.65625</c:v>
                </c:pt>
                <c:pt idx="25">
                  <c:v>23.15625</c:v>
                </c:pt>
                <c:pt idx="26">
                  <c:v>23.25</c:v>
                </c:pt>
                <c:pt idx="27">
                  <c:v>23.25</c:v>
                </c:pt>
                <c:pt idx="28">
                  <c:v>23.28125</c:v>
                </c:pt>
                <c:pt idx="29">
                  <c:v>23.21875</c:v>
                </c:pt>
                <c:pt idx="30">
                  <c:v>23.3125</c:v>
                </c:pt>
                <c:pt idx="31">
                  <c:v>23.71875</c:v>
                </c:pt>
                <c:pt idx="32">
                  <c:v>23.75</c:v>
                </c:pt>
                <c:pt idx="33">
                  <c:v>23.4375</c:v>
                </c:pt>
                <c:pt idx="34">
                  <c:v>23.21875</c:v>
                </c:pt>
                <c:pt idx="35">
                  <c:v>23.15625</c:v>
                </c:pt>
                <c:pt idx="36">
                  <c:v>23.25</c:v>
                </c:pt>
                <c:pt idx="37">
                  <c:v>23.46875</c:v>
                </c:pt>
                <c:pt idx="38">
                  <c:v>23.4375</c:v>
                </c:pt>
                <c:pt idx="39">
                  <c:v>23.4375</c:v>
                </c:pt>
                <c:pt idx="40">
                  <c:v>23.46875</c:v>
                </c:pt>
                <c:pt idx="41">
                  <c:v>23.375</c:v>
                </c:pt>
                <c:pt idx="42">
                  <c:v>23.21875</c:v>
                </c:pt>
                <c:pt idx="43">
                  <c:v>23.4375</c:v>
                </c:pt>
                <c:pt idx="44">
                  <c:v>23.4375</c:v>
                </c:pt>
                <c:pt idx="45">
                  <c:v>23.4375</c:v>
                </c:pt>
                <c:pt idx="46">
                  <c:v>23.4375</c:v>
                </c:pt>
                <c:pt idx="47">
                  <c:v>23.4375</c:v>
                </c:pt>
                <c:pt idx="48">
                  <c:v>23.53125</c:v>
                </c:pt>
                <c:pt idx="49">
                  <c:v>23.46875</c:v>
                </c:pt>
                <c:pt idx="50">
                  <c:v>23.4375</c:v>
                </c:pt>
                <c:pt idx="51">
                  <c:v>23.34375</c:v>
                </c:pt>
                <c:pt idx="52">
                  <c:v>23.40625</c:v>
                </c:pt>
                <c:pt idx="53">
                  <c:v>23.75</c:v>
                </c:pt>
                <c:pt idx="54">
                  <c:v>23.625</c:v>
                </c:pt>
                <c:pt idx="55">
                  <c:v>23.5</c:v>
                </c:pt>
                <c:pt idx="56">
                  <c:v>23.25</c:v>
                </c:pt>
                <c:pt idx="57">
                  <c:v>23.28125</c:v>
                </c:pt>
                <c:pt idx="58">
                  <c:v>23.28125</c:v>
                </c:pt>
                <c:pt idx="59">
                  <c:v>23.21875</c:v>
                </c:pt>
                <c:pt idx="60">
                  <c:v>23.125</c:v>
                </c:pt>
                <c:pt idx="61">
                  <c:v>23.5625</c:v>
                </c:pt>
                <c:pt idx="62">
                  <c:v>24.46875</c:v>
                </c:pt>
                <c:pt idx="63">
                  <c:v>24.625</c:v>
                </c:pt>
                <c:pt idx="64">
                  <c:v>24.53125</c:v>
                </c:pt>
                <c:pt idx="65">
                  <c:v>24.3125</c:v>
                </c:pt>
                <c:pt idx="66">
                  <c:v>23.78125</c:v>
                </c:pt>
                <c:pt idx="67">
                  <c:v>24.0625</c:v>
                </c:pt>
                <c:pt idx="68">
                  <c:v>24</c:v>
                </c:pt>
                <c:pt idx="69">
                  <c:v>24.0625</c:v>
                </c:pt>
                <c:pt idx="70">
                  <c:v>23.9375</c:v>
                </c:pt>
                <c:pt idx="71">
                  <c:v>23.90625</c:v>
                </c:pt>
                <c:pt idx="72">
                  <c:v>24.21875</c:v>
                </c:pt>
                <c:pt idx="73">
                  <c:v>24.09375</c:v>
                </c:pt>
                <c:pt idx="74">
                  <c:v>23.65625</c:v>
                </c:pt>
                <c:pt idx="75">
                  <c:v>23.625</c:v>
                </c:pt>
                <c:pt idx="76">
                  <c:v>23.375</c:v>
                </c:pt>
                <c:pt idx="77">
                  <c:v>23.15625</c:v>
                </c:pt>
                <c:pt idx="78">
                  <c:v>23.15625</c:v>
                </c:pt>
                <c:pt idx="79">
                  <c:v>22.96875</c:v>
                </c:pt>
                <c:pt idx="80">
                  <c:v>22.8125</c:v>
                </c:pt>
                <c:pt idx="81">
                  <c:v>22.90625</c:v>
                </c:pt>
                <c:pt idx="82">
                  <c:v>23.4375</c:v>
                </c:pt>
                <c:pt idx="83">
                  <c:v>23.59375</c:v>
                </c:pt>
                <c:pt idx="84">
                  <c:v>23.09375</c:v>
                </c:pt>
                <c:pt idx="85">
                  <c:v>22.75</c:v>
                </c:pt>
                <c:pt idx="86">
                  <c:v>22.71875</c:v>
                </c:pt>
                <c:pt idx="87">
                  <c:v>23.09375</c:v>
                </c:pt>
                <c:pt idx="88">
                  <c:v>23.46875</c:v>
                </c:pt>
                <c:pt idx="89">
                  <c:v>23.59375</c:v>
                </c:pt>
                <c:pt idx="90">
                  <c:v>23.46875</c:v>
                </c:pt>
                <c:pt idx="91">
                  <c:v>23.5625</c:v>
                </c:pt>
                <c:pt idx="92">
                  <c:v>23.28125</c:v>
                </c:pt>
                <c:pt idx="93">
                  <c:v>23.28125</c:v>
                </c:pt>
                <c:pt idx="94">
                  <c:v>23.46875</c:v>
                </c:pt>
                <c:pt idx="95">
                  <c:v>23.375</c:v>
                </c:pt>
                <c:pt idx="96">
                  <c:v>23.21875</c:v>
                </c:pt>
                <c:pt idx="97">
                  <c:v>23.0625</c:v>
                </c:pt>
                <c:pt idx="98">
                  <c:v>23.03125</c:v>
                </c:pt>
                <c:pt idx="99">
                  <c:v>23.09375</c:v>
                </c:pt>
                <c:pt idx="100">
                  <c:v>23.0625</c:v>
                </c:pt>
                <c:pt idx="101">
                  <c:v>22.96875</c:v>
                </c:pt>
                <c:pt idx="102">
                  <c:v>23.40625</c:v>
                </c:pt>
                <c:pt idx="103">
                  <c:v>23.4375</c:v>
                </c:pt>
                <c:pt idx="104">
                  <c:v>23.3125</c:v>
                </c:pt>
                <c:pt idx="105">
                  <c:v>23.25</c:v>
                </c:pt>
                <c:pt idx="106">
                  <c:v>23.8125</c:v>
                </c:pt>
                <c:pt idx="107">
                  <c:v>23.84375</c:v>
                </c:pt>
                <c:pt idx="108">
                  <c:v>23.875</c:v>
                </c:pt>
                <c:pt idx="109">
                  <c:v>23.96875</c:v>
                </c:pt>
                <c:pt idx="110">
                  <c:v>23.78125</c:v>
                </c:pt>
                <c:pt idx="111">
                  <c:v>23.78125</c:v>
                </c:pt>
                <c:pt idx="112">
                  <c:v>23.75</c:v>
                </c:pt>
                <c:pt idx="113">
                  <c:v>23.75</c:v>
                </c:pt>
                <c:pt idx="114">
                  <c:v>23.75</c:v>
                </c:pt>
                <c:pt idx="115">
                  <c:v>23.75</c:v>
                </c:pt>
                <c:pt idx="116">
                  <c:v>23.65625</c:v>
                </c:pt>
                <c:pt idx="117">
                  <c:v>23.875</c:v>
                </c:pt>
                <c:pt idx="118">
                  <c:v>24.3125</c:v>
                </c:pt>
                <c:pt idx="119">
                  <c:v>23.625</c:v>
                </c:pt>
                <c:pt idx="120">
                  <c:v>23.34375</c:v>
                </c:pt>
                <c:pt idx="121">
                  <c:v>23.8125</c:v>
                </c:pt>
                <c:pt idx="122">
                  <c:v>23.71875</c:v>
                </c:pt>
                <c:pt idx="123">
                  <c:v>23.59375</c:v>
                </c:pt>
                <c:pt idx="124">
                  <c:v>24</c:v>
                </c:pt>
                <c:pt idx="125">
                  <c:v>24.03125</c:v>
                </c:pt>
                <c:pt idx="126">
                  <c:v>24.15625</c:v>
                </c:pt>
                <c:pt idx="127">
                  <c:v>24.03125</c:v>
                </c:pt>
                <c:pt idx="128">
                  <c:v>24</c:v>
                </c:pt>
                <c:pt idx="129">
                  <c:v>23.96875</c:v>
                </c:pt>
                <c:pt idx="130">
                  <c:v>24</c:v>
                </c:pt>
                <c:pt idx="131">
                  <c:v>24.0625</c:v>
                </c:pt>
                <c:pt idx="132">
                  <c:v>24.3125</c:v>
                </c:pt>
                <c:pt idx="133">
                  <c:v>24.4375</c:v>
                </c:pt>
                <c:pt idx="134">
                  <c:v>25.40625</c:v>
                </c:pt>
                <c:pt idx="135">
                  <c:v>25.4375</c:v>
                </c:pt>
                <c:pt idx="136">
                  <c:v>24.96875</c:v>
                </c:pt>
                <c:pt idx="137">
                  <c:v>24.84375</c:v>
                </c:pt>
                <c:pt idx="138">
                  <c:v>25.375</c:v>
                </c:pt>
                <c:pt idx="139">
                  <c:v>26.1875</c:v>
                </c:pt>
                <c:pt idx="140">
                  <c:v>26.5625</c:v>
                </c:pt>
                <c:pt idx="141">
                  <c:v>26</c:v>
                </c:pt>
                <c:pt idx="142">
                  <c:v>25.46875</c:v>
                </c:pt>
                <c:pt idx="143">
                  <c:v>25.0625</c:v>
                </c:pt>
                <c:pt idx="144">
                  <c:v>25.3125</c:v>
                </c:pt>
                <c:pt idx="145">
                  <c:v>25.90625</c:v>
                </c:pt>
                <c:pt idx="146">
                  <c:v>25.84375</c:v>
                </c:pt>
                <c:pt idx="147">
                  <c:v>25.84375</c:v>
                </c:pt>
                <c:pt idx="148">
                  <c:v>25.4375</c:v>
                </c:pt>
                <c:pt idx="149">
                  <c:v>25.375</c:v>
                </c:pt>
                <c:pt idx="150">
                  <c:v>25.0625</c:v>
                </c:pt>
                <c:pt idx="151">
                  <c:v>25.3125</c:v>
                </c:pt>
                <c:pt idx="152">
                  <c:v>25.21875</c:v>
                </c:pt>
                <c:pt idx="153">
                  <c:v>25.4375</c:v>
                </c:pt>
                <c:pt idx="154">
                  <c:v>25.1875</c:v>
                </c:pt>
                <c:pt idx="155">
                  <c:v>25.15625</c:v>
                </c:pt>
                <c:pt idx="156">
                  <c:v>25.125</c:v>
                </c:pt>
                <c:pt idx="157">
                  <c:v>25.3125</c:v>
                </c:pt>
                <c:pt idx="158">
                  <c:v>25.25</c:v>
                </c:pt>
                <c:pt idx="159">
                  <c:v>24.96875</c:v>
                </c:pt>
                <c:pt idx="160">
                  <c:v>24.84375</c:v>
                </c:pt>
                <c:pt idx="161">
                  <c:v>25.25</c:v>
                </c:pt>
                <c:pt idx="162">
                  <c:v>25.0625</c:v>
                </c:pt>
                <c:pt idx="163">
                  <c:v>24.59375</c:v>
                </c:pt>
                <c:pt idx="164">
                  <c:v>24.6875</c:v>
                </c:pt>
                <c:pt idx="165">
                  <c:v>24.25</c:v>
                </c:pt>
                <c:pt idx="166">
                  <c:v>23.375</c:v>
                </c:pt>
                <c:pt idx="167">
                  <c:v>24.40625</c:v>
                </c:pt>
                <c:pt idx="168">
                  <c:v>24.375</c:v>
                </c:pt>
                <c:pt idx="169">
                  <c:v>24.90625</c:v>
                </c:pt>
                <c:pt idx="170">
                  <c:v>25.59375</c:v>
                </c:pt>
                <c:pt idx="171">
                  <c:v>26.125</c:v>
                </c:pt>
                <c:pt idx="172">
                  <c:v>26.3125</c:v>
                </c:pt>
                <c:pt idx="173">
                  <c:v>26.25</c:v>
                </c:pt>
                <c:pt idx="174">
                  <c:v>27.09375</c:v>
                </c:pt>
                <c:pt idx="175">
                  <c:v>28.09375</c:v>
                </c:pt>
                <c:pt idx="176">
                  <c:v>28.34375</c:v>
                </c:pt>
                <c:pt idx="177">
                  <c:v>28.125</c:v>
                </c:pt>
                <c:pt idx="178">
                  <c:v>27.5625</c:v>
                </c:pt>
                <c:pt idx="179">
                  <c:v>27.78125</c:v>
                </c:pt>
                <c:pt idx="180">
                  <c:v>28.625</c:v>
                </c:pt>
                <c:pt idx="181">
                  <c:v>28.6875</c:v>
                </c:pt>
                <c:pt idx="182">
                  <c:v>28.46875</c:v>
                </c:pt>
                <c:pt idx="183">
                  <c:v>27.25</c:v>
                </c:pt>
                <c:pt idx="184">
                  <c:v>27.21875</c:v>
                </c:pt>
                <c:pt idx="185">
                  <c:v>27.3125</c:v>
                </c:pt>
                <c:pt idx="186">
                  <c:v>27.03125</c:v>
                </c:pt>
                <c:pt idx="187">
                  <c:v>27</c:v>
                </c:pt>
                <c:pt idx="188">
                  <c:v>26.25</c:v>
                </c:pt>
                <c:pt idx="189">
                  <c:v>27.1875</c:v>
                </c:pt>
                <c:pt idx="190">
                  <c:v>27.40625</c:v>
                </c:pt>
                <c:pt idx="191">
                  <c:v>28.40625</c:v>
                </c:pt>
                <c:pt idx="192">
                  <c:v>28.71875</c:v>
                </c:pt>
                <c:pt idx="193">
                  <c:v>27.9375</c:v>
                </c:pt>
                <c:pt idx="194">
                  <c:v>28.375</c:v>
                </c:pt>
                <c:pt idx="195">
                  <c:v>28.46875</c:v>
                </c:pt>
                <c:pt idx="196">
                  <c:v>28.90625</c:v>
                </c:pt>
                <c:pt idx="197">
                  <c:v>28.625</c:v>
                </c:pt>
                <c:pt idx="198">
                  <c:v>28.46875</c:v>
                </c:pt>
                <c:pt idx="199">
                  <c:v>27.8125</c:v>
                </c:pt>
                <c:pt idx="200">
                  <c:v>27.5625</c:v>
                </c:pt>
                <c:pt idx="201">
                  <c:v>28.46875</c:v>
                </c:pt>
                <c:pt idx="202">
                  <c:v>29.625</c:v>
                </c:pt>
                <c:pt idx="203">
                  <c:v>29.625</c:v>
                </c:pt>
                <c:pt idx="204">
                  <c:v>28.84375</c:v>
                </c:pt>
                <c:pt idx="205">
                  <c:v>28.6875</c:v>
                </c:pt>
                <c:pt idx="206">
                  <c:v>29.125</c:v>
                </c:pt>
                <c:pt idx="207">
                  <c:v>29</c:v>
                </c:pt>
                <c:pt idx="208">
                  <c:v>28.75</c:v>
                </c:pt>
                <c:pt idx="209">
                  <c:v>29.75</c:v>
                </c:pt>
                <c:pt idx="210">
                  <c:v>29.4375</c:v>
                </c:pt>
                <c:pt idx="211">
                  <c:v>28.5</c:v>
                </c:pt>
                <c:pt idx="212">
                  <c:v>28.53125</c:v>
                </c:pt>
                <c:pt idx="213">
                  <c:v>28.8125</c:v>
                </c:pt>
                <c:pt idx="214">
                  <c:v>28.5</c:v>
                </c:pt>
                <c:pt idx="215">
                  <c:v>28.59375</c:v>
                </c:pt>
                <c:pt idx="216">
                  <c:v>28.5</c:v>
                </c:pt>
                <c:pt idx="217">
                  <c:v>28.75</c:v>
                </c:pt>
                <c:pt idx="218">
                  <c:v>29.6875</c:v>
                </c:pt>
                <c:pt idx="219">
                  <c:v>29.15625</c:v>
                </c:pt>
                <c:pt idx="220">
                  <c:v>29.15625</c:v>
                </c:pt>
                <c:pt idx="221">
                  <c:v>28.9375</c:v>
                </c:pt>
                <c:pt idx="222">
                  <c:v>29.28125</c:v>
                </c:pt>
                <c:pt idx="223">
                  <c:v>29.625</c:v>
                </c:pt>
                <c:pt idx="224">
                  <c:v>29.25</c:v>
                </c:pt>
                <c:pt idx="225">
                  <c:v>30.03125</c:v>
                </c:pt>
                <c:pt idx="226">
                  <c:v>29.90625</c:v>
                </c:pt>
                <c:pt idx="227">
                  <c:v>30.0625</c:v>
                </c:pt>
                <c:pt idx="228">
                  <c:v>30</c:v>
                </c:pt>
                <c:pt idx="229">
                  <c:v>30.3125</c:v>
                </c:pt>
                <c:pt idx="230">
                  <c:v>30.96875</c:v>
                </c:pt>
                <c:pt idx="231">
                  <c:v>31.28125</c:v>
                </c:pt>
                <c:pt idx="232">
                  <c:v>31.8125</c:v>
                </c:pt>
                <c:pt idx="233">
                  <c:v>31.78125</c:v>
                </c:pt>
                <c:pt idx="234">
                  <c:v>31.78125</c:v>
                </c:pt>
                <c:pt idx="235">
                  <c:v>32</c:v>
                </c:pt>
                <c:pt idx="236">
                  <c:v>32.03125</c:v>
                </c:pt>
                <c:pt idx="237">
                  <c:v>30.625</c:v>
                </c:pt>
                <c:pt idx="238">
                  <c:v>31.625</c:v>
                </c:pt>
                <c:pt idx="239">
                  <c:v>31.0625</c:v>
                </c:pt>
                <c:pt idx="240">
                  <c:v>32.25</c:v>
                </c:pt>
                <c:pt idx="241">
                  <c:v>31.875</c:v>
                </c:pt>
                <c:pt idx="242">
                  <c:v>32.03125</c:v>
                </c:pt>
                <c:pt idx="243">
                  <c:v>32.0625</c:v>
                </c:pt>
                <c:pt idx="244">
                  <c:v>31.65625</c:v>
                </c:pt>
                <c:pt idx="245">
                  <c:v>32.25</c:v>
                </c:pt>
                <c:pt idx="246">
                  <c:v>33.25</c:v>
                </c:pt>
                <c:pt idx="247">
                  <c:v>33.0625</c:v>
                </c:pt>
                <c:pt idx="248">
                  <c:v>33.1875</c:v>
                </c:pt>
                <c:pt idx="249">
                  <c:v>34.125</c:v>
                </c:pt>
                <c:pt idx="250">
                  <c:v>33.8125</c:v>
                </c:pt>
                <c:pt idx="251">
                  <c:v>32.8125</c:v>
                </c:pt>
                <c:pt idx="252">
                  <c:v>33.03125</c:v>
                </c:pt>
                <c:pt idx="253">
                  <c:v>33.875</c:v>
                </c:pt>
                <c:pt idx="254">
                  <c:v>33.6875</c:v>
                </c:pt>
                <c:pt idx="255">
                  <c:v>33.15625</c:v>
                </c:pt>
                <c:pt idx="256">
                  <c:v>33.28125</c:v>
                </c:pt>
                <c:pt idx="257">
                  <c:v>32.8125</c:v>
                </c:pt>
                <c:pt idx="258">
                  <c:v>32.59375</c:v>
                </c:pt>
                <c:pt idx="259">
                  <c:v>33.46875</c:v>
                </c:pt>
                <c:pt idx="260">
                  <c:v>33.34375</c:v>
                </c:pt>
                <c:pt idx="261">
                  <c:v>33.875</c:v>
                </c:pt>
                <c:pt idx="262">
                  <c:v>32.9375</c:v>
                </c:pt>
                <c:pt idx="263">
                  <c:v>33.75</c:v>
                </c:pt>
                <c:pt idx="264">
                  <c:v>33.625</c:v>
                </c:pt>
                <c:pt idx="265">
                  <c:v>33.59375</c:v>
                </c:pt>
                <c:pt idx="266">
                  <c:v>33.8125</c:v>
                </c:pt>
                <c:pt idx="267">
                  <c:v>33.875</c:v>
                </c:pt>
                <c:pt idx="268">
                  <c:v>34.625</c:v>
                </c:pt>
                <c:pt idx="269">
                  <c:v>34.96875</c:v>
                </c:pt>
                <c:pt idx="270">
                  <c:v>35.34375</c:v>
                </c:pt>
                <c:pt idx="271">
                  <c:v>34.96875</c:v>
                </c:pt>
                <c:pt idx="272">
                  <c:v>35</c:v>
                </c:pt>
                <c:pt idx="273">
                  <c:v>34.46875</c:v>
                </c:pt>
                <c:pt idx="274">
                  <c:v>34.375</c:v>
                </c:pt>
                <c:pt idx="275">
                  <c:v>34.375</c:v>
                </c:pt>
                <c:pt idx="276">
                  <c:v>34</c:v>
                </c:pt>
                <c:pt idx="277">
                  <c:v>35.125</c:v>
                </c:pt>
                <c:pt idx="278">
                  <c:v>35.96875</c:v>
                </c:pt>
                <c:pt idx="279">
                  <c:v>36.40625</c:v>
                </c:pt>
                <c:pt idx="280">
                  <c:v>35.9375</c:v>
                </c:pt>
                <c:pt idx="281">
                  <c:v>36</c:v>
                </c:pt>
                <c:pt idx="282">
                  <c:v>34.96875</c:v>
                </c:pt>
                <c:pt idx="283">
                  <c:v>35.46875</c:v>
                </c:pt>
                <c:pt idx="284">
                  <c:v>35.375</c:v>
                </c:pt>
                <c:pt idx="285">
                  <c:v>36.75</c:v>
                </c:pt>
                <c:pt idx="286">
                  <c:v>36.125</c:v>
                </c:pt>
                <c:pt idx="287">
                  <c:v>36.625</c:v>
                </c:pt>
                <c:pt idx="288">
                  <c:v>37.71875</c:v>
                </c:pt>
                <c:pt idx="289">
                  <c:v>38.34375</c:v>
                </c:pt>
                <c:pt idx="290">
                  <c:v>38.3125</c:v>
                </c:pt>
                <c:pt idx="291">
                  <c:v>38.90625</c:v>
                </c:pt>
                <c:pt idx="292">
                  <c:v>39.21875</c:v>
                </c:pt>
                <c:pt idx="293">
                  <c:v>38.5</c:v>
                </c:pt>
                <c:pt idx="294">
                  <c:v>38.8125</c:v>
                </c:pt>
                <c:pt idx="295">
                  <c:v>39.03125</c:v>
                </c:pt>
                <c:pt idx="296">
                  <c:v>39.125</c:v>
                </c:pt>
                <c:pt idx="297">
                  <c:v>38.625</c:v>
                </c:pt>
                <c:pt idx="298">
                  <c:v>38.78125</c:v>
                </c:pt>
                <c:pt idx="299">
                  <c:v>38.25</c:v>
                </c:pt>
                <c:pt idx="300">
                  <c:v>37.71875</c:v>
                </c:pt>
                <c:pt idx="301">
                  <c:v>38.0625</c:v>
                </c:pt>
                <c:pt idx="302">
                  <c:v>38.5</c:v>
                </c:pt>
                <c:pt idx="303">
                  <c:v>38.5</c:v>
                </c:pt>
                <c:pt idx="304">
                  <c:v>38.03125</c:v>
                </c:pt>
                <c:pt idx="305">
                  <c:v>38.75</c:v>
                </c:pt>
                <c:pt idx="306">
                  <c:v>38.75</c:v>
                </c:pt>
                <c:pt idx="307">
                  <c:v>38.28125</c:v>
                </c:pt>
                <c:pt idx="308">
                  <c:v>37.71875</c:v>
                </c:pt>
                <c:pt idx="309">
                  <c:v>37</c:v>
                </c:pt>
                <c:pt idx="310">
                  <c:v>37.09375</c:v>
                </c:pt>
                <c:pt idx="311">
                  <c:v>37.125</c:v>
                </c:pt>
                <c:pt idx="312">
                  <c:v>38.0625</c:v>
                </c:pt>
                <c:pt idx="313">
                  <c:v>37.96875</c:v>
                </c:pt>
                <c:pt idx="314">
                  <c:v>37.53125</c:v>
                </c:pt>
                <c:pt idx="315">
                  <c:v>37.28125</c:v>
                </c:pt>
                <c:pt idx="316">
                  <c:v>37.875</c:v>
                </c:pt>
                <c:pt idx="317">
                  <c:v>38.9375</c:v>
                </c:pt>
                <c:pt idx="318">
                  <c:v>38.75</c:v>
                </c:pt>
                <c:pt idx="319">
                  <c:v>39.4375</c:v>
                </c:pt>
                <c:pt idx="320">
                  <c:v>38.5</c:v>
                </c:pt>
                <c:pt idx="321">
                  <c:v>36.5</c:v>
                </c:pt>
                <c:pt idx="322">
                  <c:v>36.875</c:v>
                </c:pt>
                <c:pt idx="323">
                  <c:v>36.875</c:v>
                </c:pt>
                <c:pt idx="324">
                  <c:v>35.6875</c:v>
                </c:pt>
                <c:pt idx="325">
                  <c:v>36.09375</c:v>
                </c:pt>
                <c:pt idx="326">
                  <c:v>37.46875</c:v>
                </c:pt>
                <c:pt idx="327">
                  <c:v>37.53125</c:v>
                </c:pt>
                <c:pt idx="328">
                  <c:v>36.90625</c:v>
                </c:pt>
                <c:pt idx="329">
                  <c:v>37.96875</c:v>
                </c:pt>
                <c:pt idx="330">
                  <c:v>37.5</c:v>
                </c:pt>
                <c:pt idx="331">
                  <c:v>37.6875</c:v>
                </c:pt>
                <c:pt idx="332">
                  <c:v>36.28125</c:v>
                </c:pt>
                <c:pt idx="333">
                  <c:v>36.5625</c:v>
                </c:pt>
                <c:pt idx="334">
                  <c:v>36.5</c:v>
                </c:pt>
                <c:pt idx="335">
                  <c:v>35.25</c:v>
                </c:pt>
                <c:pt idx="336">
                  <c:v>34.46875</c:v>
                </c:pt>
                <c:pt idx="337">
                  <c:v>34.875</c:v>
                </c:pt>
                <c:pt idx="338">
                  <c:v>35.53125</c:v>
                </c:pt>
                <c:pt idx="339">
                  <c:v>34.59375</c:v>
                </c:pt>
                <c:pt idx="340">
                  <c:v>35.1875</c:v>
                </c:pt>
                <c:pt idx="341">
                  <c:v>35.625</c:v>
                </c:pt>
                <c:pt idx="342">
                  <c:v>36.53125</c:v>
                </c:pt>
                <c:pt idx="343">
                  <c:v>36</c:v>
                </c:pt>
                <c:pt idx="344">
                  <c:v>36.625</c:v>
                </c:pt>
                <c:pt idx="345">
                  <c:v>37.375</c:v>
                </c:pt>
                <c:pt idx="346">
                  <c:v>37.34375</c:v>
                </c:pt>
                <c:pt idx="347">
                  <c:v>37.34375</c:v>
                </c:pt>
                <c:pt idx="348">
                  <c:v>37.09375</c:v>
                </c:pt>
                <c:pt idx="349">
                  <c:v>36.625</c:v>
                </c:pt>
                <c:pt idx="350">
                  <c:v>36.1875</c:v>
                </c:pt>
                <c:pt idx="351">
                  <c:v>36.375</c:v>
                </c:pt>
                <c:pt idx="352">
                  <c:v>36.1875</c:v>
                </c:pt>
                <c:pt idx="353">
                  <c:v>36.53125</c:v>
                </c:pt>
                <c:pt idx="354">
                  <c:v>36.84375</c:v>
                </c:pt>
                <c:pt idx="355">
                  <c:v>36.6875</c:v>
                </c:pt>
                <c:pt idx="356">
                  <c:v>36.3125</c:v>
                </c:pt>
                <c:pt idx="357">
                  <c:v>36.625</c:v>
                </c:pt>
                <c:pt idx="358">
                  <c:v>37.03125</c:v>
                </c:pt>
                <c:pt idx="359">
                  <c:v>37.4375</c:v>
                </c:pt>
                <c:pt idx="360">
                  <c:v>37.84375</c:v>
                </c:pt>
                <c:pt idx="361">
                  <c:v>36.90625</c:v>
                </c:pt>
                <c:pt idx="362">
                  <c:v>36.4375</c:v>
                </c:pt>
                <c:pt idx="363">
                  <c:v>36.25</c:v>
                </c:pt>
                <c:pt idx="364">
                  <c:v>36.25</c:v>
                </c:pt>
                <c:pt idx="365">
                  <c:v>36.59375</c:v>
                </c:pt>
                <c:pt idx="366">
                  <c:v>36.90625</c:v>
                </c:pt>
                <c:pt idx="367">
                  <c:v>36.3125</c:v>
                </c:pt>
                <c:pt idx="368">
                  <c:v>35.5625</c:v>
                </c:pt>
                <c:pt idx="369">
                  <c:v>35.3125</c:v>
                </c:pt>
                <c:pt idx="370">
                  <c:v>34.96875</c:v>
                </c:pt>
                <c:pt idx="371">
                  <c:v>35.4375</c:v>
                </c:pt>
                <c:pt idx="372">
                  <c:v>35.46875</c:v>
                </c:pt>
                <c:pt idx="373">
                  <c:v>35.25</c:v>
                </c:pt>
                <c:pt idx="374">
                  <c:v>35.625</c:v>
                </c:pt>
                <c:pt idx="375">
                  <c:v>35.46875</c:v>
                </c:pt>
                <c:pt idx="376">
                  <c:v>36.0625</c:v>
                </c:pt>
                <c:pt idx="377">
                  <c:v>37.0625</c:v>
                </c:pt>
                <c:pt idx="378">
                  <c:v>35.8125</c:v>
                </c:pt>
                <c:pt idx="379">
                  <c:v>36.1875</c:v>
                </c:pt>
                <c:pt idx="380">
                  <c:v>36.875</c:v>
                </c:pt>
                <c:pt idx="381">
                  <c:v>37.25</c:v>
                </c:pt>
                <c:pt idx="382">
                  <c:v>37.46875</c:v>
                </c:pt>
                <c:pt idx="383">
                  <c:v>38.0625</c:v>
                </c:pt>
                <c:pt idx="384">
                  <c:v>38.40625</c:v>
                </c:pt>
                <c:pt idx="385">
                  <c:v>38.6875</c:v>
                </c:pt>
                <c:pt idx="386">
                  <c:v>39.09375</c:v>
                </c:pt>
                <c:pt idx="387">
                  <c:v>39.3125</c:v>
                </c:pt>
                <c:pt idx="388">
                  <c:v>38.75</c:v>
                </c:pt>
                <c:pt idx="389">
                  <c:v>38.625</c:v>
                </c:pt>
                <c:pt idx="390">
                  <c:v>37.875</c:v>
                </c:pt>
                <c:pt idx="391">
                  <c:v>37.1875</c:v>
                </c:pt>
                <c:pt idx="392">
                  <c:v>38.375</c:v>
                </c:pt>
                <c:pt idx="393">
                  <c:v>38.71875</c:v>
                </c:pt>
                <c:pt idx="394">
                  <c:v>38.875</c:v>
                </c:pt>
                <c:pt idx="395">
                  <c:v>39</c:v>
                </c:pt>
                <c:pt idx="396">
                  <c:v>39.46875</c:v>
                </c:pt>
                <c:pt idx="397">
                  <c:v>38.125</c:v>
                </c:pt>
                <c:pt idx="398">
                  <c:v>37.65625</c:v>
                </c:pt>
                <c:pt idx="399">
                  <c:v>37.375</c:v>
                </c:pt>
                <c:pt idx="400">
                  <c:v>36.625</c:v>
                </c:pt>
                <c:pt idx="401">
                  <c:v>36.9375</c:v>
                </c:pt>
                <c:pt idx="402">
                  <c:v>37.375</c:v>
                </c:pt>
                <c:pt idx="403">
                  <c:v>37.34375</c:v>
                </c:pt>
                <c:pt idx="404">
                  <c:v>37.90625</c:v>
                </c:pt>
                <c:pt idx="405">
                  <c:v>38.15625</c:v>
                </c:pt>
                <c:pt idx="406">
                  <c:v>38.5</c:v>
                </c:pt>
                <c:pt idx="407">
                  <c:v>37.9375</c:v>
                </c:pt>
                <c:pt idx="408">
                  <c:v>38.4375</c:v>
                </c:pt>
                <c:pt idx="409">
                  <c:v>37.6875</c:v>
                </c:pt>
                <c:pt idx="410">
                  <c:v>37.28125</c:v>
                </c:pt>
                <c:pt idx="411">
                  <c:v>38.34375</c:v>
                </c:pt>
                <c:pt idx="412">
                  <c:v>38.6875</c:v>
                </c:pt>
                <c:pt idx="413">
                  <c:v>38.6875</c:v>
                </c:pt>
                <c:pt idx="414">
                  <c:v>40.0625</c:v>
                </c:pt>
                <c:pt idx="415">
                  <c:v>39.59375</c:v>
                </c:pt>
                <c:pt idx="416">
                  <c:v>38.6875</c:v>
                </c:pt>
                <c:pt idx="417">
                  <c:v>38.71875</c:v>
                </c:pt>
                <c:pt idx="418">
                  <c:v>38.5</c:v>
                </c:pt>
                <c:pt idx="419">
                  <c:v>38.5</c:v>
                </c:pt>
                <c:pt idx="420">
                  <c:v>38.625</c:v>
                </c:pt>
                <c:pt idx="421">
                  <c:v>40</c:v>
                </c:pt>
                <c:pt idx="422">
                  <c:v>40.375</c:v>
                </c:pt>
                <c:pt idx="423">
                  <c:v>40.625</c:v>
                </c:pt>
                <c:pt idx="424">
                  <c:v>40.8125</c:v>
                </c:pt>
                <c:pt idx="425">
                  <c:v>38</c:v>
                </c:pt>
                <c:pt idx="426">
                  <c:v>37.9375</c:v>
                </c:pt>
                <c:pt idx="427">
                  <c:v>37.6875</c:v>
                </c:pt>
                <c:pt idx="428">
                  <c:v>37.25</c:v>
                </c:pt>
                <c:pt idx="429">
                  <c:v>37.15625</c:v>
                </c:pt>
                <c:pt idx="430">
                  <c:v>37</c:v>
                </c:pt>
                <c:pt idx="431">
                  <c:v>36.71875</c:v>
                </c:pt>
                <c:pt idx="432">
                  <c:v>36.15625</c:v>
                </c:pt>
                <c:pt idx="433">
                  <c:v>35.65625</c:v>
                </c:pt>
                <c:pt idx="434">
                  <c:v>34.84375</c:v>
                </c:pt>
                <c:pt idx="435">
                  <c:v>35.875</c:v>
                </c:pt>
                <c:pt idx="436">
                  <c:v>36.25</c:v>
                </c:pt>
                <c:pt idx="437">
                  <c:v>35.8125</c:v>
                </c:pt>
                <c:pt idx="438">
                  <c:v>34.90625</c:v>
                </c:pt>
                <c:pt idx="439">
                  <c:v>35.03125</c:v>
                </c:pt>
                <c:pt idx="440">
                  <c:v>35.9375</c:v>
                </c:pt>
                <c:pt idx="441">
                  <c:v>36.0625</c:v>
                </c:pt>
                <c:pt idx="442">
                  <c:v>35.3125</c:v>
                </c:pt>
                <c:pt idx="443">
                  <c:v>34.15625</c:v>
                </c:pt>
                <c:pt idx="444">
                  <c:v>34.875</c:v>
                </c:pt>
                <c:pt idx="445">
                  <c:v>35.21875</c:v>
                </c:pt>
                <c:pt idx="446">
                  <c:v>34.96875</c:v>
                </c:pt>
                <c:pt idx="447">
                  <c:v>35.03125</c:v>
                </c:pt>
                <c:pt idx="448">
                  <c:v>34.21875</c:v>
                </c:pt>
                <c:pt idx="449">
                  <c:v>34.4375</c:v>
                </c:pt>
                <c:pt idx="450">
                  <c:v>33.625</c:v>
                </c:pt>
                <c:pt idx="451">
                  <c:v>34.1875</c:v>
                </c:pt>
                <c:pt idx="452">
                  <c:v>34.75</c:v>
                </c:pt>
                <c:pt idx="453">
                  <c:v>35.6875</c:v>
                </c:pt>
                <c:pt idx="454">
                  <c:v>35.25</c:v>
                </c:pt>
                <c:pt idx="455">
                  <c:v>36.5625</c:v>
                </c:pt>
                <c:pt idx="456">
                  <c:v>36.5</c:v>
                </c:pt>
                <c:pt idx="457">
                  <c:v>34.6875</c:v>
                </c:pt>
                <c:pt idx="458">
                  <c:v>33.9375</c:v>
                </c:pt>
                <c:pt idx="459">
                  <c:v>35.5</c:v>
                </c:pt>
                <c:pt idx="460">
                  <c:v>35.96875</c:v>
                </c:pt>
                <c:pt idx="461">
                  <c:v>35.0625</c:v>
                </c:pt>
                <c:pt idx="462">
                  <c:v>35.46875</c:v>
                </c:pt>
                <c:pt idx="463">
                  <c:v>35.78125</c:v>
                </c:pt>
                <c:pt idx="464">
                  <c:v>36.28125</c:v>
                </c:pt>
                <c:pt idx="465">
                  <c:v>36.6875</c:v>
                </c:pt>
                <c:pt idx="466">
                  <c:v>36.15625</c:v>
                </c:pt>
                <c:pt idx="467">
                  <c:v>35.75</c:v>
                </c:pt>
                <c:pt idx="468">
                  <c:v>35.5</c:v>
                </c:pt>
                <c:pt idx="469">
                  <c:v>35.46875</c:v>
                </c:pt>
                <c:pt idx="470">
                  <c:v>35.59375</c:v>
                </c:pt>
                <c:pt idx="471">
                  <c:v>35.5</c:v>
                </c:pt>
                <c:pt idx="472">
                  <c:v>36.125</c:v>
                </c:pt>
                <c:pt idx="473">
                  <c:v>37.65625</c:v>
                </c:pt>
                <c:pt idx="474">
                  <c:v>38.1875</c:v>
                </c:pt>
                <c:pt idx="475">
                  <c:v>38.0625</c:v>
                </c:pt>
                <c:pt idx="476">
                  <c:v>38</c:v>
                </c:pt>
                <c:pt idx="477">
                  <c:v>37.34375</c:v>
                </c:pt>
                <c:pt idx="478">
                  <c:v>38.0625</c:v>
                </c:pt>
                <c:pt idx="479">
                  <c:v>37.9375</c:v>
                </c:pt>
                <c:pt idx="480">
                  <c:v>37.5</c:v>
                </c:pt>
                <c:pt idx="481">
                  <c:v>37.40625</c:v>
                </c:pt>
                <c:pt idx="482">
                  <c:v>37.5</c:v>
                </c:pt>
                <c:pt idx="483">
                  <c:v>37.171875</c:v>
                </c:pt>
                <c:pt idx="484">
                  <c:v>36.71875</c:v>
                </c:pt>
                <c:pt idx="485">
                  <c:v>36.5</c:v>
                </c:pt>
                <c:pt idx="486">
                  <c:v>36.5</c:v>
                </c:pt>
                <c:pt idx="487">
                  <c:v>37</c:v>
                </c:pt>
                <c:pt idx="488">
                  <c:v>36.5625</c:v>
                </c:pt>
                <c:pt idx="489">
                  <c:v>36.5</c:v>
                </c:pt>
                <c:pt idx="490">
                  <c:v>36.1875</c:v>
                </c:pt>
                <c:pt idx="491">
                  <c:v>37.09375</c:v>
                </c:pt>
                <c:pt idx="492">
                  <c:v>36.15625</c:v>
                </c:pt>
                <c:pt idx="493">
                  <c:v>35.875</c:v>
                </c:pt>
                <c:pt idx="494">
                  <c:v>34</c:v>
                </c:pt>
                <c:pt idx="495">
                  <c:v>34.25</c:v>
                </c:pt>
                <c:pt idx="496">
                  <c:v>33.375</c:v>
                </c:pt>
                <c:pt idx="497">
                  <c:v>33.34375</c:v>
                </c:pt>
                <c:pt idx="498">
                  <c:v>33.65625</c:v>
                </c:pt>
                <c:pt idx="499">
                  <c:v>34.5625</c:v>
                </c:pt>
                <c:pt idx="500">
                  <c:v>34.9375</c:v>
                </c:pt>
                <c:pt idx="501">
                  <c:v>34.71875</c:v>
                </c:pt>
                <c:pt idx="502">
                  <c:v>35.40625</c:v>
                </c:pt>
                <c:pt idx="503">
                  <c:v>35.4375</c:v>
                </c:pt>
                <c:pt idx="504">
                  <c:v>35</c:v>
                </c:pt>
                <c:pt idx="505">
                  <c:v>35.09375</c:v>
                </c:pt>
                <c:pt idx="506">
                  <c:v>36.71875</c:v>
                </c:pt>
                <c:pt idx="507">
                  <c:v>37.25</c:v>
                </c:pt>
                <c:pt idx="508">
                  <c:v>38.0625</c:v>
                </c:pt>
                <c:pt idx="509">
                  <c:v>37.25</c:v>
                </c:pt>
                <c:pt idx="510">
                  <c:v>36.78125</c:v>
                </c:pt>
                <c:pt idx="511">
                  <c:v>37.84375</c:v>
                </c:pt>
                <c:pt idx="512">
                  <c:v>37.125</c:v>
                </c:pt>
                <c:pt idx="513">
                  <c:v>36.59375</c:v>
                </c:pt>
                <c:pt idx="514">
                  <c:v>35.6875</c:v>
                </c:pt>
                <c:pt idx="515">
                  <c:v>36.25</c:v>
                </c:pt>
                <c:pt idx="516">
                  <c:v>35.8125</c:v>
                </c:pt>
                <c:pt idx="517">
                  <c:v>35.5</c:v>
                </c:pt>
                <c:pt idx="518">
                  <c:v>34.5625</c:v>
                </c:pt>
                <c:pt idx="519">
                  <c:v>34.125</c:v>
                </c:pt>
                <c:pt idx="520">
                  <c:v>33.78125</c:v>
                </c:pt>
                <c:pt idx="521">
                  <c:v>33.4375</c:v>
                </c:pt>
                <c:pt idx="522">
                  <c:v>33.375</c:v>
                </c:pt>
                <c:pt idx="523">
                  <c:v>33.75</c:v>
                </c:pt>
                <c:pt idx="524">
                  <c:v>34.5</c:v>
                </c:pt>
                <c:pt idx="525">
                  <c:v>34.90625</c:v>
                </c:pt>
                <c:pt idx="526">
                  <c:v>33.875</c:v>
                </c:pt>
                <c:pt idx="527">
                  <c:v>33.375</c:v>
                </c:pt>
                <c:pt idx="528">
                  <c:v>33.59375</c:v>
                </c:pt>
                <c:pt idx="529">
                  <c:v>33.28125</c:v>
                </c:pt>
                <c:pt idx="530">
                  <c:v>33.25</c:v>
                </c:pt>
                <c:pt idx="531">
                  <c:v>33.40625</c:v>
                </c:pt>
                <c:pt idx="532">
                  <c:v>32.53125</c:v>
                </c:pt>
                <c:pt idx="533">
                  <c:v>31.0625</c:v>
                </c:pt>
                <c:pt idx="534">
                  <c:v>31.53125</c:v>
                </c:pt>
                <c:pt idx="535">
                  <c:v>30.90625</c:v>
                </c:pt>
                <c:pt idx="536">
                  <c:v>30.21875</c:v>
                </c:pt>
                <c:pt idx="537">
                  <c:v>30.03125</c:v>
                </c:pt>
                <c:pt idx="538">
                  <c:v>30.84375</c:v>
                </c:pt>
                <c:pt idx="539">
                  <c:v>31.125</c:v>
                </c:pt>
                <c:pt idx="540">
                  <c:v>29.34375</c:v>
                </c:pt>
                <c:pt idx="541">
                  <c:v>30</c:v>
                </c:pt>
                <c:pt idx="542">
                  <c:v>30.625</c:v>
                </c:pt>
                <c:pt idx="543">
                  <c:v>32</c:v>
                </c:pt>
                <c:pt idx="544">
                  <c:v>31.5</c:v>
                </c:pt>
                <c:pt idx="545">
                  <c:v>30.1875</c:v>
                </c:pt>
                <c:pt idx="546">
                  <c:v>30.875</c:v>
                </c:pt>
                <c:pt idx="547">
                  <c:v>30.125</c:v>
                </c:pt>
                <c:pt idx="548">
                  <c:v>28.28125</c:v>
                </c:pt>
                <c:pt idx="549">
                  <c:v>28.84375</c:v>
                </c:pt>
                <c:pt idx="550">
                  <c:v>29</c:v>
                </c:pt>
                <c:pt idx="551">
                  <c:v>28.375</c:v>
                </c:pt>
                <c:pt idx="552">
                  <c:v>28.1875</c:v>
                </c:pt>
                <c:pt idx="553">
                  <c:v>27.46875</c:v>
                </c:pt>
                <c:pt idx="554">
                  <c:v>29.59375</c:v>
                </c:pt>
                <c:pt idx="555">
                  <c:v>30.78125</c:v>
                </c:pt>
                <c:pt idx="556">
                  <c:v>30.21875</c:v>
                </c:pt>
                <c:pt idx="557">
                  <c:v>29.5</c:v>
                </c:pt>
                <c:pt idx="558">
                  <c:v>29.78125</c:v>
                </c:pt>
                <c:pt idx="559">
                  <c:v>29.375</c:v>
                </c:pt>
                <c:pt idx="560">
                  <c:v>29.5625</c:v>
                </c:pt>
                <c:pt idx="561">
                  <c:v>28.65625</c:v>
                </c:pt>
                <c:pt idx="562">
                  <c:v>28.875</c:v>
                </c:pt>
                <c:pt idx="563">
                  <c:v>29</c:v>
                </c:pt>
                <c:pt idx="564">
                  <c:v>30.21875</c:v>
                </c:pt>
                <c:pt idx="565">
                  <c:v>32.15625</c:v>
                </c:pt>
                <c:pt idx="566">
                  <c:v>31.125</c:v>
                </c:pt>
                <c:pt idx="567">
                  <c:v>33.15625</c:v>
                </c:pt>
                <c:pt idx="568">
                  <c:v>33.46875</c:v>
                </c:pt>
                <c:pt idx="569">
                  <c:v>33.1875</c:v>
                </c:pt>
                <c:pt idx="570">
                  <c:v>32.71875</c:v>
                </c:pt>
                <c:pt idx="571">
                  <c:v>32.6875</c:v>
                </c:pt>
                <c:pt idx="572">
                  <c:v>33.59375</c:v>
                </c:pt>
                <c:pt idx="573">
                  <c:v>34.5</c:v>
                </c:pt>
                <c:pt idx="574">
                  <c:v>35.125</c:v>
                </c:pt>
                <c:pt idx="575">
                  <c:v>35.25</c:v>
                </c:pt>
                <c:pt idx="576">
                  <c:v>32.90625</c:v>
                </c:pt>
                <c:pt idx="577">
                  <c:v>33.59375</c:v>
                </c:pt>
                <c:pt idx="578">
                  <c:v>33.96875</c:v>
                </c:pt>
                <c:pt idx="579">
                  <c:v>33.90625</c:v>
                </c:pt>
                <c:pt idx="580">
                  <c:v>35.8125</c:v>
                </c:pt>
                <c:pt idx="581">
                  <c:v>37.375</c:v>
                </c:pt>
                <c:pt idx="582">
                  <c:v>37.1875</c:v>
                </c:pt>
                <c:pt idx="583">
                  <c:v>37.28125</c:v>
                </c:pt>
                <c:pt idx="584">
                  <c:v>35.6875</c:v>
                </c:pt>
                <c:pt idx="585">
                  <c:v>35.28125</c:v>
                </c:pt>
                <c:pt idx="586">
                  <c:v>35</c:v>
                </c:pt>
                <c:pt idx="587">
                  <c:v>35.0625</c:v>
                </c:pt>
                <c:pt idx="588">
                  <c:v>36</c:v>
                </c:pt>
                <c:pt idx="589">
                  <c:v>37</c:v>
                </c:pt>
                <c:pt idx="590">
                  <c:v>36.28125</c:v>
                </c:pt>
                <c:pt idx="591">
                  <c:v>36.4375</c:v>
                </c:pt>
                <c:pt idx="592">
                  <c:v>37.40625</c:v>
                </c:pt>
                <c:pt idx="593">
                  <c:v>38.46875</c:v>
                </c:pt>
                <c:pt idx="594">
                  <c:v>39.46875</c:v>
                </c:pt>
                <c:pt idx="595">
                  <c:v>38.4375</c:v>
                </c:pt>
                <c:pt idx="596">
                  <c:v>38.71875</c:v>
                </c:pt>
                <c:pt idx="597">
                  <c:v>38.5</c:v>
                </c:pt>
                <c:pt idx="598">
                  <c:v>38.125</c:v>
                </c:pt>
                <c:pt idx="599">
                  <c:v>38</c:v>
                </c:pt>
                <c:pt idx="600">
                  <c:v>37.65625</c:v>
                </c:pt>
                <c:pt idx="601">
                  <c:v>38.40625</c:v>
                </c:pt>
                <c:pt idx="602">
                  <c:v>38.875</c:v>
                </c:pt>
                <c:pt idx="603">
                  <c:v>39.90625</c:v>
                </c:pt>
                <c:pt idx="604">
                  <c:v>39.875</c:v>
                </c:pt>
                <c:pt idx="605">
                  <c:v>40.65625</c:v>
                </c:pt>
                <c:pt idx="606">
                  <c:v>39.625</c:v>
                </c:pt>
                <c:pt idx="607">
                  <c:v>38.75</c:v>
                </c:pt>
                <c:pt idx="608">
                  <c:v>38.875</c:v>
                </c:pt>
                <c:pt idx="609">
                  <c:v>36.34375</c:v>
                </c:pt>
                <c:pt idx="610">
                  <c:v>37.34375</c:v>
                </c:pt>
                <c:pt idx="611">
                  <c:v>37.25</c:v>
                </c:pt>
                <c:pt idx="612">
                  <c:v>38.53125</c:v>
                </c:pt>
                <c:pt idx="613">
                  <c:v>39.34375</c:v>
                </c:pt>
                <c:pt idx="614">
                  <c:v>38.84375</c:v>
                </c:pt>
                <c:pt idx="615">
                  <c:v>37.90625</c:v>
                </c:pt>
                <c:pt idx="616">
                  <c:v>39.71875</c:v>
                </c:pt>
                <c:pt idx="617">
                  <c:v>40.09375</c:v>
                </c:pt>
                <c:pt idx="618">
                  <c:v>40.40625</c:v>
                </c:pt>
                <c:pt idx="619">
                  <c:v>38.625</c:v>
                </c:pt>
                <c:pt idx="620">
                  <c:v>38.84375</c:v>
                </c:pt>
                <c:pt idx="621">
                  <c:v>37.34375</c:v>
                </c:pt>
                <c:pt idx="622">
                  <c:v>37.375</c:v>
                </c:pt>
                <c:pt idx="623">
                  <c:v>38</c:v>
                </c:pt>
                <c:pt idx="624">
                  <c:v>38.15625</c:v>
                </c:pt>
                <c:pt idx="625">
                  <c:v>39.625</c:v>
                </c:pt>
                <c:pt idx="626">
                  <c:v>38.625</c:v>
                </c:pt>
                <c:pt idx="627">
                  <c:v>38.59375</c:v>
                </c:pt>
                <c:pt idx="628">
                  <c:v>38.0625</c:v>
                </c:pt>
                <c:pt idx="629">
                  <c:v>37.34375</c:v>
                </c:pt>
                <c:pt idx="630">
                  <c:v>38.125</c:v>
                </c:pt>
                <c:pt idx="631">
                  <c:v>38.5625</c:v>
                </c:pt>
                <c:pt idx="632">
                  <c:v>38.875</c:v>
                </c:pt>
                <c:pt idx="633">
                  <c:v>38.5625</c:v>
                </c:pt>
                <c:pt idx="634">
                  <c:v>39</c:v>
                </c:pt>
                <c:pt idx="635">
                  <c:v>39.6875</c:v>
                </c:pt>
                <c:pt idx="636">
                  <c:v>39.53125</c:v>
                </c:pt>
                <c:pt idx="637">
                  <c:v>40.0625</c:v>
                </c:pt>
                <c:pt idx="638">
                  <c:v>39.5</c:v>
                </c:pt>
                <c:pt idx="639">
                  <c:v>40.3125</c:v>
                </c:pt>
                <c:pt idx="640">
                  <c:v>40.78125</c:v>
                </c:pt>
                <c:pt idx="641">
                  <c:v>41.0625</c:v>
                </c:pt>
                <c:pt idx="642">
                  <c:v>40.40625</c:v>
                </c:pt>
                <c:pt idx="643">
                  <c:v>39.4375</c:v>
                </c:pt>
                <c:pt idx="644">
                  <c:v>39.34375</c:v>
                </c:pt>
                <c:pt idx="645">
                  <c:v>39.375</c:v>
                </c:pt>
                <c:pt idx="646">
                  <c:v>39.4375</c:v>
                </c:pt>
                <c:pt idx="647">
                  <c:v>40.25</c:v>
                </c:pt>
                <c:pt idx="648">
                  <c:v>40.6875</c:v>
                </c:pt>
                <c:pt idx="649">
                  <c:v>40.25</c:v>
                </c:pt>
                <c:pt idx="650">
                  <c:v>40</c:v>
                </c:pt>
                <c:pt idx="651">
                  <c:v>41.34375</c:v>
                </c:pt>
                <c:pt idx="652">
                  <c:v>41.59375</c:v>
                </c:pt>
                <c:pt idx="653">
                  <c:v>41.78125</c:v>
                </c:pt>
                <c:pt idx="654">
                  <c:v>41</c:v>
                </c:pt>
                <c:pt idx="655">
                  <c:v>42.09375</c:v>
                </c:pt>
                <c:pt idx="656">
                  <c:v>42.1875</c:v>
                </c:pt>
                <c:pt idx="657">
                  <c:v>42.0625</c:v>
                </c:pt>
                <c:pt idx="658">
                  <c:v>43</c:v>
                </c:pt>
                <c:pt idx="659">
                  <c:v>43.75</c:v>
                </c:pt>
                <c:pt idx="660">
                  <c:v>42.25</c:v>
                </c:pt>
                <c:pt idx="661">
                  <c:v>41.53125</c:v>
                </c:pt>
                <c:pt idx="662">
                  <c:v>41.0625</c:v>
                </c:pt>
                <c:pt idx="663">
                  <c:v>40.9375</c:v>
                </c:pt>
                <c:pt idx="664">
                  <c:v>41.34375</c:v>
                </c:pt>
                <c:pt idx="665">
                  <c:v>40.90625</c:v>
                </c:pt>
                <c:pt idx="666">
                  <c:v>41.5625</c:v>
                </c:pt>
                <c:pt idx="667">
                  <c:v>41.0625</c:v>
                </c:pt>
                <c:pt idx="668">
                  <c:v>39.96875</c:v>
                </c:pt>
                <c:pt idx="669">
                  <c:v>40.09375</c:v>
                </c:pt>
                <c:pt idx="670">
                  <c:v>40.625</c:v>
                </c:pt>
                <c:pt idx="671">
                  <c:v>39.09375</c:v>
                </c:pt>
                <c:pt idx="672">
                  <c:v>39.40625</c:v>
                </c:pt>
                <c:pt idx="673">
                  <c:v>38.75</c:v>
                </c:pt>
                <c:pt idx="674">
                  <c:v>38.3125</c:v>
                </c:pt>
                <c:pt idx="675">
                  <c:v>38.125</c:v>
                </c:pt>
                <c:pt idx="676">
                  <c:v>39.28125</c:v>
                </c:pt>
                <c:pt idx="677">
                  <c:v>40.1875</c:v>
                </c:pt>
                <c:pt idx="678">
                  <c:v>40.9375</c:v>
                </c:pt>
                <c:pt idx="679">
                  <c:v>40.875</c:v>
                </c:pt>
                <c:pt idx="680">
                  <c:v>41.90625</c:v>
                </c:pt>
                <c:pt idx="681">
                  <c:v>41.78125</c:v>
                </c:pt>
                <c:pt idx="682">
                  <c:v>40.875</c:v>
                </c:pt>
                <c:pt idx="683">
                  <c:v>41.46875</c:v>
                </c:pt>
                <c:pt idx="684">
                  <c:v>42.375</c:v>
                </c:pt>
                <c:pt idx="685">
                  <c:v>42.625</c:v>
                </c:pt>
                <c:pt idx="686">
                  <c:v>43</c:v>
                </c:pt>
                <c:pt idx="687">
                  <c:v>44.3125</c:v>
                </c:pt>
                <c:pt idx="688">
                  <c:v>44.25</c:v>
                </c:pt>
                <c:pt idx="689">
                  <c:v>43.75</c:v>
                </c:pt>
                <c:pt idx="690">
                  <c:v>43.25</c:v>
                </c:pt>
                <c:pt idx="691">
                  <c:v>43.25</c:v>
                </c:pt>
                <c:pt idx="692">
                  <c:v>42.3125</c:v>
                </c:pt>
                <c:pt idx="693">
                  <c:v>41.75</c:v>
                </c:pt>
                <c:pt idx="694">
                  <c:v>43.625</c:v>
                </c:pt>
                <c:pt idx="695">
                  <c:v>42.375</c:v>
                </c:pt>
                <c:pt idx="696">
                  <c:v>43.5</c:v>
                </c:pt>
                <c:pt idx="697">
                  <c:v>43</c:v>
                </c:pt>
                <c:pt idx="698">
                  <c:v>42.4375</c:v>
                </c:pt>
                <c:pt idx="699">
                  <c:v>43.875</c:v>
                </c:pt>
                <c:pt idx="700">
                  <c:v>42.25</c:v>
                </c:pt>
                <c:pt idx="701">
                  <c:v>42.75</c:v>
                </c:pt>
                <c:pt idx="702">
                  <c:v>42.375</c:v>
                </c:pt>
                <c:pt idx="703">
                  <c:v>43.25</c:v>
                </c:pt>
                <c:pt idx="704">
                  <c:v>43.375</c:v>
                </c:pt>
                <c:pt idx="705">
                  <c:v>44.6875</c:v>
                </c:pt>
                <c:pt idx="706">
                  <c:v>44</c:v>
                </c:pt>
                <c:pt idx="707">
                  <c:v>41.875</c:v>
                </c:pt>
                <c:pt idx="708">
                  <c:v>41.875</c:v>
                </c:pt>
                <c:pt idx="709">
                  <c:v>43.1875</c:v>
                </c:pt>
                <c:pt idx="710">
                  <c:v>39.625</c:v>
                </c:pt>
                <c:pt idx="711">
                  <c:v>42</c:v>
                </c:pt>
                <c:pt idx="712">
                  <c:v>43.75</c:v>
                </c:pt>
                <c:pt idx="713">
                  <c:v>46.375</c:v>
                </c:pt>
                <c:pt idx="714">
                  <c:v>45.75</c:v>
                </c:pt>
                <c:pt idx="715">
                  <c:v>44</c:v>
                </c:pt>
                <c:pt idx="716">
                  <c:v>43.9375</c:v>
                </c:pt>
                <c:pt idx="717">
                  <c:v>44.3125</c:v>
                </c:pt>
                <c:pt idx="718">
                  <c:v>45.25</c:v>
                </c:pt>
                <c:pt idx="719">
                  <c:v>44.3125</c:v>
                </c:pt>
                <c:pt idx="720">
                  <c:v>45.0625</c:v>
                </c:pt>
                <c:pt idx="721">
                  <c:v>46.25</c:v>
                </c:pt>
                <c:pt idx="722">
                  <c:v>46.875</c:v>
                </c:pt>
                <c:pt idx="723">
                  <c:v>46.5625</c:v>
                </c:pt>
                <c:pt idx="724">
                  <c:v>47.4375</c:v>
                </c:pt>
                <c:pt idx="725">
                  <c:v>46.4375</c:v>
                </c:pt>
                <c:pt idx="726">
                  <c:v>47.5625</c:v>
                </c:pt>
                <c:pt idx="727">
                  <c:v>47.625</c:v>
                </c:pt>
                <c:pt idx="728">
                  <c:v>48.0625</c:v>
                </c:pt>
                <c:pt idx="729">
                  <c:v>49.8125</c:v>
                </c:pt>
                <c:pt idx="730">
                  <c:v>48.875</c:v>
                </c:pt>
                <c:pt idx="731">
                  <c:v>48.9375</c:v>
                </c:pt>
                <c:pt idx="732">
                  <c:v>48.0625</c:v>
                </c:pt>
                <c:pt idx="733">
                  <c:v>48</c:v>
                </c:pt>
                <c:pt idx="734">
                  <c:v>47.375</c:v>
                </c:pt>
                <c:pt idx="735">
                  <c:v>47.4375</c:v>
                </c:pt>
                <c:pt idx="736">
                  <c:v>47.125</c:v>
                </c:pt>
                <c:pt idx="737">
                  <c:v>46.625</c:v>
                </c:pt>
                <c:pt idx="738">
                  <c:v>46.875</c:v>
                </c:pt>
                <c:pt idx="739">
                  <c:v>45.8125</c:v>
                </c:pt>
                <c:pt idx="740">
                  <c:v>48.0625</c:v>
                </c:pt>
                <c:pt idx="741">
                  <c:v>46.1875</c:v>
                </c:pt>
                <c:pt idx="742">
                  <c:v>45.9375</c:v>
                </c:pt>
                <c:pt idx="743">
                  <c:v>46.25</c:v>
                </c:pt>
                <c:pt idx="744">
                  <c:v>47.5</c:v>
                </c:pt>
                <c:pt idx="745">
                  <c:v>47.4375</c:v>
                </c:pt>
                <c:pt idx="746">
                  <c:v>48.875</c:v>
                </c:pt>
                <c:pt idx="747">
                  <c:v>47.4375</c:v>
                </c:pt>
                <c:pt idx="748">
                  <c:v>47</c:v>
                </c:pt>
                <c:pt idx="749">
                  <c:v>45.75</c:v>
                </c:pt>
                <c:pt idx="750">
                  <c:v>43.6875</c:v>
                </c:pt>
                <c:pt idx="751">
                  <c:v>42.375</c:v>
                </c:pt>
                <c:pt idx="752">
                  <c:v>43.375</c:v>
                </c:pt>
                <c:pt idx="753">
                  <c:v>45.125</c:v>
                </c:pt>
                <c:pt idx="754">
                  <c:v>45.3125</c:v>
                </c:pt>
                <c:pt idx="755">
                  <c:v>45.5</c:v>
                </c:pt>
                <c:pt idx="756">
                  <c:v>44.4375</c:v>
                </c:pt>
                <c:pt idx="757">
                  <c:v>41.25</c:v>
                </c:pt>
                <c:pt idx="758">
                  <c:v>38.5</c:v>
                </c:pt>
                <c:pt idx="759">
                  <c:v>41.125</c:v>
                </c:pt>
                <c:pt idx="760">
                  <c:v>40.4375</c:v>
                </c:pt>
                <c:pt idx="761">
                  <c:v>40.25</c:v>
                </c:pt>
                <c:pt idx="762">
                  <c:v>40</c:v>
                </c:pt>
                <c:pt idx="763">
                  <c:v>40.0625</c:v>
                </c:pt>
                <c:pt idx="764">
                  <c:v>40.4375</c:v>
                </c:pt>
                <c:pt idx="765">
                  <c:v>42.3125</c:v>
                </c:pt>
                <c:pt idx="766">
                  <c:v>40</c:v>
                </c:pt>
                <c:pt idx="767">
                  <c:v>40.6875</c:v>
                </c:pt>
                <c:pt idx="768">
                  <c:v>39.9375</c:v>
                </c:pt>
                <c:pt idx="769">
                  <c:v>39.9375</c:v>
                </c:pt>
                <c:pt idx="770">
                  <c:v>40.1875</c:v>
                </c:pt>
                <c:pt idx="771">
                  <c:v>40.375</c:v>
                </c:pt>
                <c:pt idx="772">
                  <c:v>41.3125</c:v>
                </c:pt>
                <c:pt idx="773">
                  <c:v>41.3125</c:v>
                </c:pt>
                <c:pt idx="774">
                  <c:v>42.77</c:v>
                </c:pt>
                <c:pt idx="775">
                  <c:v>42.58</c:v>
                </c:pt>
                <c:pt idx="776">
                  <c:v>43.36</c:v>
                </c:pt>
                <c:pt idx="777">
                  <c:v>43.39</c:v>
                </c:pt>
                <c:pt idx="778">
                  <c:v>42.84</c:v>
                </c:pt>
                <c:pt idx="779">
                  <c:v>40.9</c:v>
                </c:pt>
                <c:pt idx="780">
                  <c:v>40.700000000000003</c:v>
                </c:pt>
                <c:pt idx="781">
                  <c:v>42.05</c:v>
                </c:pt>
                <c:pt idx="782">
                  <c:v>41.54</c:v>
                </c:pt>
                <c:pt idx="783">
                  <c:v>43</c:v>
                </c:pt>
                <c:pt idx="784">
                  <c:v>42.81</c:v>
                </c:pt>
                <c:pt idx="785">
                  <c:v>44.29</c:v>
                </c:pt>
                <c:pt idx="786">
                  <c:v>43</c:v>
                </c:pt>
                <c:pt idx="787">
                  <c:v>43</c:v>
                </c:pt>
                <c:pt idx="788">
                  <c:v>43.74</c:v>
                </c:pt>
                <c:pt idx="789">
                  <c:v>44.9</c:v>
                </c:pt>
                <c:pt idx="790">
                  <c:v>44.54</c:v>
                </c:pt>
                <c:pt idx="791">
                  <c:v>43.43</c:v>
                </c:pt>
                <c:pt idx="792">
                  <c:v>43.02</c:v>
                </c:pt>
                <c:pt idx="793">
                  <c:v>43.24</c:v>
                </c:pt>
                <c:pt idx="794">
                  <c:v>44.45</c:v>
                </c:pt>
                <c:pt idx="795">
                  <c:v>43.7</c:v>
                </c:pt>
                <c:pt idx="796">
                  <c:v>43</c:v>
                </c:pt>
                <c:pt idx="797">
                  <c:v>42.25</c:v>
                </c:pt>
                <c:pt idx="798">
                  <c:v>43.01</c:v>
                </c:pt>
                <c:pt idx="799">
                  <c:v>41.5</c:v>
                </c:pt>
                <c:pt idx="800">
                  <c:v>43</c:v>
                </c:pt>
                <c:pt idx="801">
                  <c:v>44.25</c:v>
                </c:pt>
                <c:pt idx="802">
                  <c:v>44.95</c:v>
                </c:pt>
                <c:pt idx="803">
                  <c:v>44.2</c:v>
                </c:pt>
                <c:pt idx="804">
                  <c:v>43.45</c:v>
                </c:pt>
                <c:pt idx="805">
                  <c:v>43.46</c:v>
                </c:pt>
                <c:pt idx="806">
                  <c:v>44.02</c:v>
                </c:pt>
                <c:pt idx="807">
                  <c:v>44.55</c:v>
                </c:pt>
                <c:pt idx="808">
                  <c:v>43.75</c:v>
                </c:pt>
                <c:pt idx="809">
                  <c:v>43.63</c:v>
                </c:pt>
                <c:pt idx="810">
                  <c:v>44.29</c:v>
                </c:pt>
                <c:pt idx="811">
                  <c:v>42.85</c:v>
                </c:pt>
                <c:pt idx="812">
                  <c:v>44.55</c:v>
                </c:pt>
                <c:pt idx="813">
                  <c:v>44.47</c:v>
                </c:pt>
                <c:pt idx="814">
                  <c:v>45.06</c:v>
                </c:pt>
                <c:pt idx="815">
                  <c:v>46.46</c:v>
                </c:pt>
                <c:pt idx="816">
                  <c:v>45.47</c:v>
                </c:pt>
                <c:pt idx="817">
                  <c:v>45.93</c:v>
                </c:pt>
                <c:pt idx="818">
                  <c:v>46.45</c:v>
                </c:pt>
                <c:pt idx="819">
                  <c:v>45.25</c:v>
                </c:pt>
                <c:pt idx="820">
                  <c:v>44</c:v>
                </c:pt>
                <c:pt idx="821">
                  <c:v>42.88</c:v>
                </c:pt>
                <c:pt idx="822">
                  <c:v>42.22</c:v>
                </c:pt>
                <c:pt idx="823">
                  <c:v>41.74</c:v>
                </c:pt>
                <c:pt idx="824">
                  <c:v>41.7</c:v>
                </c:pt>
                <c:pt idx="825">
                  <c:v>38.880000000000003</c:v>
                </c:pt>
                <c:pt idx="826">
                  <c:v>40.75</c:v>
                </c:pt>
                <c:pt idx="827">
                  <c:v>41.57</c:v>
                </c:pt>
                <c:pt idx="828">
                  <c:v>41.57</c:v>
                </c:pt>
                <c:pt idx="829">
                  <c:v>39.99</c:v>
                </c:pt>
                <c:pt idx="830">
                  <c:v>40.549999999999997</c:v>
                </c:pt>
                <c:pt idx="831">
                  <c:v>40.799999999999997</c:v>
                </c:pt>
                <c:pt idx="832">
                  <c:v>40.46</c:v>
                </c:pt>
                <c:pt idx="833">
                  <c:v>39.770000000000003</c:v>
                </c:pt>
                <c:pt idx="834">
                  <c:v>40.78</c:v>
                </c:pt>
                <c:pt idx="835">
                  <c:v>40</c:v>
                </c:pt>
                <c:pt idx="836">
                  <c:v>40.799999999999997</c:v>
                </c:pt>
                <c:pt idx="837">
                  <c:v>39.99</c:v>
                </c:pt>
                <c:pt idx="838">
                  <c:v>39.950000000000003</c:v>
                </c:pt>
                <c:pt idx="839">
                  <c:v>39.81</c:v>
                </c:pt>
                <c:pt idx="840">
                  <c:v>40.450000000000003</c:v>
                </c:pt>
                <c:pt idx="841">
                  <c:v>40.869999999999997</c:v>
                </c:pt>
                <c:pt idx="842">
                  <c:v>40.79</c:v>
                </c:pt>
                <c:pt idx="843">
                  <c:v>40.65</c:v>
                </c:pt>
                <c:pt idx="844">
                  <c:v>40.97</c:v>
                </c:pt>
                <c:pt idx="845">
                  <c:v>40.799999999999997</c:v>
                </c:pt>
                <c:pt idx="846">
                  <c:v>41.2</c:v>
                </c:pt>
                <c:pt idx="847">
                  <c:v>42</c:v>
                </c:pt>
                <c:pt idx="848">
                  <c:v>42.5</c:v>
                </c:pt>
                <c:pt idx="849">
                  <c:v>44.05</c:v>
                </c:pt>
                <c:pt idx="850">
                  <c:v>43.9</c:v>
                </c:pt>
                <c:pt idx="851">
                  <c:v>43.67</c:v>
                </c:pt>
                <c:pt idx="852">
                  <c:v>43.95</c:v>
                </c:pt>
                <c:pt idx="853">
                  <c:v>43.46</c:v>
                </c:pt>
                <c:pt idx="854">
                  <c:v>43.7</c:v>
                </c:pt>
                <c:pt idx="855">
                  <c:v>43.2</c:v>
                </c:pt>
                <c:pt idx="856">
                  <c:v>43.03</c:v>
                </c:pt>
                <c:pt idx="857">
                  <c:v>43.6</c:v>
                </c:pt>
                <c:pt idx="858">
                  <c:v>43.82</c:v>
                </c:pt>
                <c:pt idx="859">
                  <c:v>44</c:v>
                </c:pt>
                <c:pt idx="860">
                  <c:v>43.74</c:v>
                </c:pt>
                <c:pt idx="861">
                  <c:v>42.95</c:v>
                </c:pt>
                <c:pt idx="862">
                  <c:v>43</c:v>
                </c:pt>
                <c:pt idx="863">
                  <c:v>42.55</c:v>
                </c:pt>
                <c:pt idx="864">
                  <c:v>43.25</c:v>
                </c:pt>
                <c:pt idx="865">
                  <c:v>42.89</c:v>
                </c:pt>
                <c:pt idx="866">
                  <c:v>41.96</c:v>
                </c:pt>
                <c:pt idx="867">
                  <c:v>42.54</c:v>
                </c:pt>
                <c:pt idx="868">
                  <c:v>41.99</c:v>
                </c:pt>
                <c:pt idx="869">
                  <c:v>42.35</c:v>
                </c:pt>
                <c:pt idx="870">
                  <c:v>41.7</c:v>
                </c:pt>
                <c:pt idx="871">
                  <c:v>41.51</c:v>
                </c:pt>
                <c:pt idx="872">
                  <c:v>41.36</c:v>
                </c:pt>
                <c:pt idx="873">
                  <c:v>41.65</c:v>
                </c:pt>
                <c:pt idx="874">
                  <c:v>42.36</c:v>
                </c:pt>
                <c:pt idx="875">
                  <c:v>42.7</c:v>
                </c:pt>
                <c:pt idx="876">
                  <c:v>42.92</c:v>
                </c:pt>
                <c:pt idx="877">
                  <c:v>42.93</c:v>
                </c:pt>
                <c:pt idx="878">
                  <c:v>41.95</c:v>
                </c:pt>
                <c:pt idx="879">
                  <c:v>42.75</c:v>
                </c:pt>
                <c:pt idx="880">
                  <c:v>41.2</c:v>
                </c:pt>
                <c:pt idx="881">
                  <c:v>43.25</c:v>
                </c:pt>
                <c:pt idx="882">
                  <c:v>42.4</c:v>
                </c:pt>
                <c:pt idx="883">
                  <c:v>41.62</c:v>
                </c:pt>
                <c:pt idx="884">
                  <c:v>41.87</c:v>
                </c:pt>
                <c:pt idx="885">
                  <c:v>42</c:v>
                </c:pt>
                <c:pt idx="886">
                  <c:v>41.7</c:v>
                </c:pt>
                <c:pt idx="887">
                  <c:v>43.03</c:v>
                </c:pt>
                <c:pt idx="888">
                  <c:v>42.65</c:v>
                </c:pt>
                <c:pt idx="889">
                  <c:v>43.34</c:v>
                </c:pt>
                <c:pt idx="890">
                  <c:v>43.05</c:v>
                </c:pt>
                <c:pt idx="891">
                  <c:v>43.34</c:v>
                </c:pt>
                <c:pt idx="892">
                  <c:v>44.49</c:v>
                </c:pt>
                <c:pt idx="893">
                  <c:v>44.34</c:v>
                </c:pt>
                <c:pt idx="894">
                  <c:v>43.73</c:v>
                </c:pt>
                <c:pt idx="895">
                  <c:v>43.13</c:v>
                </c:pt>
                <c:pt idx="896">
                  <c:v>43.04</c:v>
                </c:pt>
                <c:pt idx="897">
                  <c:v>43.2</c:v>
                </c:pt>
                <c:pt idx="898">
                  <c:v>43.43</c:v>
                </c:pt>
                <c:pt idx="899">
                  <c:v>43</c:v>
                </c:pt>
                <c:pt idx="900">
                  <c:v>42.7</c:v>
                </c:pt>
                <c:pt idx="901">
                  <c:v>43.31</c:v>
                </c:pt>
                <c:pt idx="902">
                  <c:v>43.63</c:v>
                </c:pt>
                <c:pt idx="903">
                  <c:v>44.05</c:v>
                </c:pt>
                <c:pt idx="904">
                  <c:v>43.37</c:v>
                </c:pt>
                <c:pt idx="905">
                  <c:v>42.96</c:v>
                </c:pt>
                <c:pt idx="906">
                  <c:v>42.3</c:v>
                </c:pt>
                <c:pt idx="907">
                  <c:v>42.3</c:v>
                </c:pt>
                <c:pt idx="908">
                  <c:v>41.9</c:v>
                </c:pt>
                <c:pt idx="909">
                  <c:v>42.05</c:v>
                </c:pt>
                <c:pt idx="910">
                  <c:v>42.57</c:v>
                </c:pt>
                <c:pt idx="911">
                  <c:v>41.95</c:v>
                </c:pt>
                <c:pt idx="912">
                  <c:v>42.65</c:v>
                </c:pt>
                <c:pt idx="913">
                  <c:v>43.13</c:v>
                </c:pt>
                <c:pt idx="914">
                  <c:v>43</c:v>
                </c:pt>
                <c:pt idx="915">
                  <c:v>43.6</c:v>
                </c:pt>
                <c:pt idx="916">
                  <c:v>43.05</c:v>
                </c:pt>
                <c:pt idx="917">
                  <c:v>43.26</c:v>
                </c:pt>
                <c:pt idx="918">
                  <c:v>43.35</c:v>
                </c:pt>
                <c:pt idx="919">
                  <c:v>43.83</c:v>
                </c:pt>
                <c:pt idx="920">
                  <c:v>43.8</c:v>
                </c:pt>
                <c:pt idx="921">
                  <c:v>43.86</c:v>
                </c:pt>
                <c:pt idx="922">
                  <c:v>43.65</c:v>
                </c:pt>
                <c:pt idx="923">
                  <c:v>43.87</c:v>
                </c:pt>
                <c:pt idx="924">
                  <c:v>43.04</c:v>
                </c:pt>
                <c:pt idx="925">
                  <c:v>43.65</c:v>
                </c:pt>
                <c:pt idx="926">
                  <c:v>44.18</c:v>
                </c:pt>
                <c:pt idx="927">
                  <c:v>43.3</c:v>
                </c:pt>
                <c:pt idx="928">
                  <c:v>43.9</c:v>
                </c:pt>
                <c:pt idx="929">
                  <c:v>43.95</c:v>
                </c:pt>
                <c:pt idx="930">
                  <c:v>44.06</c:v>
                </c:pt>
                <c:pt idx="931">
                  <c:v>43.43</c:v>
                </c:pt>
                <c:pt idx="932">
                  <c:v>41.58</c:v>
                </c:pt>
                <c:pt idx="933">
                  <c:v>41.46</c:v>
                </c:pt>
                <c:pt idx="934">
                  <c:v>40.4</c:v>
                </c:pt>
                <c:pt idx="935">
                  <c:v>39.75</c:v>
                </c:pt>
                <c:pt idx="936">
                  <c:v>41.15</c:v>
                </c:pt>
                <c:pt idx="937">
                  <c:v>41.04</c:v>
                </c:pt>
                <c:pt idx="938">
                  <c:v>41.43</c:v>
                </c:pt>
                <c:pt idx="939">
                  <c:v>41.88</c:v>
                </c:pt>
                <c:pt idx="940">
                  <c:v>41.85</c:v>
                </c:pt>
                <c:pt idx="941">
                  <c:v>41.8</c:v>
                </c:pt>
                <c:pt idx="942">
                  <c:v>41.25</c:v>
                </c:pt>
                <c:pt idx="943">
                  <c:v>40.5</c:v>
                </c:pt>
                <c:pt idx="944">
                  <c:v>41.1</c:v>
                </c:pt>
                <c:pt idx="945">
                  <c:v>39.700000000000003</c:v>
                </c:pt>
                <c:pt idx="946">
                  <c:v>40.19</c:v>
                </c:pt>
                <c:pt idx="947">
                  <c:v>40.520000000000003</c:v>
                </c:pt>
                <c:pt idx="948">
                  <c:v>40.06</c:v>
                </c:pt>
                <c:pt idx="949">
                  <c:v>40.6</c:v>
                </c:pt>
                <c:pt idx="950">
                  <c:v>41.07</c:v>
                </c:pt>
                <c:pt idx="951">
                  <c:v>40.4</c:v>
                </c:pt>
                <c:pt idx="952">
                  <c:v>41</c:v>
                </c:pt>
                <c:pt idx="953">
                  <c:v>41.91</c:v>
                </c:pt>
                <c:pt idx="954">
                  <c:v>41.9</c:v>
                </c:pt>
                <c:pt idx="955">
                  <c:v>42.15</c:v>
                </c:pt>
                <c:pt idx="956">
                  <c:v>42.45</c:v>
                </c:pt>
                <c:pt idx="957">
                  <c:v>41.8</c:v>
                </c:pt>
                <c:pt idx="958">
                  <c:v>42.4</c:v>
                </c:pt>
                <c:pt idx="959">
                  <c:v>42.29</c:v>
                </c:pt>
                <c:pt idx="960">
                  <c:v>42.4</c:v>
                </c:pt>
                <c:pt idx="961">
                  <c:v>41.77</c:v>
                </c:pt>
                <c:pt idx="962">
                  <c:v>41.66</c:v>
                </c:pt>
                <c:pt idx="963">
                  <c:v>42.49</c:v>
                </c:pt>
                <c:pt idx="964">
                  <c:v>42.9</c:v>
                </c:pt>
                <c:pt idx="965">
                  <c:v>42.97</c:v>
                </c:pt>
                <c:pt idx="966">
                  <c:v>42.75</c:v>
                </c:pt>
                <c:pt idx="967">
                  <c:v>42.1</c:v>
                </c:pt>
                <c:pt idx="968">
                  <c:v>42.27</c:v>
                </c:pt>
                <c:pt idx="969">
                  <c:v>42.69</c:v>
                </c:pt>
                <c:pt idx="970">
                  <c:v>43.05</c:v>
                </c:pt>
                <c:pt idx="971">
                  <c:v>43.4</c:v>
                </c:pt>
                <c:pt idx="972">
                  <c:v>43.1</c:v>
                </c:pt>
                <c:pt idx="973">
                  <c:v>43.7</c:v>
                </c:pt>
                <c:pt idx="974">
                  <c:v>43.64</c:v>
                </c:pt>
                <c:pt idx="975">
                  <c:v>43.28</c:v>
                </c:pt>
                <c:pt idx="976">
                  <c:v>43.12</c:v>
                </c:pt>
                <c:pt idx="977">
                  <c:v>43.02</c:v>
                </c:pt>
                <c:pt idx="978">
                  <c:v>43.48</c:v>
                </c:pt>
                <c:pt idx="979">
                  <c:v>43.2</c:v>
                </c:pt>
                <c:pt idx="980">
                  <c:v>42.85</c:v>
                </c:pt>
                <c:pt idx="981">
                  <c:v>42.8</c:v>
                </c:pt>
                <c:pt idx="982">
                  <c:v>43.23</c:v>
                </c:pt>
                <c:pt idx="983">
                  <c:v>43.1</c:v>
                </c:pt>
                <c:pt idx="984">
                  <c:v>42.8</c:v>
                </c:pt>
                <c:pt idx="985">
                  <c:v>42.75</c:v>
                </c:pt>
                <c:pt idx="986">
                  <c:v>42.35</c:v>
                </c:pt>
                <c:pt idx="987">
                  <c:v>42.75</c:v>
                </c:pt>
                <c:pt idx="988">
                  <c:v>42.69</c:v>
                </c:pt>
                <c:pt idx="989">
                  <c:v>42.95</c:v>
                </c:pt>
                <c:pt idx="990">
                  <c:v>42.7</c:v>
                </c:pt>
                <c:pt idx="991">
                  <c:v>43.05</c:v>
                </c:pt>
                <c:pt idx="992">
                  <c:v>43.15</c:v>
                </c:pt>
                <c:pt idx="993">
                  <c:v>42.92</c:v>
                </c:pt>
                <c:pt idx="994">
                  <c:v>42.91</c:v>
                </c:pt>
                <c:pt idx="995">
                  <c:v>43.45</c:v>
                </c:pt>
                <c:pt idx="996">
                  <c:v>43.78</c:v>
                </c:pt>
                <c:pt idx="997">
                  <c:v>44.9</c:v>
                </c:pt>
                <c:pt idx="998">
                  <c:v>46.51</c:v>
                </c:pt>
                <c:pt idx="999">
                  <c:v>46.08</c:v>
                </c:pt>
                <c:pt idx="1000">
                  <c:v>45.9</c:v>
                </c:pt>
                <c:pt idx="1001">
                  <c:v>45.46</c:v>
                </c:pt>
                <c:pt idx="1002">
                  <c:v>45.22</c:v>
                </c:pt>
                <c:pt idx="1003">
                  <c:v>45.21</c:v>
                </c:pt>
                <c:pt idx="1004">
                  <c:v>45.6</c:v>
                </c:pt>
                <c:pt idx="1005">
                  <c:v>45.72</c:v>
                </c:pt>
                <c:pt idx="1006">
                  <c:v>46.26</c:v>
                </c:pt>
                <c:pt idx="1007">
                  <c:v>46</c:v>
                </c:pt>
                <c:pt idx="1008">
                  <c:v>45.9</c:v>
                </c:pt>
                <c:pt idx="1009">
                  <c:v>45.55</c:v>
                </c:pt>
                <c:pt idx="1010">
                  <c:v>45.52</c:v>
                </c:pt>
                <c:pt idx="1011">
                  <c:v>45.82</c:v>
                </c:pt>
                <c:pt idx="1012">
                  <c:v>46.64</c:v>
                </c:pt>
                <c:pt idx="1013">
                  <c:v>46.17</c:v>
                </c:pt>
                <c:pt idx="1014">
                  <c:v>45.97</c:v>
                </c:pt>
                <c:pt idx="1015">
                  <c:v>46.25</c:v>
                </c:pt>
                <c:pt idx="1016">
                  <c:v>46.39</c:v>
                </c:pt>
                <c:pt idx="1017">
                  <c:v>46.15</c:v>
                </c:pt>
                <c:pt idx="1018">
                  <c:v>45.96</c:v>
                </c:pt>
                <c:pt idx="1019">
                  <c:v>45.24</c:v>
                </c:pt>
                <c:pt idx="1020">
                  <c:v>46.03</c:v>
                </c:pt>
                <c:pt idx="1021">
                  <c:v>46.18</c:v>
                </c:pt>
                <c:pt idx="1022">
                  <c:v>46.07</c:v>
                </c:pt>
                <c:pt idx="1023">
                  <c:v>46.6</c:v>
                </c:pt>
                <c:pt idx="1024">
                  <c:v>47.27</c:v>
                </c:pt>
                <c:pt idx="1025">
                  <c:v>47.7</c:v>
                </c:pt>
                <c:pt idx="1026">
                  <c:v>47.8</c:v>
                </c:pt>
                <c:pt idx="1027">
                  <c:v>48.25</c:v>
                </c:pt>
                <c:pt idx="1028">
                  <c:v>48.2</c:v>
                </c:pt>
                <c:pt idx="1029">
                  <c:v>48.59</c:v>
                </c:pt>
                <c:pt idx="1030">
                  <c:v>47.97</c:v>
                </c:pt>
                <c:pt idx="1031">
                  <c:v>48.14</c:v>
                </c:pt>
                <c:pt idx="1032">
                  <c:v>48.21</c:v>
                </c:pt>
                <c:pt idx="1033">
                  <c:v>48.1</c:v>
                </c:pt>
                <c:pt idx="1034">
                  <c:v>47.58</c:v>
                </c:pt>
                <c:pt idx="1035">
                  <c:v>48.28</c:v>
                </c:pt>
                <c:pt idx="1036">
                  <c:v>48</c:v>
                </c:pt>
                <c:pt idx="1037">
                  <c:v>48.26</c:v>
                </c:pt>
                <c:pt idx="1038">
                  <c:v>48.56</c:v>
                </c:pt>
                <c:pt idx="1039">
                  <c:v>50.01</c:v>
                </c:pt>
                <c:pt idx="1040">
                  <c:v>50</c:v>
                </c:pt>
                <c:pt idx="1041">
                  <c:v>49.88</c:v>
                </c:pt>
                <c:pt idx="1042">
                  <c:v>50.17</c:v>
                </c:pt>
                <c:pt idx="1043">
                  <c:v>50.85</c:v>
                </c:pt>
                <c:pt idx="1044">
                  <c:v>50.79</c:v>
                </c:pt>
                <c:pt idx="1045">
                  <c:v>49.9</c:v>
                </c:pt>
                <c:pt idx="1046">
                  <c:v>49.46</c:v>
                </c:pt>
                <c:pt idx="1047">
                  <c:v>49.9</c:v>
                </c:pt>
                <c:pt idx="1048">
                  <c:v>49.28</c:v>
                </c:pt>
                <c:pt idx="1049">
                  <c:v>49.77</c:v>
                </c:pt>
                <c:pt idx="1050">
                  <c:v>49.68</c:v>
                </c:pt>
                <c:pt idx="1051">
                  <c:v>50.38</c:v>
                </c:pt>
                <c:pt idx="1052">
                  <c:v>50.04</c:v>
                </c:pt>
                <c:pt idx="1053">
                  <c:v>50.16</c:v>
                </c:pt>
                <c:pt idx="1054">
                  <c:v>50.6</c:v>
                </c:pt>
                <c:pt idx="1055">
                  <c:v>50.86</c:v>
                </c:pt>
                <c:pt idx="1056">
                  <c:v>51.3</c:v>
                </c:pt>
                <c:pt idx="1057">
                  <c:v>51.7</c:v>
                </c:pt>
                <c:pt idx="1058">
                  <c:v>51.3</c:v>
                </c:pt>
                <c:pt idx="1059">
                  <c:v>51.97</c:v>
                </c:pt>
                <c:pt idx="1060">
                  <c:v>52.04</c:v>
                </c:pt>
                <c:pt idx="1061">
                  <c:v>52.08</c:v>
                </c:pt>
                <c:pt idx="1062">
                  <c:v>52.73</c:v>
                </c:pt>
                <c:pt idx="1063">
                  <c:v>52.2</c:v>
                </c:pt>
                <c:pt idx="1064">
                  <c:v>52.14</c:v>
                </c:pt>
                <c:pt idx="1065">
                  <c:v>52.15</c:v>
                </c:pt>
                <c:pt idx="1066">
                  <c:v>51.44</c:v>
                </c:pt>
                <c:pt idx="1067">
                  <c:v>52.37</c:v>
                </c:pt>
                <c:pt idx="1068">
                  <c:v>52.17</c:v>
                </c:pt>
                <c:pt idx="1069">
                  <c:v>51.84</c:v>
                </c:pt>
                <c:pt idx="1070">
                  <c:v>51.88</c:v>
                </c:pt>
                <c:pt idx="1071">
                  <c:v>52.77</c:v>
                </c:pt>
                <c:pt idx="1072">
                  <c:v>52.42</c:v>
                </c:pt>
                <c:pt idx="1073">
                  <c:v>52.49</c:v>
                </c:pt>
                <c:pt idx="1074">
                  <c:v>51.7</c:v>
                </c:pt>
                <c:pt idx="1075">
                  <c:v>51.76</c:v>
                </c:pt>
                <c:pt idx="1076">
                  <c:v>51.55</c:v>
                </c:pt>
                <c:pt idx="1077">
                  <c:v>51.58</c:v>
                </c:pt>
                <c:pt idx="1078">
                  <c:v>52.2</c:v>
                </c:pt>
                <c:pt idx="1079">
                  <c:v>52.63</c:v>
                </c:pt>
                <c:pt idx="1080">
                  <c:v>53.02</c:v>
                </c:pt>
                <c:pt idx="1081">
                  <c:v>51.7</c:v>
                </c:pt>
                <c:pt idx="1082">
                  <c:v>52.64</c:v>
                </c:pt>
                <c:pt idx="1083">
                  <c:v>52.39</c:v>
                </c:pt>
                <c:pt idx="1084">
                  <c:v>52.61</c:v>
                </c:pt>
                <c:pt idx="1085">
                  <c:v>53</c:v>
                </c:pt>
                <c:pt idx="1086">
                  <c:v>53.95</c:v>
                </c:pt>
                <c:pt idx="1087">
                  <c:v>53.89</c:v>
                </c:pt>
                <c:pt idx="1088">
                  <c:v>53.89</c:v>
                </c:pt>
                <c:pt idx="1089">
                  <c:v>53.6</c:v>
                </c:pt>
                <c:pt idx="1090">
                  <c:v>53.09</c:v>
                </c:pt>
                <c:pt idx="1091">
                  <c:v>51.63</c:v>
                </c:pt>
                <c:pt idx="1092">
                  <c:v>51.62</c:v>
                </c:pt>
                <c:pt idx="1093">
                  <c:v>51.12</c:v>
                </c:pt>
                <c:pt idx="1094">
                  <c:v>50.64</c:v>
                </c:pt>
                <c:pt idx="1095">
                  <c:v>49.1</c:v>
                </c:pt>
                <c:pt idx="1096">
                  <c:v>50.25</c:v>
                </c:pt>
                <c:pt idx="1097">
                  <c:v>50.9</c:v>
                </c:pt>
                <c:pt idx="1098">
                  <c:v>50.95</c:v>
                </c:pt>
                <c:pt idx="1099">
                  <c:v>50.44</c:v>
                </c:pt>
                <c:pt idx="1100">
                  <c:v>50.58</c:v>
                </c:pt>
                <c:pt idx="1101">
                  <c:v>50.93</c:v>
                </c:pt>
                <c:pt idx="1102">
                  <c:v>50.56</c:v>
                </c:pt>
                <c:pt idx="1103">
                  <c:v>50.62</c:v>
                </c:pt>
                <c:pt idx="1104">
                  <c:v>50.65</c:v>
                </c:pt>
                <c:pt idx="1105">
                  <c:v>50.63</c:v>
                </c:pt>
                <c:pt idx="1106">
                  <c:v>51</c:v>
                </c:pt>
                <c:pt idx="1107">
                  <c:v>51.61</c:v>
                </c:pt>
                <c:pt idx="1108">
                  <c:v>50.65</c:v>
                </c:pt>
                <c:pt idx="1109">
                  <c:v>50.97</c:v>
                </c:pt>
                <c:pt idx="1110">
                  <c:v>52</c:v>
                </c:pt>
                <c:pt idx="1111">
                  <c:v>51.88</c:v>
                </c:pt>
                <c:pt idx="1112">
                  <c:v>51.5</c:v>
                </c:pt>
                <c:pt idx="1113">
                  <c:v>51.5</c:v>
                </c:pt>
                <c:pt idx="1114">
                  <c:v>51.8</c:v>
                </c:pt>
                <c:pt idx="1115">
                  <c:v>52.05</c:v>
                </c:pt>
                <c:pt idx="1116">
                  <c:v>52.81</c:v>
                </c:pt>
                <c:pt idx="1117">
                  <c:v>52.14</c:v>
                </c:pt>
                <c:pt idx="1118">
                  <c:v>52.71</c:v>
                </c:pt>
                <c:pt idx="1119">
                  <c:v>52.61</c:v>
                </c:pt>
                <c:pt idx="1120">
                  <c:v>50.55</c:v>
                </c:pt>
                <c:pt idx="1121">
                  <c:v>50.95</c:v>
                </c:pt>
                <c:pt idx="1122">
                  <c:v>50.7</c:v>
                </c:pt>
                <c:pt idx="1123">
                  <c:v>50.7</c:v>
                </c:pt>
                <c:pt idx="1124">
                  <c:v>49.76</c:v>
                </c:pt>
                <c:pt idx="1125">
                  <c:v>50.26</c:v>
                </c:pt>
                <c:pt idx="1126">
                  <c:v>50.72</c:v>
                </c:pt>
                <c:pt idx="1127">
                  <c:v>50</c:v>
                </c:pt>
                <c:pt idx="1128">
                  <c:v>50.3</c:v>
                </c:pt>
                <c:pt idx="1129">
                  <c:v>51.2</c:v>
                </c:pt>
                <c:pt idx="1130">
                  <c:v>50.55</c:v>
                </c:pt>
                <c:pt idx="1131">
                  <c:v>51.16</c:v>
                </c:pt>
                <c:pt idx="1132">
                  <c:v>51.05</c:v>
                </c:pt>
                <c:pt idx="1133">
                  <c:v>50.75</c:v>
                </c:pt>
                <c:pt idx="1134">
                  <c:v>50.15</c:v>
                </c:pt>
                <c:pt idx="1135">
                  <c:v>49.56</c:v>
                </c:pt>
                <c:pt idx="1136">
                  <c:v>49.2</c:v>
                </c:pt>
                <c:pt idx="1137">
                  <c:v>49.57</c:v>
                </c:pt>
                <c:pt idx="1138">
                  <c:v>46.55</c:v>
                </c:pt>
                <c:pt idx="1139">
                  <c:v>47</c:v>
                </c:pt>
                <c:pt idx="1140">
                  <c:v>47.3</c:v>
                </c:pt>
                <c:pt idx="1141">
                  <c:v>44</c:v>
                </c:pt>
                <c:pt idx="1142">
                  <c:v>45.67</c:v>
                </c:pt>
                <c:pt idx="1143">
                  <c:v>44.75</c:v>
                </c:pt>
                <c:pt idx="1144">
                  <c:v>46.25</c:v>
                </c:pt>
                <c:pt idx="1145">
                  <c:v>47.45</c:v>
                </c:pt>
                <c:pt idx="1146">
                  <c:v>47.5</c:v>
                </c:pt>
                <c:pt idx="1147">
                  <c:v>49.55</c:v>
                </c:pt>
                <c:pt idx="1148">
                  <c:v>48.61</c:v>
                </c:pt>
                <c:pt idx="1149">
                  <c:v>51.71</c:v>
                </c:pt>
                <c:pt idx="1150">
                  <c:v>50.78</c:v>
                </c:pt>
                <c:pt idx="1151">
                  <c:v>50.81</c:v>
                </c:pt>
                <c:pt idx="1152">
                  <c:v>50.3</c:v>
                </c:pt>
                <c:pt idx="1153">
                  <c:v>50.63</c:v>
                </c:pt>
                <c:pt idx="1154">
                  <c:v>51.14</c:v>
                </c:pt>
                <c:pt idx="1155">
                  <c:v>51.88</c:v>
                </c:pt>
                <c:pt idx="1156">
                  <c:v>51.6</c:v>
                </c:pt>
                <c:pt idx="1157">
                  <c:v>51.78</c:v>
                </c:pt>
                <c:pt idx="1158">
                  <c:v>52.12</c:v>
                </c:pt>
                <c:pt idx="1159">
                  <c:v>52.8</c:v>
                </c:pt>
                <c:pt idx="1160">
                  <c:v>51.98</c:v>
                </c:pt>
                <c:pt idx="1161">
                  <c:v>51.48</c:v>
                </c:pt>
                <c:pt idx="1162">
                  <c:v>53.03</c:v>
                </c:pt>
                <c:pt idx="1163">
                  <c:v>52.8</c:v>
                </c:pt>
                <c:pt idx="1164">
                  <c:v>52.16</c:v>
                </c:pt>
                <c:pt idx="1165">
                  <c:v>52.75</c:v>
                </c:pt>
                <c:pt idx="1166">
                  <c:v>52.09</c:v>
                </c:pt>
                <c:pt idx="1167">
                  <c:v>53.03</c:v>
                </c:pt>
                <c:pt idx="1168">
                  <c:v>52.95</c:v>
                </c:pt>
                <c:pt idx="1169">
                  <c:v>52.5</c:v>
                </c:pt>
                <c:pt idx="1170">
                  <c:v>52.46</c:v>
                </c:pt>
                <c:pt idx="1171">
                  <c:v>53.16</c:v>
                </c:pt>
                <c:pt idx="1172">
                  <c:v>52.52</c:v>
                </c:pt>
                <c:pt idx="1173">
                  <c:v>53.16</c:v>
                </c:pt>
                <c:pt idx="1174">
                  <c:v>54.03</c:v>
                </c:pt>
                <c:pt idx="1175">
                  <c:v>53.37</c:v>
                </c:pt>
                <c:pt idx="1176">
                  <c:v>54.08</c:v>
                </c:pt>
                <c:pt idx="1177">
                  <c:v>53</c:v>
                </c:pt>
                <c:pt idx="1178">
                  <c:v>52.44</c:v>
                </c:pt>
                <c:pt idx="1179">
                  <c:v>52.5</c:v>
                </c:pt>
                <c:pt idx="1180">
                  <c:v>52.5</c:v>
                </c:pt>
                <c:pt idx="1181">
                  <c:v>53.03</c:v>
                </c:pt>
                <c:pt idx="1182">
                  <c:v>52.32</c:v>
                </c:pt>
                <c:pt idx="1183">
                  <c:v>52.13</c:v>
                </c:pt>
                <c:pt idx="1184">
                  <c:v>50.85</c:v>
                </c:pt>
                <c:pt idx="1185">
                  <c:v>51.23</c:v>
                </c:pt>
                <c:pt idx="1186">
                  <c:v>50.65</c:v>
                </c:pt>
                <c:pt idx="1187">
                  <c:v>50.2</c:v>
                </c:pt>
                <c:pt idx="1188">
                  <c:v>51.67</c:v>
                </c:pt>
                <c:pt idx="1189">
                  <c:v>52.27</c:v>
                </c:pt>
                <c:pt idx="1190">
                  <c:v>51.73</c:v>
                </c:pt>
                <c:pt idx="1191">
                  <c:v>50.6</c:v>
                </c:pt>
                <c:pt idx="1192">
                  <c:v>52.24</c:v>
                </c:pt>
                <c:pt idx="1193">
                  <c:v>52.47</c:v>
                </c:pt>
                <c:pt idx="1194">
                  <c:v>52.05</c:v>
                </c:pt>
                <c:pt idx="1195">
                  <c:v>52.94</c:v>
                </c:pt>
                <c:pt idx="1196">
                  <c:v>52.39</c:v>
                </c:pt>
                <c:pt idx="1197">
                  <c:v>53.18</c:v>
                </c:pt>
                <c:pt idx="1198">
                  <c:v>51.5</c:v>
                </c:pt>
                <c:pt idx="1199">
                  <c:v>51.65</c:v>
                </c:pt>
                <c:pt idx="1200">
                  <c:v>52.67</c:v>
                </c:pt>
                <c:pt idx="1201">
                  <c:v>53.94</c:v>
                </c:pt>
                <c:pt idx="1202">
                  <c:v>53.78</c:v>
                </c:pt>
                <c:pt idx="1203">
                  <c:v>53.9</c:v>
                </c:pt>
                <c:pt idx="1204">
                  <c:v>53.65</c:v>
                </c:pt>
                <c:pt idx="1205">
                  <c:v>54.05</c:v>
                </c:pt>
                <c:pt idx="1206">
                  <c:v>54.97</c:v>
                </c:pt>
                <c:pt idx="1207">
                  <c:v>53.97</c:v>
                </c:pt>
                <c:pt idx="1208">
                  <c:v>51.91</c:v>
                </c:pt>
                <c:pt idx="1209">
                  <c:v>53.1</c:v>
                </c:pt>
                <c:pt idx="1210">
                  <c:v>53.04</c:v>
                </c:pt>
                <c:pt idx="1211">
                  <c:v>51.94</c:v>
                </c:pt>
                <c:pt idx="1212">
                  <c:v>52.65</c:v>
                </c:pt>
                <c:pt idx="1213">
                  <c:v>52.38</c:v>
                </c:pt>
                <c:pt idx="1214">
                  <c:v>52.76</c:v>
                </c:pt>
                <c:pt idx="1215">
                  <c:v>53.22</c:v>
                </c:pt>
                <c:pt idx="1216">
                  <c:v>51.95</c:v>
                </c:pt>
                <c:pt idx="1217">
                  <c:v>53.14</c:v>
                </c:pt>
                <c:pt idx="1218">
                  <c:v>52.5</c:v>
                </c:pt>
                <c:pt idx="1219">
                  <c:v>52.43</c:v>
                </c:pt>
                <c:pt idx="1220">
                  <c:v>52.12</c:v>
                </c:pt>
                <c:pt idx="1221">
                  <c:v>51.77</c:v>
                </c:pt>
                <c:pt idx="1222">
                  <c:v>48.48</c:v>
                </c:pt>
                <c:pt idx="1223">
                  <c:v>49.48</c:v>
                </c:pt>
                <c:pt idx="1224">
                  <c:v>51.08</c:v>
                </c:pt>
                <c:pt idx="1225">
                  <c:v>51.7</c:v>
                </c:pt>
                <c:pt idx="1226">
                  <c:v>50.62</c:v>
                </c:pt>
                <c:pt idx="1227">
                  <c:v>51.15</c:v>
                </c:pt>
                <c:pt idx="1228">
                  <c:v>51.51</c:v>
                </c:pt>
                <c:pt idx="1229">
                  <c:v>50.45</c:v>
                </c:pt>
                <c:pt idx="1230">
                  <c:v>51.1</c:v>
                </c:pt>
                <c:pt idx="1231">
                  <c:v>49.31</c:v>
                </c:pt>
                <c:pt idx="1232">
                  <c:v>49.08</c:v>
                </c:pt>
                <c:pt idx="1233">
                  <c:v>49.88</c:v>
                </c:pt>
                <c:pt idx="1234">
                  <c:v>49.12</c:v>
                </c:pt>
                <c:pt idx="1235">
                  <c:v>48.29</c:v>
                </c:pt>
                <c:pt idx="1236">
                  <c:v>49.64</c:v>
                </c:pt>
                <c:pt idx="1237">
                  <c:v>49.62</c:v>
                </c:pt>
                <c:pt idx="1238">
                  <c:v>48.79</c:v>
                </c:pt>
                <c:pt idx="1239">
                  <c:v>49.51</c:v>
                </c:pt>
                <c:pt idx="1240">
                  <c:v>49.56</c:v>
                </c:pt>
                <c:pt idx="1241">
                  <c:v>49.31</c:v>
                </c:pt>
                <c:pt idx="1242">
                  <c:v>48.69</c:v>
                </c:pt>
                <c:pt idx="1243">
                  <c:v>48.23</c:v>
                </c:pt>
                <c:pt idx="1244">
                  <c:v>48</c:v>
                </c:pt>
                <c:pt idx="1245">
                  <c:v>48.76</c:v>
                </c:pt>
                <c:pt idx="1246">
                  <c:v>48</c:v>
                </c:pt>
                <c:pt idx="1247">
                  <c:v>48.04</c:v>
                </c:pt>
                <c:pt idx="1248">
                  <c:v>47.85</c:v>
                </c:pt>
                <c:pt idx="1249">
                  <c:v>47.8</c:v>
                </c:pt>
                <c:pt idx="1250">
                  <c:v>47.91</c:v>
                </c:pt>
                <c:pt idx="1251">
                  <c:v>47.8</c:v>
                </c:pt>
                <c:pt idx="1252">
                  <c:v>47.78</c:v>
                </c:pt>
                <c:pt idx="1253">
                  <c:v>47.7</c:v>
                </c:pt>
                <c:pt idx="1254">
                  <c:v>48.5</c:v>
                </c:pt>
                <c:pt idx="1255">
                  <c:v>48.4</c:v>
                </c:pt>
                <c:pt idx="1256">
                  <c:v>49.43</c:v>
                </c:pt>
                <c:pt idx="1257">
                  <c:v>48.86</c:v>
                </c:pt>
                <c:pt idx="1258">
                  <c:v>49.63</c:v>
                </c:pt>
                <c:pt idx="1259">
                  <c:v>49.11</c:v>
                </c:pt>
                <c:pt idx="1260">
                  <c:v>49.3</c:v>
                </c:pt>
                <c:pt idx="1261">
                  <c:v>50.17</c:v>
                </c:pt>
                <c:pt idx="1262">
                  <c:v>49.6</c:v>
                </c:pt>
                <c:pt idx="1263">
                  <c:v>49.82</c:v>
                </c:pt>
                <c:pt idx="1264">
                  <c:v>50.27</c:v>
                </c:pt>
                <c:pt idx="1265">
                  <c:v>49.76</c:v>
                </c:pt>
                <c:pt idx="1266">
                  <c:v>49.94</c:v>
                </c:pt>
                <c:pt idx="1267">
                  <c:v>49.98</c:v>
                </c:pt>
                <c:pt idx="1268">
                  <c:v>49.25</c:v>
                </c:pt>
                <c:pt idx="1269">
                  <c:v>49.76</c:v>
                </c:pt>
                <c:pt idx="1270">
                  <c:v>49.15</c:v>
                </c:pt>
                <c:pt idx="1271">
                  <c:v>47.95</c:v>
                </c:pt>
                <c:pt idx="1272">
                  <c:v>47.89</c:v>
                </c:pt>
                <c:pt idx="1273">
                  <c:v>48.05</c:v>
                </c:pt>
                <c:pt idx="1274">
                  <c:v>47.57</c:v>
                </c:pt>
                <c:pt idx="1275">
                  <c:v>46.17</c:v>
                </c:pt>
                <c:pt idx="1276">
                  <c:v>47.47</c:v>
                </c:pt>
                <c:pt idx="1277">
                  <c:v>48.07</c:v>
                </c:pt>
                <c:pt idx="1278">
                  <c:v>48.19</c:v>
                </c:pt>
                <c:pt idx="1279">
                  <c:v>48.15</c:v>
                </c:pt>
                <c:pt idx="1280">
                  <c:v>47.25</c:v>
                </c:pt>
                <c:pt idx="1281">
                  <c:v>47.3</c:v>
                </c:pt>
                <c:pt idx="1282">
                  <c:v>47.79</c:v>
                </c:pt>
                <c:pt idx="1283">
                  <c:v>47.58</c:v>
                </c:pt>
                <c:pt idx="1284">
                  <c:v>47.37</c:v>
                </c:pt>
                <c:pt idx="1285">
                  <c:v>47.63</c:v>
                </c:pt>
                <c:pt idx="1286">
                  <c:v>47.7</c:v>
                </c:pt>
                <c:pt idx="1287">
                  <c:v>48.25</c:v>
                </c:pt>
                <c:pt idx="1288">
                  <c:v>47.78</c:v>
                </c:pt>
                <c:pt idx="1289">
                  <c:v>47.8</c:v>
                </c:pt>
                <c:pt idx="1290">
                  <c:v>47.89</c:v>
                </c:pt>
                <c:pt idx="1291">
                  <c:v>47.3</c:v>
                </c:pt>
                <c:pt idx="1292">
                  <c:v>47.9</c:v>
                </c:pt>
                <c:pt idx="1293">
                  <c:v>47.47</c:v>
                </c:pt>
                <c:pt idx="1294">
                  <c:v>47.25</c:v>
                </c:pt>
                <c:pt idx="1295">
                  <c:v>46.5</c:v>
                </c:pt>
                <c:pt idx="1296">
                  <c:v>46.75</c:v>
                </c:pt>
                <c:pt idx="1297">
                  <c:v>45.92</c:v>
                </c:pt>
                <c:pt idx="1298">
                  <c:v>45.97</c:v>
                </c:pt>
                <c:pt idx="1299">
                  <c:v>46.5</c:v>
                </c:pt>
                <c:pt idx="1300">
                  <c:v>46.93</c:v>
                </c:pt>
                <c:pt idx="1301">
                  <c:v>46.32</c:v>
                </c:pt>
                <c:pt idx="1302">
                  <c:v>46.34</c:v>
                </c:pt>
                <c:pt idx="1303">
                  <c:v>47.08</c:v>
                </c:pt>
                <c:pt idx="1304">
                  <c:v>47.79</c:v>
                </c:pt>
                <c:pt idx="1305">
                  <c:v>47.7</c:v>
                </c:pt>
                <c:pt idx="1306">
                  <c:v>48.83</c:v>
                </c:pt>
                <c:pt idx="1307">
                  <c:v>48.43</c:v>
                </c:pt>
                <c:pt idx="1308">
                  <c:v>48.78</c:v>
                </c:pt>
                <c:pt idx="1309">
                  <c:v>47.97</c:v>
                </c:pt>
                <c:pt idx="1310">
                  <c:v>48.4</c:v>
                </c:pt>
                <c:pt idx="1311">
                  <c:v>47.56</c:v>
                </c:pt>
                <c:pt idx="1312">
                  <c:v>47.58</c:v>
                </c:pt>
                <c:pt idx="1313">
                  <c:v>47.08</c:v>
                </c:pt>
                <c:pt idx="1314">
                  <c:v>46.98</c:v>
                </c:pt>
                <c:pt idx="1315">
                  <c:v>46.81</c:v>
                </c:pt>
                <c:pt idx="1316">
                  <c:v>46.61</c:v>
                </c:pt>
                <c:pt idx="1317">
                  <c:v>46.97</c:v>
                </c:pt>
                <c:pt idx="1318">
                  <c:v>47.45</c:v>
                </c:pt>
                <c:pt idx="1319">
                  <c:v>47.51</c:v>
                </c:pt>
                <c:pt idx="1320">
                  <c:v>48.1</c:v>
                </c:pt>
                <c:pt idx="1321">
                  <c:v>47.67</c:v>
                </c:pt>
                <c:pt idx="1322">
                  <c:v>48.15</c:v>
                </c:pt>
                <c:pt idx="1323">
                  <c:v>46.45</c:v>
                </c:pt>
                <c:pt idx="1324">
                  <c:v>47.26</c:v>
                </c:pt>
                <c:pt idx="1325">
                  <c:v>47.43</c:v>
                </c:pt>
                <c:pt idx="1326">
                  <c:v>48.04</c:v>
                </c:pt>
                <c:pt idx="1327">
                  <c:v>47.92</c:v>
                </c:pt>
                <c:pt idx="1328">
                  <c:v>47.23</c:v>
                </c:pt>
                <c:pt idx="1329">
                  <c:v>48.11</c:v>
                </c:pt>
                <c:pt idx="1330">
                  <c:v>47.82</c:v>
                </c:pt>
                <c:pt idx="1331">
                  <c:v>48.09</c:v>
                </c:pt>
                <c:pt idx="1332">
                  <c:v>48.85</c:v>
                </c:pt>
                <c:pt idx="1333">
                  <c:v>48.01</c:v>
                </c:pt>
                <c:pt idx="1334">
                  <c:v>48.25</c:v>
                </c:pt>
                <c:pt idx="1335">
                  <c:v>49.06</c:v>
                </c:pt>
                <c:pt idx="1336">
                  <c:v>50.25</c:v>
                </c:pt>
                <c:pt idx="1337">
                  <c:v>49.88</c:v>
                </c:pt>
                <c:pt idx="1338">
                  <c:v>49.97</c:v>
                </c:pt>
                <c:pt idx="1339">
                  <c:v>50</c:v>
                </c:pt>
                <c:pt idx="1340">
                  <c:v>49.84</c:v>
                </c:pt>
                <c:pt idx="1341">
                  <c:v>50.01</c:v>
                </c:pt>
                <c:pt idx="1342">
                  <c:v>49.86</c:v>
                </c:pt>
                <c:pt idx="1343">
                  <c:v>49.9</c:v>
                </c:pt>
                <c:pt idx="1344">
                  <c:v>50.61</c:v>
                </c:pt>
                <c:pt idx="1345">
                  <c:v>51.2</c:v>
                </c:pt>
                <c:pt idx="1346">
                  <c:v>50.85</c:v>
                </c:pt>
                <c:pt idx="1347">
                  <c:v>51.16</c:v>
                </c:pt>
                <c:pt idx="1348">
                  <c:v>51.51</c:v>
                </c:pt>
                <c:pt idx="1349">
                  <c:v>51.74</c:v>
                </c:pt>
                <c:pt idx="1350">
                  <c:v>51.76</c:v>
                </c:pt>
                <c:pt idx="1351">
                  <c:v>51.82</c:v>
                </c:pt>
                <c:pt idx="1352">
                  <c:v>51.49</c:v>
                </c:pt>
                <c:pt idx="1353">
                  <c:v>51.87</c:v>
                </c:pt>
                <c:pt idx="1354">
                  <c:v>52.47</c:v>
                </c:pt>
                <c:pt idx="1355">
                  <c:v>52.3</c:v>
                </c:pt>
                <c:pt idx="1356">
                  <c:v>52.3</c:v>
                </c:pt>
                <c:pt idx="1357">
                  <c:v>52.64</c:v>
                </c:pt>
                <c:pt idx="1358">
                  <c:v>52.63</c:v>
                </c:pt>
                <c:pt idx="1359">
                  <c:v>52.99</c:v>
                </c:pt>
                <c:pt idx="1360">
                  <c:v>52.99</c:v>
                </c:pt>
                <c:pt idx="1361">
                  <c:v>53.08</c:v>
                </c:pt>
                <c:pt idx="1362">
                  <c:v>52.69</c:v>
                </c:pt>
                <c:pt idx="1363">
                  <c:v>52.63</c:v>
                </c:pt>
                <c:pt idx="1364">
                  <c:v>52.51</c:v>
                </c:pt>
                <c:pt idx="1365">
                  <c:v>53</c:v>
                </c:pt>
                <c:pt idx="1366">
                  <c:v>53.25</c:v>
                </c:pt>
                <c:pt idx="1367">
                  <c:v>52.99</c:v>
                </c:pt>
                <c:pt idx="1368">
                  <c:v>53.31</c:v>
                </c:pt>
                <c:pt idx="1369">
                  <c:v>53.69</c:v>
                </c:pt>
                <c:pt idx="1370">
                  <c:v>53.39</c:v>
                </c:pt>
                <c:pt idx="1371">
                  <c:v>53.54</c:v>
                </c:pt>
                <c:pt idx="1372">
                  <c:v>52.4</c:v>
                </c:pt>
                <c:pt idx="1373">
                  <c:v>51.35</c:v>
                </c:pt>
                <c:pt idx="1374">
                  <c:v>50.69</c:v>
                </c:pt>
                <c:pt idx="1375">
                  <c:v>50.85</c:v>
                </c:pt>
                <c:pt idx="1376">
                  <c:v>50.4</c:v>
                </c:pt>
                <c:pt idx="1377">
                  <c:v>51.12</c:v>
                </c:pt>
                <c:pt idx="1378">
                  <c:v>50.98</c:v>
                </c:pt>
                <c:pt idx="1379">
                  <c:v>51.05</c:v>
                </c:pt>
                <c:pt idx="1380">
                  <c:v>51.24</c:v>
                </c:pt>
                <c:pt idx="1381">
                  <c:v>51.6</c:v>
                </c:pt>
                <c:pt idx="1382">
                  <c:v>51.4</c:v>
                </c:pt>
                <c:pt idx="1383">
                  <c:v>51.47</c:v>
                </c:pt>
                <c:pt idx="1384">
                  <c:v>51</c:v>
                </c:pt>
                <c:pt idx="1385">
                  <c:v>51.07</c:v>
                </c:pt>
                <c:pt idx="1386">
                  <c:v>51.34</c:v>
                </c:pt>
                <c:pt idx="1387">
                  <c:v>51.3</c:v>
                </c:pt>
                <c:pt idx="1388">
                  <c:v>50.33</c:v>
                </c:pt>
                <c:pt idx="1389">
                  <c:v>50.81</c:v>
                </c:pt>
                <c:pt idx="1390">
                  <c:v>51.28</c:v>
                </c:pt>
                <c:pt idx="1391">
                  <c:v>50.93</c:v>
                </c:pt>
                <c:pt idx="1392">
                  <c:v>51.47</c:v>
                </c:pt>
                <c:pt idx="1393">
                  <c:v>51.2</c:v>
                </c:pt>
                <c:pt idx="1394">
                  <c:v>51.54</c:v>
                </c:pt>
                <c:pt idx="1395">
                  <c:v>51.1</c:v>
                </c:pt>
                <c:pt idx="1396">
                  <c:v>51.08</c:v>
                </c:pt>
                <c:pt idx="1397">
                  <c:v>52.19</c:v>
                </c:pt>
                <c:pt idx="1398">
                  <c:v>52.16</c:v>
                </c:pt>
                <c:pt idx="1399">
                  <c:v>51.68</c:v>
                </c:pt>
                <c:pt idx="1400">
                  <c:v>52</c:v>
                </c:pt>
                <c:pt idx="1401">
                  <c:v>51.82</c:v>
                </c:pt>
                <c:pt idx="1402">
                  <c:v>51.34</c:v>
                </c:pt>
                <c:pt idx="1403">
                  <c:v>51.88</c:v>
                </c:pt>
                <c:pt idx="1404">
                  <c:v>51</c:v>
                </c:pt>
                <c:pt idx="1405">
                  <c:v>51.23</c:v>
                </c:pt>
                <c:pt idx="1406">
                  <c:v>51.65</c:v>
                </c:pt>
                <c:pt idx="1407">
                  <c:v>52</c:v>
                </c:pt>
                <c:pt idx="1408">
                  <c:v>52.13</c:v>
                </c:pt>
                <c:pt idx="1409">
                  <c:v>52.11</c:v>
                </c:pt>
                <c:pt idx="1410">
                  <c:v>51.91</c:v>
                </c:pt>
                <c:pt idx="1411">
                  <c:v>51.87</c:v>
                </c:pt>
                <c:pt idx="1412">
                  <c:v>51.83</c:v>
                </c:pt>
                <c:pt idx="1413">
                  <c:v>52.13</c:v>
                </c:pt>
                <c:pt idx="1414">
                  <c:v>51.49</c:v>
                </c:pt>
                <c:pt idx="1415">
                  <c:v>51.01</c:v>
                </c:pt>
                <c:pt idx="1416">
                  <c:v>50.83</c:v>
                </c:pt>
                <c:pt idx="1417">
                  <c:v>50.48</c:v>
                </c:pt>
                <c:pt idx="1418">
                  <c:v>50.68</c:v>
                </c:pt>
                <c:pt idx="1419">
                  <c:v>50.58</c:v>
                </c:pt>
                <c:pt idx="1420">
                  <c:v>50.85</c:v>
                </c:pt>
                <c:pt idx="1421">
                  <c:v>50.98</c:v>
                </c:pt>
                <c:pt idx="1422">
                  <c:v>51.54</c:v>
                </c:pt>
                <c:pt idx="1423">
                  <c:v>52.26</c:v>
                </c:pt>
                <c:pt idx="1424">
                  <c:v>52.29</c:v>
                </c:pt>
                <c:pt idx="1425">
                  <c:v>52.15</c:v>
                </c:pt>
                <c:pt idx="1426">
                  <c:v>51.63</c:v>
                </c:pt>
                <c:pt idx="1427">
                  <c:v>51.37</c:v>
                </c:pt>
                <c:pt idx="1428">
                  <c:v>50.71</c:v>
                </c:pt>
                <c:pt idx="1429">
                  <c:v>51.02</c:v>
                </c:pt>
                <c:pt idx="1430">
                  <c:v>50.93</c:v>
                </c:pt>
                <c:pt idx="1431">
                  <c:v>51.15</c:v>
                </c:pt>
                <c:pt idx="1432">
                  <c:v>51.49</c:v>
                </c:pt>
                <c:pt idx="1433">
                  <c:v>51.61</c:v>
                </c:pt>
                <c:pt idx="1434">
                  <c:v>51.11</c:v>
                </c:pt>
                <c:pt idx="1435">
                  <c:v>51.4</c:v>
                </c:pt>
                <c:pt idx="1436">
                  <c:v>51.1</c:v>
                </c:pt>
                <c:pt idx="1437">
                  <c:v>50.5</c:v>
                </c:pt>
                <c:pt idx="1438">
                  <c:v>50.8</c:v>
                </c:pt>
                <c:pt idx="1439">
                  <c:v>50.72</c:v>
                </c:pt>
                <c:pt idx="1440">
                  <c:v>50.94</c:v>
                </c:pt>
                <c:pt idx="1441">
                  <c:v>49.92</c:v>
                </c:pt>
                <c:pt idx="1442">
                  <c:v>50.27</c:v>
                </c:pt>
                <c:pt idx="1443">
                  <c:v>49.34</c:v>
                </c:pt>
                <c:pt idx="1444">
                  <c:v>51</c:v>
                </c:pt>
                <c:pt idx="1445">
                  <c:v>50.56</c:v>
                </c:pt>
                <c:pt idx="1446">
                  <c:v>50.4</c:v>
                </c:pt>
                <c:pt idx="1447">
                  <c:v>50.96</c:v>
                </c:pt>
                <c:pt idx="1448">
                  <c:v>50.95</c:v>
                </c:pt>
                <c:pt idx="1449">
                  <c:v>50.55</c:v>
                </c:pt>
                <c:pt idx="1450">
                  <c:v>50.4</c:v>
                </c:pt>
                <c:pt idx="1451">
                  <c:v>50.56</c:v>
                </c:pt>
                <c:pt idx="1452">
                  <c:v>50.21</c:v>
                </c:pt>
                <c:pt idx="1453">
                  <c:v>49.8</c:v>
                </c:pt>
                <c:pt idx="1454">
                  <c:v>48.89</c:v>
                </c:pt>
                <c:pt idx="1455">
                  <c:v>49.17</c:v>
                </c:pt>
                <c:pt idx="1456">
                  <c:v>48.77</c:v>
                </c:pt>
                <c:pt idx="1457">
                  <c:v>48.69</c:v>
                </c:pt>
                <c:pt idx="1458">
                  <c:v>49.2</c:v>
                </c:pt>
                <c:pt idx="1459">
                  <c:v>49.5</c:v>
                </c:pt>
                <c:pt idx="1460">
                  <c:v>49.6</c:v>
                </c:pt>
                <c:pt idx="1461">
                  <c:v>49.77</c:v>
                </c:pt>
                <c:pt idx="1462">
                  <c:v>49.52</c:v>
                </c:pt>
                <c:pt idx="1463">
                  <c:v>49.2</c:v>
                </c:pt>
                <c:pt idx="1464">
                  <c:v>48.95</c:v>
                </c:pt>
                <c:pt idx="1465">
                  <c:v>48.79</c:v>
                </c:pt>
                <c:pt idx="1466">
                  <c:v>49.26</c:v>
                </c:pt>
                <c:pt idx="1467">
                  <c:v>49.65</c:v>
                </c:pt>
                <c:pt idx="1468">
                  <c:v>49.02</c:v>
                </c:pt>
                <c:pt idx="1469">
                  <c:v>49.22</c:v>
                </c:pt>
                <c:pt idx="1470">
                  <c:v>50.49</c:v>
                </c:pt>
                <c:pt idx="1471">
                  <c:v>51.3</c:v>
                </c:pt>
                <c:pt idx="1472">
                  <c:v>51.72</c:v>
                </c:pt>
                <c:pt idx="1473">
                  <c:v>52.19</c:v>
                </c:pt>
                <c:pt idx="1474">
                  <c:v>52.76</c:v>
                </c:pt>
                <c:pt idx="1475">
                  <c:v>52.41</c:v>
                </c:pt>
                <c:pt idx="1476">
                  <c:v>52.4</c:v>
                </c:pt>
                <c:pt idx="1477">
                  <c:v>52.5</c:v>
                </c:pt>
                <c:pt idx="1478">
                  <c:v>52.73</c:v>
                </c:pt>
                <c:pt idx="1479">
                  <c:v>52.48</c:v>
                </c:pt>
                <c:pt idx="1480">
                  <c:v>51.85</c:v>
                </c:pt>
                <c:pt idx="1481">
                  <c:v>51.95</c:v>
                </c:pt>
                <c:pt idx="1482">
                  <c:v>52.2</c:v>
                </c:pt>
                <c:pt idx="1483">
                  <c:v>52.52</c:v>
                </c:pt>
                <c:pt idx="1484">
                  <c:v>52.4</c:v>
                </c:pt>
                <c:pt idx="1485">
                  <c:v>51.82</c:v>
                </c:pt>
                <c:pt idx="1486">
                  <c:v>52.31</c:v>
                </c:pt>
                <c:pt idx="1487">
                  <c:v>52.2</c:v>
                </c:pt>
                <c:pt idx="1488">
                  <c:v>52.61</c:v>
                </c:pt>
                <c:pt idx="1489">
                  <c:v>52.9</c:v>
                </c:pt>
                <c:pt idx="1490">
                  <c:v>52.61</c:v>
                </c:pt>
                <c:pt idx="1491">
                  <c:v>52.52</c:v>
                </c:pt>
                <c:pt idx="1492">
                  <c:v>52.42</c:v>
                </c:pt>
                <c:pt idx="1493">
                  <c:v>52.23</c:v>
                </c:pt>
                <c:pt idx="1494">
                  <c:v>52.4</c:v>
                </c:pt>
                <c:pt idx="1495">
                  <c:v>52.17</c:v>
                </c:pt>
                <c:pt idx="1496">
                  <c:v>52.26</c:v>
                </c:pt>
                <c:pt idx="1497">
                  <c:v>52.16</c:v>
                </c:pt>
                <c:pt idx="1498">
                  <c:v>52.38</c:v>
                </c:pt>
                <c:pt idx="1499">
                  <c:v>52.38</c:v>
                </c:pt>
                <c:pt idx="1500">
                  <c:v>52.1</c:v>
                </c:pt>
                <c:pt idx="1501">
                  <c:v>52.2</c:v>
                </c:pt>
                <c:pt idx="1502">
                  <c:v>52.55</c:v>
                </c:pt>
                <c:pt idx="1503">
                  <c:v>52.48</c:v>
                </c:pt>
                <c:pt idx="1504">
                  <c:v>52.44</c:v>
                </c:pt>
                <c:pt idx="1505">
                  <c:v>52.4</c:v>
                </c:pt>
                <c:pt idx="1506">
                  <c:v>52.33</c:v>
                </c:pt>
                <c:pt idx="1507">
                  <c:v>52.68</c:v>
                </c:pt>
                <c:pt idx="1508">
                  <c:v>52.44</c:v>
                </c:pt>
                <c:pt idx="1509">
                  <c:v>52.55</c:v>
                </c:pt>
                <c:pt idx="1510">
                  <c:v>51.9</c:v>
                </c:pt>
                <c:pt idx="1511">
                  <c:v>51.38</c:v>
                </c:pt>
                <c:pt idx="1512">
                  <c:v>50.71</c:v>
                </c:pt>
                <c:pt idx="1513">
                  <c:v>50.15</c:v>
                </c:pt>
                <c:pt idx="1514">
                  <c:v>50.82</c:v>
                </c:pt>
                <c:pt idx="1515">
                  <c:v>50.77</c:v>
                </c:pt>
                <c:pt idx="1516">
                  <c:v>51</c:v>
                </c:pt>
                <c:pt idx="1517">
                  <c:v>50.63</c:v>
                </c:pt>
                <c:pt idx="1518">
                  <c:v>50.35</c:v>
                </c:pt>
                <c:pt idx="1519">
                  <c:v>50.26</c:v>
                </c:pt>
                <c:pt idx="1520">
                  <c:v>50.14</c:v>
                </c:pt>
                <c:pt idx="1521">
                  <c:v>50.69</c:v>
                </c:pt>
                <c:pt idx="1522">
                  <c:v>51.4</c:v>
                </c:pt>
                <c:pt idx="1523">
                  <c:v>51.39</c:v>
                </c:pt>
                <c:pt idx="1524">
                  <c:v>51.33</c:v>
                </c:pt>
                <c:pt idx="1525">
                  <c:v>50.9</c:v>
                </c:pt>
                <c:pt idx="1526">
                  <c:v>51.1</c:v>
                </c:pt>
                <c:pt idx="1527">
                  <c:v>50.72</c:v>
                </c:pt>
                <c:pt idx="1528">
                  <c:v>51.01</c:v>
                </c:pt>
                <c:pt idx="1529">
                  <c:v>51.65</c:v>
                </c:pt>
                <c:pt idx="1530">
                  <c:v>51.88</c:v>
                </c:pt>
                <c:pt idx="1531">
                  <c:v>51.71</c:v>
                </c:pt>
                <c:pt idx="1532">
                  <c:v>52</c:v>
                </c:pt>
                <c:pt idx="1533">
                  <c:v>51.74</c:v>
                </c:pt>
                <c:pt idx="1534">
                  <c:v>51.8</c:v>
                </c:pt>
                <c:pt idx="1535">
                  <c:v>51.86</c:v>
                </c:pt>
                <c:pt idx="1536">
                  <c:v>51.95</c:v>
                </c:pt>
                <c:pt idx="1537">
                  <c:v>51.97</c:v>
                </c:pt>
                <c:pt idx="1538">
                  <c:v>51.95</c:v>
                </c:pt>
                <c:pt idx="1539">
                  <c:v>51.71</c:v>
                </c:pt>
                <c:pt idx="1540">
                  <c:v>51.9</c:v>
                </c:pt>
                <c:pt idx="1541">
                  <c:v>52.94</c:v>
                </c:pt>
                <c:pt idx="1542">
                  <c:v>54.01</c:v>
                </c:pt>
                <c:pt idx="1543">
                  <c:v>53.26</c:v>
                </c:pt>
                <c:pt idx="1544">
                  <c:v>53.5</c:v>
                </c:pt>
                <c:pt idx="1545">
                  <c:v>53.17</c:v>
                </c:pt>
                <c:pt idx="1546">
                  <c:v>53.22</c:v>
                </c:pt>
                <c:pt idx="1547">
                  <c:v>53.79</c:v>
                </c:pt>
                <c:pt idx="1548">
                  <c:v>53.21</c:v>
                </c:pt>
                <c:pt idx="1549">
                  <c:v>53.74</c:v>
                </c:pt>
                <c:pt idx="1550">
                  <c:v>53.05</c:v>
                </c:pt>
                <c:pt idx="1551">
                  <c:v>52.5</c:v>
                </c:pt>
                <c:pt idx="1552">
                  <c:v>52.21</c:v>
                </c:pt>
                <c:pt idx="1553">
                  <c:v>52.7</c:v>
                </c:pt>
                <c:pt idx="1554">
                  <c:v>53.07</c:v>
                </c:pt>
                <c:pt idx="1555">
                  <c:v>52.85</c:v>
                </c:pt>
                <c:pt idx="1556">
                  <c:v>52.88</c:v>
                </c:pt>
                <c:pt idx="1557">
                  <c:v>52.02</c:v>
                </c:pt>
                <c:pt idx="1558">
                  <c:v>51.77</c:v>
                </c:pt>
                <c:pt idx="1559">
                  <c:v>51.92</c:v>
                </c:pt>
                <c:pt idx="1560">
                  <c:v>51.57</c:v>
                </c:pt>
                <c:pt idx="1561">
                  <c:v>51.85</c:v>
                </c:pt>
                <c:pt idx="1562">
                  <c:v>51.02</c:v>
                </c:pt>
                <c:pt idx="1563">
                  <c:v>50.32</c:v>
                </c:pt>
                <c:pt idx="1564">
                  <c:v>49.99</c:v>
                </c:pt>
                <c:pt idx="1565">
                  <c:v>49.94</c:v>
                </c:pt>
                <c:pt idx="1566">
                  <c:v>50.19</c:v>
                </c:pt>
                <c:pt idx="1567">
                  <c:v>51.11</c:v>
                </c:pt>
                <c:pt idx="1568">
                  <c:v>51.15</c:v>
                </c:pt>
                <c:pt idx="1569">
                  <c:v>51</c:v>
                </c:pt>
                <c:pt idx="1570">
                  <c:v>51.41</c:v>
                </c:pt>
                <c:pt idx="1571">
                  <c:v>51</c:v>
                </c:pt>
                <c:pt idx="1572">
                  <c:v>50.62</c:v>
                </c:pt>
                <c:pt idx="1573">
                  <c:v>51.03</c:v>
                </c:pt>
                <c:pt idx="1574">
                  <c:v>50.64</c:v>
                </c:pt>
                <c:pt idx="1575">
                  <c:v>51.03</c:v>
                </c:pt>
                <c:pt idx="1576">
                  <c:v>50.95</c:v>
                </c:pt>
                <c:pt idx="1577">
                  <c:v>50.76</c:v>
                </c:pt>
                <c:pt idx="1578">
                  <c:v>50.69</c:v>
                </c:pt>
                <c:pt idx="1579">
                  <c:v>50.61</c:v>
                </c:pt>
                <c:pt idx="1580">
                  <c:v>50.52</c:v>
                </c:pt>
                <c:pt idx="1581">
                  <c:v>51.19</c:v>
                </c:pt>
                <c:pt idx="1582">
                  <c:v>51.07</c:v>
                </c:pt>
                <c:pt idx="1583">
                  <c:v>51</c:v>
                </c:pt>
                <c:pt idx="1584">
                  <c:v>51.4</c:v>
                </c:pt>
                <c:pt idx="1585">
                  <c:v>52.26</c:v>
                </c:pt>
                <c:pt idx="1586">
                  <c:v>51.95</c:v>
                </c:pt>
                <c:pt idx="1587">
                  <c:v>51.98</c:v>
                </c:pt>
                <c:pt idx="1588">
                  <c:v>51.28</c:v>
                </c:pt>
                <c:pt idx="1589">
                  <c:v>51.38</c:v>
                </c:pt>
                <c:pt idx="1590">
                  <c:v>51.24</c:v>
                </c:pt>
                <c:pt idx="1591">
                  <c:v>51.29</c:v>
                </c:pt>
                <c:pt idx="1592">
                  <c:v>51.09</c:v>
                </c:pt>
                <c:pt idx="1593">
                  <c:v>51.1</c:v>
                </c:pt>
                <c:pt idx="1594">
                  <c:v>50.9</c:v>
                </c:pt>
                <c:pt idx="1595">
                  <c:v>51.69</c:v>
                </c:pt>
                <c:pt idx="1596">
                  <c:v>51.65</c:v>
                </c:pt>
                <c:pt idx="1597">
                  <c:v>51.95</c:v>
                </c:pt>
                <c:pt idx="1598">
                  <c:v>51.64</c:v>
                </c:pt>
                <c:pt idx="1599">
                  <c:v>51.25</c:v>
                </c:pt>
                <c:pt idx="1600">
                  <c:v>51.22</c:v>
                </c:pt>
                <c:pt idx="1601">
                  <c:v>51.82</c:v>
                </c:pt>
                <c:pt idx="1602">
                  <c:v>51.75</c:v>
                </c:pt>
                <c:pt idx="1603">
                  <c:v>51.81</c:v>
                </c:pt>
                <c:pt idx="1604">
                  <c:v>52.11</c:v>
                </c:pt>
                <c:pt idx="1605">
                  <c:v>51.55</c:v>
                </c:pt>
                <c:pt idx="1606">
                  <c:v>51.65</c:v>
                </c:pt>
                <c:pt idx="1607">
                  <c:v>52.73</c:v>
                </c:pt>
                <c:pt idx="1608">
                  <c:v>52.99</c:v>
                </c:pt>
                <c:pt idx="1609">
                  <c:v>53.27</c:v>
                </c:pt>
                <c:pt idx="1610">
                  <c:v>53.27</c:v>
                </c:pt>
                <c:pt idx="1611">
                  <c:v>53.44</c:v>
                </c:pt>
                <c:pt idx="1612">
                  <c:v>53.87</c:v>
                </c:pt>
                <c:pt idx="1613">
                  <c:v>53.92</c:v>
                </c:pt>
                <c:pt idx="1614">
                  <c:v>54.08</c:v>
                </c:pt>
                <c:pt idx="1615">
                  <c:v>53.75</c:v>
                </c:pt>
                <c:pt idx="1616">
                  <c:v>54.12</c:v>
                </c:pt>
                <c:pt idx="1617">
                  <c:v>54.08</c:v>
                </c:pt>
                <c:pt idx="1618">
                  <c:v>53.66</c:v>
                </c:pt>
                <c:pt idx="1619">
                  <c:v>53.92</c:v>
                </c:pt>
                <c:pt idx="1620">
                  <c:v>54.22</c:v>
                </c:pt>
                <c:pt idx="1621">
                  <c:v>54.11</c:v>
                </c:pt>
                <c:pt idx="1622">
                  <c:v>53.83</c:v>
                </c:pt>
                <c:pt idx="1623">
                  <c:v>54</c:v>
                </c:pt>
                <c:pt idx="1624">
                  <c:v>53.98</c:v>
                </c:pt>
                <c:pt idx="1625">
                  <c:v>53.93</c:v>
                </c:pt>
                <c:pt idx="1626">
                  <c:v>54.04</c:v>
                </c:pt>
                <c:pt idx="1627">
                  <c:v>54</c:v>
                </c:pt>
                <c:pt idx="1628">
                  <c:v>53.72</c:v>
                </c:pt>
                <c:pt idx="1629">
                  <c:v>53.89</c:v>
                </c:pt>
                <c:pt idx="1630">
                  <c:v>54.22</c:v>
                </c:pt>
                <c:pt idx="1631">
                  <c:v>54</c:v>
                </c:pt>
                <c:pt idx="1632">
                  <c:v>53.93</c:v>
                </c:pt>
                <c:pt idx="1633">
                  <c:v>53.87</c:v>
                </c:pt>
                <c:pt idx="1634">
                  <c:v>54.11</c:v>
                </c:pt>
                <c:pt idx="1635">
                  <c:v>54.09</c:v>
                </c:pt>
                <c:pt idx="1636">
                  <c:v>53.87</c:v>
                </c:pt>
                <c:pt idx="1637">
                  <c:v>53.64</c:v>
                </c:pt>
                <c:pt idx="1638">
                  <c:v>54.14</c:v>
                </c:pt>
                <c:pt idx="1639">
                  <c:v>54.07</c:v>
                </c:pt>
                <c:pt idx="1640">
                  <c:v>54.29</c:v>
                </c:pt>
                <c:pt idx="1641">
                  <c:v>54.17</c:v>
                </c:pt>
                <c:pt idx="1642">
                  <c:v>53.65</c:v>
                </c:pt>
                <c:pt idx="1643">
                  <c:v>53.3</c:v>
                </c:pt>
                <c:pt idx="1644">
                  <c:v>53.2</c:v>
                </c:pt>
                <c:pt idx="1645">
                  <c:v>52.19</c:v>
                </c:pt>
                <c:pt idx="1646">
                  <c:v>51.83</c:v>
                </c:pt>
                <c:pt idx="1647">
                  <c:v>51.44</c:v>
                </c:pt>
                <c:pt idx="1648">
                  <c:v>51.65</c:v>
                </c:pt>
                <c:pt idx="1649">
                  <c:v>51.9</c:v>
                </c:pt>
                <c:pt idx="1650">
                  <c:v>52.33</c:v>
                </c:pt>
                <c:pt idx="1651">
                  <c:v>51.18</c:v>
                </c:pt>
                <c:pt idx="1652">
                  <c:v>51.9</c:v>
                </c:pt>
                <c:pt idx="1653">
                  <c:v>52.76</c:v>
                </c:pt>
                <c:pt idx="1654">
                  <c:v>52.36</c:v>
                </c:pt>
                <c:pt idx="1655">
                  <c:v>52.78</c:v>
                </c:pt>
                <c:pt idx="1656">
                  <c:v>52.18</c:v>
                </c:pt>
                <c:pt idx="1657">
                  <c:v>51.88</c:v>
                </c:pt>
                <c:pt idx="1658">
                  <c:v>51.97</c:v>
                </c:pt>
                <c:pt idx="1659">
                  <c:v>52.29</c:v>
                </c:pt>
                <c:pt idx="1660">
                  <c:v>52.79</c:v>
                </c:pt>
                <c:pt idx="1661">
                  <c:v>52.79</c:v>
                </c:pt>
                <c:pt idx="1662">
                  <c:v>52.57</c:v>
                </c:pt>
                <c:pt idx="1663">
                  <c:v>52.52</c:v>
                </c:pt>
                <c:pt idx="1664">
                  <c:v>52.96</c:v>
                </c:pt>
                <c:pt idx="1665">
                  <c:v>53.07</c:v>
                </c:pt>
                <c:pt idx="1666">
                  <c:v>52.55</c:v>
                </c:pt>
                <c:pt idx="1667">
                  <c:v>52.58</c:v>
                </c:pt>
                <c:pt idx="1668">
                  <c:v>52.75</c:v>
                </c:pt>
                <c:pt idx="1669">
                  <c:v>52.52</c:v>
                </c:pt>
                <c:pt idx="1670">
                  <c:v>52.78</c:v>
                </c:pt>
                <c:pt idx="1671">
                  <c:v>52.66</c:v>
                </c:pt>
                <c:pt idx="1672">
                  <c:v>52.47</c:v>
                </c:pt>
                <c:pt idx="1673">
                  <c:v>52.56</c:v>
                </c:pt>
                <c:pt idx="1674">
                  <c:v>52.8</c:v>
                </c:pt>
                <c:pt idx="1675">
                  <c:v>52.46</c:v>
                </c:pt>
                <c:pt idx="1676">
                  <c:v>52.37</c:v>
                </c:pt>
                <c:pt idx="1677">
                  <c:v>52.53</c:v>
                </c:pt>
                <c:pt idx="1678">
                  <c:v>52.57</c:v>
                </c:pt>
                <c:pt idx="1679">
                  <c:v>51.88</c:v>
                </c:pt>
                <c:pt idx="1680">
                  <c:v>50.89</c:v>
                </c:pt>
                <c:pt idx="1681">
                  <c:v>51.17</c:v>
                </c:pt>
                <c:pt idx="1682">
                  <c:v>50.9</c:v>
                </c:pt>
                <c:pt idx="1683">
                  <c:v>50.75</c:v>
                </c:pt>
                <c:pt idx="1684">
                  <c:v>51.09</c:v>
                </c:pt>
                <c:pt idx="1685">
                  <c:v>51.31</c:v>
                </c:pt>
                <c:pt idx="1686">
                  <c:v>51.3</c:v>
                </c:pt>
                <c:pt idx="1687">
                  <c:v>50.3</c:v>
                </c:pt>
                <c:pt idx="1688">
                  <c:v>49.64</c:v>
                </c:pt>
                <c:pt idx="1689">
                  <c:v>49.45</c:v>
                </c:pt>
                <c:pt idx="1690">
                  <c:v>49.86</c:v>
                </c:pt>
                <c:pt idx="1691">
                  <c:v>49.71</c:v>
                </c:pt>
                <c:pt idx="1692">
                  <c:v>49.88</c:v>
                </c:pt>
                <c:pt idx="1693">
                  <c:v>50.44</c:v>
                </c:pt>
                <c:pt idx="1694">
                  <c:v>50.22</c:v>
                </c:pt>
                <c:pt idx="1695">
                  <c:v>49.95</c:v>
                </c:pt>
                <c:pt idx="1696">
                  <c:v>50.48</c:v>
                </c:pt>
                <c:pt idx="1697">
                  <c:v>50.2</c:v>
                </c:pt>
                <c:pt idx="1698">
                  <c:v>50.74</c:v>
                </c:pt>
                <c:pt idx="1699">
                  <c:v>51.02</c:v>
                </c:pt>
                <c:pt idx="1700">
                  <c:v>50.47</c:v>
                </c:pt>
                <c:pt idx="1701">
                  <c:v>50.67</c:v>
                </c:pt>
                <c:pt idx="1702">
                  <c:v>50.85</c:v>
                </c:pt>
                <c:pt idx="1703">
                  <c:v>50.48</c:v>
                </c:pt>
                <c:pt idx="1704">
                  <c:v>50.38</c:v>
                </c:pt>
                <c:pt idx="1705">
                  <c:v>50.43</c:v>
                </c:pt>
                <c:pt idx="1706">
                  <c:v>50.5</c:v>
                </c:pt>
                <c:pt idx="1707">
                  <c:v>50.79</c:v>
                </c:pt>
                <c:pt idx="1708">
                  <c:v>50.14</c:v>
                </c:pt>
                <c:pt idx="1709">
                  <c:v>50.14</c:v>
                </c:pt>
                <c:pt idx="1710">
                  <c:v>50.25</c:v>
                </c:pt>
                <c:pt idx="1711">
                  <c:v>50.12</c:v>
                </c:pt>
                <c:pt idx="1712">
                  <c:v>50.19</c:v>
                </c:pt>
                <c:pt idx="1713">
                  <c:v>50.3</c:v>
                </c:pt>
                <c:pt idx="1714">
                  <c:v>49.91</c:v>
                </c:pt>
                <c:pt idx="1715">
                  <c:v>49.9</c:v>
                </c:pt>
                <c:pt idx="1716">
                  <c:v>49.95</c:v>
                </c:pt>
                <c:pt idx="1717">
                  <c:v>49.83</c:v>
                </c:pt>
                <c:pt idx="1718">
                  <c:v>50.22</c:v>
                </c:pt>
                <c:pt idx="1719">
                  <c:v>50.37</c:v>
                </c:pt>
                <c:pt idx="1720">
                  <c:v>50.7</c:v>
                </c:pt>
                <c:pt idx="1721">
                  <c:v>50.56</c:v>
                </c:pt>
                <c:pt idx="1722">
                  <c:v>50.26</c:v>
                </c:pt>
                <c:pt idx="1723">
                  <c:v>51.07</c:v>
                </c:pt>
                <c:pt idx="1724">
                  <c:v>50.65</c:v>
                </c:pt>
                <c:pt idx="1725">
                  <c:v>50.71</c:v>
                </c:pt>
                <c:pt idx="1726">
                  <c:v>51.06</c:v>
                </c:pt>
                <c:pt idx="1727">
                  <c:v>50.94</c:v>
                </c:pt>
                <c:pt idx="1728">
                  <c:v>50.73</c:v>
                </c:pt>
                <c:pt idx="1729">
                  <c:v>50.95</c:v>
                </c:pt>
                <c:pt idx="1730">
                  <c:v>50.88</c:v>
                </c:pt>
                <c:pt idx="1731">
                  <c:v>50.26</c:v>
                </c:pt>
                <c:pt idx="1732">
                  <c:v>50.27</c:v>
                </c:pt>
                <c:pt idx="1733">
                  <c:v>50.21</c:v>
                </c:pt>
                <c:pt idx="1734">
                  <c:v>50.2</c:v>
                </c:pt>
                <c:pt idx="1735">
                  <c:v>50.2</c:v>
                </c:pt>
                <c:pt idx="1736">
                  <c:v>50.03</c:v>
                </c:pt>
                <c:pt idx="1737">
                  <c:v>50.09</c:v>
                </c:pt>
                <c:pt idx="1738">
                  <c:v>50.68</c:v>
                </c:pt>
                <c:pt idx="1739">
                  <c:v>50.57</c:v>
                </c:pt>
                <c:pt idx="1740">
                  <c:v>50.79</c:v>
                </c:pt>
                <c:pt idx="1741">
                  <c:v>50.25</c:v>
                </c:pt>
                <c:pt idx="1742">
                  <c:v>50.19</c:v>
                </c:pt>
                <c:pt idx="1743">
                  <c:v>50.4</c:v>
                </c:pt>
                <c:pt idx="1744">
                  <c:v>50.67</c:v>
                </c:pt>
                <c:pt idx="1745">
                  <c:v>50.3</c:v>
                </c:pt>
                <c:pt idx="1746">
                  <c:v>50.45</c:v>
                </c:pt>
                <c:pt idx="1747">
                  <c:v>50.55</c:v>
                </c:pt>
                <c:pt idx="1748">
                  <c:v>50.3</c:v>
                </c:pt>
                <c:pt idx="1749">
                  <c:v>50.57</c:v>
                </c:pt>
                <c:pt idx="1750">
                  <c:v>50.6</c:v>
                </c:pt>
                <c:pt idx="1751">
                  <c:v>50.67</c:v>
                </c:pt>
                <c:pt idx="1752">
                  <c:v>50.65</c:v>
                </c:pt>
                <c:pt idx="1753">
                  <c:v>50.64</c:v>
                </c:pt>
                <c:pt idx="1754">
                  <c:v>50.81</c:v>
                </c:pt>
                <c:pt idx="1755">
                  <c:v>50.5</c:v>
                </c:pt>
                <c:pt idx="1756">
                  <c:v>50.78</c:v>
                </c:pt>
                <c:pt idx="1757">
                  <c:v>50.66</c:v>
                </c:pt>
                <c:pt idx="1758">
                  <c:v>50.87</c:v>
                </c:pt>
                <c:pt idx="1759">
                  <c:v>50.73</c:v>
                </c:pt>
                <c:pt idx="1760">
                  <c:v>50.52</c:v>
                </c:pt>
                <c:pt idx="1761">
                  <c:v>50.48</c:v>
                </c:pt>
                <c:pt idx="1762">
                  <c:v>49.95</c:v>
                </c:pt>
                <c:pt idx="1763">
                  <c:v>49.2</c:v>
                </c:pt>
                <c:pt idx="1764">
                  <c:v>49.23</c:v>
                </c:pt>
                <c:pt idx="1765">
                  <c:v>49.28</c:v>
                </c:pt>
                <c:pt idx="1766">
                  <c:v>49.15</c:v>
                </c:pt>
                <c:pt idx="1767">
                  <c:v>49.17</c:v>
                </c:pt>
                <c:pt idx="1768">
                  <c:v>49.11</c:v>
                </c:pt>
                <c:pt idx="1769">
                  <c:v>49.06</c:v>
                </c:pt>
                <c:pt idx="1770">
                  <c:v>49.09</c:v>
                </c:pt>
                <c:pt idx="1771">
                  <c:v>49.1</c:v>
                </c:pt>
                <c:pt idx="1772">
                  <c:v>48.86</c:v>
                </c:pt>
                <c:pt idx="1773">
                  <c:v>48.76</c:v>
                </c:pt>
                <c:pt idx="1774">
                  <c:v>49.02</c:v>
                </c:pt>
                <c:pt idx="1775">
                  <c:v>49.1</c:v>
                </c:pt>
                <c:pt idx="1776">
                  <c:v>48.71</c:v>
                </c:pt>
                <c:pt idx="1777">
                  <c:v>49.07</c:v>
                </c:pt>
                <c:pt idx="1778">
                  <c:v>49.03</c:v>
                </c:pt>
                <c:pt idx="1779">
                  <c:v>49.18</c:v>
                </c:pt>
                <c:pt idx="1780">
                  <c:v>49.46</c:v>
                </c:pt>
                <c:pt idx="1781">
                  <c:v>49.37</c:v>
                </c:pt>
                <c:pt idx="1782">
                  <c:v>48.54</c:v>
                </c:pt>
                <c:pt idx="1783">
                  <c:v>48.53</c:v>
                </c:pt>
                <c:pt idx="1784">
                  <c:v>48.32</c:v>
                </c:pt>
                <c:pt idx="1785">
                  <c:v>48.3</c:v>
                </c:pt>
                <c:pt idx="1786">
                  <c:v>48.55</c:v>
                </c:pt>
                <c:pt idx="1787">
                  <c:v>48.27</c:v>
                </c:pt>
                <c:pt idx="1788">
                  <c:v>48.38</c:v>
                </c:pt>
                <c:pt idx="1789">
                  <c:v>48.3</c:v>
                </c:pt>
                <c:pt idx="1790">
                  <c:v>48.32</c:v>
                </c:pt>
                <c:pt idx="1791">
                  <c:v>48.38</c:v>
                </c:pt>
                <c:pt idx="1792">
                  <c:v>48</c:v>
                </c:pt>
                <c:pt idx="1793">
                  <c:v>47.95</c:v>
                </c:pt>
                <c:pt idx="1794">
                  <c:v>47.35</c:v>
                </c:pt>
                <c:pt idx="1795">
                  <c:v>47.42</c:v>
                </c:pt>
                <c:pt idx="1796">
                  <c:v>47.57</c:v>
                </c:pt>
                <c:pt idx="1797">
                  <c:v>47.52</c:v>
                </c:pt>
                <c:pt idx="1798">
                  <c:v>47.45</c:v>
                </c:pt>
                <c:pt idx="1799">
                  <c:v>47.48</c:v>
                </c:pt>
                <c:pt idx="1800">
                  <c:v>47.58</c:v>
                </c:pt>
                <c:pt idx="1801">
                  <c:v>47.4</c:v>
                </c:pt>
                <c:pt idx="1802">
                  <c:v>47.95</c:v>
                </c:pt>
                <c:pt idx="1803">
                  <c:v>48.13</c:v>
                </c:pt>
                <c:pt idx="1804">
                  <c:v>47.93</c:v>
                </c:pt>
                <c:pt idx="1805">
                  <c:v>47.76</c:v>
                </c:pt>
                <c:pt idx="1806">
                  <c:v>48.01</c:v>
                </c:pt>
                <c:pt idx="1807">
                  <c:v>47.54</c:v>
                </c:pt>
                <c:pt idx="1808">
                  <c:v>47.93</c:v>
                </c:pt>
                <c:pt idx="1809">
                  <c:v>47.47</c:v>
                </c:pt>
                <c:pt idx="1810">
                  <c:v>47.34</c:v>
                </c:pt>
                <c:pt idx="1811">
                  <c:v>47.4</c:v>
                </c:pt>
                <c:pt idx="1812">
                  <c:v>47.6</c:v>
                </c:pt>
                <c:pt idx="1813">
                  <c:v>47.47</c:v>
                </c:pt>
                <c:pt idx="1814">
                  <c:v>47.26</c:v>
                </c:pt>
                <c:pt idx="1815">
                  <c:v>47.39</c:v>
                </c:pt>
                <c:pt idx="1816">
                  <c:v>47.28</c:v>
                </c:pt>
                <c:pt idx="1817">
                  <c:v>47.45</c:v>
                </c:pt>
                <c:pt idx="1818">
                  <c:v>47.26</c:v>
                </c:pt>
                <c:pt idx="1819">
                  <c:v>47.5</c:v>
                </c:pt>
                <c:pt idx="1820">
                  <c:v>47.39</c:v>
                </c:pt>
                <c:pt idx="1821">
                  <c:v>47.13</c:v>
                </c:pt>
                <c:pt idx="1822">
                  <c:v>47.16</c:v>
                </c:pt>
                <c:pt idx="1823">
                  <c:v>47.44</c:v>
                </c:pt>
                <c:pt idx="1824">
                  <c:v>45.65</c:v>
                </c:pt>
                <c:pt idx="1825">
                  <c:v>46.1</c:v>
                </c:pt>
                <c:pt idx="1826">
                  <c:v>46</c:v>
                </c:pt>
                <c:pt idx="1827">
                  <c:v>46.05</c:v>
                </c:pt>
                <c:pt idx="1828">
                  <c:v>46.71</c:v>
                </c:pt>
                <c:pt idx="1829">
                  <c:v>46.06</c:v>
                </c:pt>
                <c:pt idx="1830">
                  <c:v>45.99</c:v>
                </c:pt>
                <c:pt idx="1831">
                  <c:v>45.72</c:v>
                </c:pt>
                <c:pt idx="1832">
                  <c:v>45.7</c:v>
                </c:pt>
                <c:pt idx="1833">
                  <c:v>45.27</c:v>
                </c:pt>
                <c:pt idx="1834">
                  <c:v>45.1</c:v>
                </c:pt>
                <c:pt idx="1835">
                  <c:v>48.04</c:v>
                </c:pt>
                <c:pt idx="1836">
                  <c:v>47</c:v>
                </c:pt>
                <c:pt idx="1837">
                  <c:v>47.28</c:v>
                </c:pt>
                <c:pt idx="1838">
                  <c:v>46.55</c:v>
                </c:pt>
                <c:pt idx="1839">
                  <c:v>46.96</c:v>
                </c:pt>
                <c:pt idx="1840">
                  <c:v>46.47</c:v>
                </c:pt>
                <c:pt idx="1841">
                  <c:v>46.87</c:v>
                </c:pt>
                <c:pt idx="1842">
                  <c:v>47.63</c:v>
                </c:pt>
                <c:pt idx="1843">
                  <c:v>47.93</c:v>
                </c:pt>
                <c:pt idx="1844">
                  <c:v>48.1</c:v>
                </c:pt>
                <c:pt idx="1845">
                  <c:v>47.7</c:v>
                </c:pt>
                <c:pt idx="1846">
                  <c:v>47.43</c:v>
                </c:pt>
                <c:pt idx="1847">
                  <c:v>47.7</c:v>
                </c:pt>
                <c:pt idx="1848">
                  <c:v>46.91</c:v>
                </c:pt>
                <c:pt idx="1849">
                  <c:v>47.08</c:v>
                </c:pt>
                <c:pt idx="1850">
                  <c:v>46.46</c:v>
                </c:pt>
                <c:pt idx="1851">
                  <c:v>46.02</c:v>
                </c:pt>
                <c:pt idx="1852">
                  <c:v>46.83</c:v>
                </c:pt>
                <c:pt idx="1853">
                  <c:v>46.44</c:v>
                </c:pt>
                <c:pt idx="1854">
                  <c:v>47.04</c:v>
                </c:pt>
                <c:pt idx="1855">
                  <c:v>47.21</c:v>
                </c:pt>
                <c:pt idx="1856">
                  <c:v>47.21</c:v>
                </c:pt>
                <c:pt idx="1857">
                  <c:v>46.91</c:v>
                </c:pt>
                <c:pt idx="1858">
                  <c:v>47.18</c:v>
                </c:pt>
                <c:pt idx="1859">
                  <c:v>47.4</c:v>
                </c:pt>
                <c:pt idx="1860">
                  <c:v>47.67</c:v>
                </c:pt>
                <c:pt idx="1861">
                  <c:v>47.6</c:v>
                </c:pt>
                <c:pt idx="1862">
                  <c:v>46.85</c:v>
                </c:pt>
                <c:pt idx="1863">
                  <c:v>47.29</c:v>
                </c:pt>
                <c:pt idx="1864">
                  <c:v>47.59</c:v>
                </c:pt>
                <c:pt idx="1865">
                  <c:v>47.29</c:v>
                </c:pt>
                <c:pt idx="1866">
                  <c:v>47.35</c:v>
                </c:pt>
                <c:pt idx="1867">
                  <c:v>47.59</c:v>
                </c:pt>
                <c:pt idx="1868">
                  <c:v>47.55</c:v>
                </c:pt>
                <c:pt idx="1869">
                  <c:v>47.76</c:v>
                </c:pt>
                <c:pt idx="1870">
                  <c:v>47.3</c:v>
                </c:pt>
                <c:pt idx="1871">
                  <c:v>47.34</c:v>
                </c:pt>
                <c:pt idx="1872">
                  <c:v>47.24</c:v>
                </c:pt>
                <c:pt idx="1873">
                  <c:v>46.54</c:v>
                </c:pt>
                <c:pt idx="1874">
                  <c:v>46.39</c:v>
                </c:pt>
                <c:pt idx="1875">
                  <c:v>46.29</c:v>
                </c:pt>
                <c:pt idx="1876">
                  <c:v>46.69</c:v>
                </c:pt>
                <c:pt idx="1877">
                  <c:v>46.3</c:v>
                </c:pt>
                <c:pt idx="1878">
                  <c:v>46.31</c:v>
                </c:pt>
                <c:pt idx="1879">
                  <c:v>46.1</c:v>
                </c:pt>
                <c:pt idx="1880">
                  <c:v>45.67</c:v>
                </c:pt>
                <c:pt idx="1881">
                  <c:v>45.79</c:v>
                </c:pt>
                <c:pt idx="1882">
                  <c:v>46.16</c:v>
                </c:pt>
                <c:pt idx="1883">
                  <c:v>45.88</c:v>
                </c:pt>
                <c:pt idx="1884">
                  <c:v>45.75</c:v>
                </c:pt>
                <c:pt idx="1885">
                  <c:v>45.88</c:v>
                </c:pt>
                <c:pt idx="1886">
                  <c:v>45.95</c:v>
                </c:pt>
                <c:pt idx="1887">
                  <c:v>45.43</c:v>
                </c:pt>
                <c:pt idx="1888">
                  <c:v>45.42</c:v>
                </c:pt>
                <c:pt idx="1889">
                  <c:v>45.93</c:v>
                </c:pt>
                <c:pt idx="1890">
                  <c:v>45.98</c:v>
                </c:pt>
                <c:pt idx="1891">
                  <c:v>45.74</c:v>
                </c:pt>
                <c:pt idx="1892">
                  <c:v>45.8</c:v>
                </c:pt>
                <c:pt idx="1893">
                  <c:v>46.12</c:v>
                </c:pt>
                <c:pt idx="1894">
                  <c:v>46.48</c:v>
                </c:pt>
                <c:pt idx="1895">
                  <c:v>45.96</c:v>
                </c:pt>
                <c:pt idx="1896">
                  <c:v>45.8</c:v>
                </c:pt>
                <c:pt idx="1897">
                  <c:v>45.94</c:v>
                </c:pt>
                <c:pt idx="1898">
                  <c:v>45.5</c:v>
                </c:pt>
                <c:pt idx="1899">
                  <c:v>45.72</c:v>
                </c:pt>
                <c:pt idx="1900">
                  <c:v>45.8</c:v>
                </c:pt>
                <c:pt idx="1901">
                  <c:v>45.9</c:v>
                </c:pt>
                <c:pt idx="1902">
                  <c:v>44.12</c:v>
                </c:pt>
                <c:pt idx="1903">
                  <c:v>44.77</c:v>
                </c:pt>
                <c:pt idx="1904">
                  <c:v>44.35</c:v>
                </c:pt>
                <c:pt idx="1905">
                  <c:v>44.02</c:v>
                </c:pt>
                <c:pt idx="1906">
                  <c:v>44.21</c:v>
                </c:pt>
                <c:pt idx="1907">
                  <c:v>44.32</c:v>
                </c:pt>
                <c:pt idx="1908">
                  <c:v>44.4</c:v>
                </c:pt>
                <c:pt idx="1909">
                  <c:v>44.68</c:v>
                </c:pt>
                <c:pt idx="1910">
                  <c:v>44.3</c:v>
                </c:pt>
                <c:pt idx="1911">
                  <c:v>44.32</c:v>
                </c:pt>
                <c:pt idx="1912">
                  <c:v>44.27</c:v>
                </c:pt>
                <c:pt idx="1913">
                  <c:v>44.43</c:v>
                </c:pt>
                <c:pt idx="1914">
                  <c:v>44.3</c:v>
                </c:pt>
                <c:pt idx="1915">
                  <c:v>44.6</c:v>
                </c:pt>
                <c:pt idx="1916">
                  <c:v>44.26</c:v>
                </c:pt>
                <c:pt idx="1917">
                  <c:v>44.36</c:v>
                </c:pt>
                <c:pt idx="1918">
                  <c:v>44.63</c:v>
                </c:pt>
                <c:pt idx="1919">
                  <c:v>44.45</c:v>
                </c:pt>
                <c:pt idx="1920">
                  <c:v>44.41</c:v>
                </c:pt>
                <c:pt idx="1921">
                  <c:v>44.45</c:v>
                </c:pt>
                <c:pt idx="1922">
                  <c:v>44.2</c:v>
                </c:pt>
                <c:pt idx="1923">
                  <c:v>44.25</c:v>
                </c:pt>
                <c:pt idx="1924">
                  <c:v>44.15</c:v>
                </c:pt>
                <c:pt idx="1925">
                  <c:v>44.28</c:v>
                </c:pt>
                <c:pt idx="1926">
                  <c:v>44.46</c:v>
                </c:pt>
                <c:pt idx="1927">
                  <c:v>44.31</c:v>
                </c:pt>
                <c:pt idx="1928">
                  <c:v>44.4</c:v>
                </c:pt>
                <c:pt idx="1929">
                  <c:v>45.09</c:v>
                </c:pt>
                <c:pt idx="1930">
                  <c:v>45.27</c:v>
                </c:pt>
                <c:pt idx="1931">
                  <c:v>45.09</c:v>
                </c:pt>
                <c:pt idx="1932">
                  <c:v>44.94</c:v>
                </c:pt>
                <c:pt idx="1933">
                  <c:v>45.4</c:v>
                </c:pt>
                <c:pt idx="1934">
                  <c:v>45.27</c:v>
                </c:pt>
                <c:pt idx="1935">
                  <c:v>45.06</c:v>
                </c:pt>
                <c:pt idx="1936">
                  <c:v>45.27</c:v>
                </c:pt>
                <c:pt idx="1937">
                  <c:v>45.05</c:v>
                </c:pt>
                <c:pt idx="1938">
                  <c:v>45.2</c:v>
                </c:pt>
                <c:pt idx="1939">
                  <c:v>44.97</c:v>
                </c:pt>
                <c:pt idx="1940">
                  <c:v>44.92</c:v>
                </c:pt>
                <c:pt idx="1941">
                  <c:v>44.19</c:v>
                </c:pt>
                <c:pt idx="1942">
                  <c:v>44.03</c:v>
                </c:pt>
                <c:pt idx="1943">
                  <c:v>44.03</c:v>
                </c:pt>
                <c:pt idx="1944">
                  <c:v>43.62</c:v>
                </c:pt>
                <c:pt idx="1945">
                  <c:v>43.64</c:v>
                </c:pt>
                <c:pt idx="1946">
                  <c:v>43.19</c:v>
                </c:pt>
                <c:pt idx="1947">
                  <c:v>43.46</c:v>
                </c:pt>
                <c:pt idx="1948">
                  <c:v>43.04</c:v>
                </c:pt>
                <c:pt idx="1949">
                  <c:v>42.5</c:v>
                </c:pt>
                <c:pt idx="1950">
                  <c:v>42.33</c:v>
                </c:pt>
                <c:pt idx="1951">
                  <c:v>41.8</c:v>
                </c:pt>
                <c:pt idx="1952">
                  <c:v>42.43</c:v>
                </c:pt>
                <c:pt idx="1953">
                  <c:v>42.2</c:v>
                </c:pt>
                <c:pt idx="1954">
                  <c:v>42.21</c:v>
                </c:pt>
                <c:pt idx="1955">
                  <c:v>42.09</c:v>
                </c:pt>
                <c:pt idx="1956">
                  <c:v>41.95</c:v>
                </c:pt>
                <c:pt idx="1957">
                  <c:v>42.06</c:v>
                </c:pt>
                <c:pt idx="1958">
                  <c:v>42.18</c:v>
                </c:pt>
                <c:pt idx="1959">
                  <c:v>42.47</c:v>
                </c:pt>
                <c:pt idx="1960">
                  <c:v>42.2</c:v>
                </c:pt>
                <c:pt idx="1961">
                  <c:v>42.63</c:v>
                </c:pt>
                <c:pt idx="1962">
                  <c:v>42.35</c:v>
                </c:pt>
                <c:pt idx="1963">
                  <c:v>42.16</c:v>
                </c:pt>
                <c:pt idx="1964">
                  <c:v>41.92</c:v>
                </c:pt>
                <c:pt idx="1965">
                  <c:v>41.75</c:v>
                </c:pt>
                <c:pt idx="1966">
                  <c:v>40.799999999999997</c:v>
                </c:pt>
                <c:pt idx="1967">
                  <c:v>40.57</c:v>
                </c:pt>
                <c:pt idx="1968">
                  <c:v>40.57</c:v>
                </c:pt>
                <c:pt idx="1969">
                  <c:v>41.26</c:v>
                </c:pt>
                <c:pt idx="1970">
                  <c:v>41.18</c:v>
                </c:pt>
                <c:pt idx="1971">
                  <c:v>41.64</c:v>
                </c:pt>
                <c:pt idx="1972">
                  <c:v>42</c:v>
                </c:pt>
                <c:pt idx="1973">
                  <c:v>42.14</c:v>
                </c:pt>
                <c:pt idx="1974">
                  <c:v>42.35</c:v>
                </c:pt>
                <c:pt idx="1975">
                  <c:v>42.04</c:v>
                </c:pt>
                <c:pt idx="1976">
                  <c:v>42.26</c:v>
                </c:pt>
                <c:pt idx="1977">
                  <c:v>43.06</c:v>
                </c:pt>
                <c:pt idx="1978">
                  <c:v>43.19</c:v>
                </c:pt>
                <c:pt idx="1979">
                  <c:v>43.24</c:v>
                </c:pt>
                <c:pt idx="1980">
                  <c:v>43.3</c:v>
                </c:pt>
                <c:pt idx="1981">
                  <c:v>43.13</c:v>
                </c:pt>
                <c:pt idx="1982">
                  <c:v>43.2</c:v>
                </c:pt>
                <c:pt idx="1983">
                  <c:v>43.17</c:v>
                </c:pt>
                <c:pt idx="1984">
                  <c:v>43.45</c:v>
                </c:pt>
                <c:pt idx="1985">
                  <c:v>44.02</c:v>
                </c:pt>
                <c:pt idx="1986">
                  <c:v>43.79</c:v>
                </c:pt>
                <c:pt idx="1987">
                  <c:v>43.87</c:v>
                </c:pt>
                <c:pt idx="1988">
                  <c:v>44.01</c:v>
                </c:pt>
                <c:pt idx="1989">
                  <c:v>44.7</c:v>
                </c:pt>
                <c:pt idx="1990">
                  <c:v>43.74</c:v>
                </c:pt>
                <c:pt idx="1991">
                  <c:v>43.61</c:v>
                </c:pt>
                <c:pt idx="1992">
                  <c:v>43.5</c:v>
                </c:pt>
                <c:pt idx="1993">
                  <c:v>43.6</c:v>
                </c:pt>
                <c:pt idx="1994">
                  <c:v>43.35</c:v>
                </c:pt>
                <c:pt idx="1995">
                  <c:v>43.24</c:v>
                </c:pt>
                <c:pt idx="1996">
                  <c:v>43.03</c:v>
                </c:pt>
                <c:pt idx="1997">
                  <c:v>43.23</c:v>
                </c:pt>
                <c:pt idx="1998">
                  <c:v>43.1</c:v>
                </c:pt>
                <c:pt idx="1999">
                  <c:v>43.51</c:v>
                </c:pt>
                <c:pt idx="2000">
                  <c:v>43.87</c:v>
                </c:pt>
                <c:pt idx="2001">
                  <c:v>44</c:v>
                </c:pt>
                <c:pt idx="2002">
                  <c:v>44.28</c:v>
                </c:pt>
                <c:pt idx="2003">
                  <c:v>44.27</c:v>
                </c:pt>
                <c:pt idx="2004">
                  <c:v>43.89</c:v>
                </c:pt>
                <c:pt idx="2005">
                  <c:v>44.16</c:v>
                </c:pt>
                <c:pt idx="2006">
                  <c:v>43.85</c:v>
                </c:pt>
                <c:pt idx="2007">
                  <c:v>43.7</c:v>
                </c:pt>
                <c:pt idx="2008">
                  <c:v>43.57</c:v>
                </c:pt>
                <c:pt idx="2009">
                  <c:v>43.51</c:v>
                </c:pt>
                <c:pt idx="2010">
                  <c:v>43.31</c:v>
                </c:pt>
                <c:pt idx="2011">
                  <c:v>42.96</c:v>
                </c:pt>
                <c:pt idx="2012">
                  <c:v>43.67</c:v>
                </c:pt>
                <c:pt idx="2013">
                  <c:v>43.92</c:v>
                </c:pt>
                <c:pt idx="2014">
                  <c:v>43.13</c:v>
                </c:pt>
                <c:pt idx="2015">
                  <c:v>43.98</c:v>
                </c:pt>
                <c:pt idx="2016">
                  <c:v>43.83</c:v>
                </c:pt>
                <c:pt idx="2017">
                  <c:v>43.15</c:v>
                </c:pt>
                <c:pt idx="2018">
                  <c:v>43.11</c:v>
                </c:pt>
                <c:pt idx="2019">
                  <c:v>42.41</c:v>
                </c:pt>
                <c:pt idx="2020">
                  <c:v>42.65</c:v>
                </c:pt>
                <c:pt idx="2021">
                  <c:v>42.31</c:v>
                </c:pt>
                <c:pt idx="2022">
                  <c:v>41.98</c:v>
                </c:pt>
                <c:pt idx="2023">
                  <c:v>42.07</c:v>
                </c:pt>
                <c:pt idx="2024">
                  <c:v>41.32</c:v>
                </c:pt>
                <c:pt idx="2025">
                  <c:v>41.39</c:v>
                </c:pt>
                <c:pt idx="2026">
                  <c:v>41.98</c:v>
                </c:pt>
                <c:pt idx="2027">
                  <c:v>41.52</c:v>
                </c:pt>
                <c:pt idx="2028">
                  <c:v>42.08</c:v>
                </c:pt>
                <c:pt idx="2029">
                  <c:v>41.85</c:v>
                </c:pt>
                <c:pt idx="2030">
                  <c:v>42.01</c:v>
                </c:pt>
                <c:pt idx="2031">
                  <c:v>41.44</c:v>
                </c:pt>
                <c:pt idx="2032">
                  <c:v>41.4</c:v>
                </c:pt>
                <c:pt idx="2033">
                  <c:v>41.1</c:v>
                </c:pt>
                <c:pt idx="2034">
                  <c:v>40.93</c:v>
                </c:pt>
                <c:pt idx="2035">
                  <c:v>40.75</c:v>
                </c:pt>
                <c:pt idx="2036">
                  <c:v>40.46</c:v>
                </c:pt>
                <c:pt idx="2037">
                  <c:v>40.69</c:v>
                </c:pt>
                <c:pt idx="2038">
                  <c:v>40.53</c:v>
                </c:pt>
                <c:pt idx="2039">
                  <c:v>40.42</c:v>
                </c:pt>
                <c:pt idx="2040">
                  <c:v>40.57</c:v>
                </c:pt>
                <c:pt idx="2041">
                  <c:v>40.97</c:v>
                </c:pt>
                <c:pt idx="2042">
                  <c:v>41.68</c:v>
                </c:pt>
                <c:pt idx="2043">
                  <c:v>41.8</c:v>
                </c:pt>
                <c:pt idx="2044">
                  <c:v>41.5</c:v>
                </c:pt>
                <c:pt idx="2045">
                  <c:v>41.27</c:v>
                </c:pt>
                <c:pt idx="2046">
                  <c:v>41.7</c:v>
                </c:pt>
                <c:pt idx="2047">
                  <c:v>41.94</c:v>
                </c:pt>
                <c:pt idx="2048">
                  <c:v>41.82</c:v>
                </c:pt>
                <c:pt idx="2049">
                  <c:v>42.15</c:v>
                </c:pt>
                <c:pt idx="2050">
                  <c:v>41.54</c:v>
                </c:pt>
                <c:pt idx="2051">
                  <c:v>41.54</c:v>
                </c:pt>
                <c:pt idx="2052">
                  <c:v>41.37</c:v>
                </c:pt>
                <c:pt idx="2053">
                  <c:v>41.22</c:v>
                </c:pt>
                <c:pt idx="2054">
                  <c:v>41.4</c:v>
                </c:pt>
                <c:pt idx="2055">
                  <c:v>41.7</c:v>
                </c:pt>
                <c:pt idx="2056">
                  <c:v>42.18</c:v>
                </c:pt>
                <c:pt idx="2057">
                  <c:v>42.94</c:v>
                </c:pt>
                <c:pt idx="2058">
                  <c:v>42.95</c:v>
                </c:pt>
                <c:pt idx="2059">
                  <c:v>42.62</c:v>
                </c:pt>
                <c:pt idx="2060">
                  <c:v>43.33</c:v>
                </c:pt>
                <c:pt idx="2061">
                  <c:v>43.36</c:v>
                </c:pt>
                <c:pt idx="2062">
                  <c:v>43.34</c:v>
                </c:pt>
                <c:pt idx="2063">
                  <c:v>43.32</c:v>
                </c:pt>
                <c:pt idx="2064">
                  <c:v>43.95</c:v>
                </c:pt>
                <c:pt idx="2065">
                  <c:v>43.3</c:v>
                </c:pt>
                <c:pt idx="2066">
                  <c:v>43.7</c:v>
                </c:pt>
                <c:pt idx="2067">
                  <c:v>43.27</c:v>
                </c:pt>
                <c:pt idx="2068">
                  <c:v>42.9</c:v>
                </c:pt>
                <c:pt idx="2069">
                  <c:v>42.95</c:v>
                </c:pt>
                <c:pt idx="2070">
                  <c:v>42.71</c:v>
                </c:pt>
                <c:pt idx="2071">
                  <c:v>43.28</c:v>
                </c:pt>
                <c:pt idx="2072">
                  <c:v>42.77</c:v>
                </c:pt>
                <c:pt idx="2073">
                  <c:v>42.77</c:v>
                </c:pt>
                <c:pt idx="2074">
                  <c:v>42.9</c:v>
                </c:pt>
                <c:pt idx="2075">
                  <c:v>43.06</c:v>
                </c:pt>
                <c:pt idx="2076">
                  <c:v>43.12</c:v>
                </c:pt>
                <c:pt idx="2077">
                  <c:v>42.93</c:v>
                </c:pt>
                <c:pt idx="2078">
                  <c:v>42.02</c:v>
                </c:pt>
                <c:pt idx="2079">
                  <c:v>42.27</c:v>
                </c:pt>
                <c:pt idx="2080">
                  <c:v>42.47</c:v>
                </c:pt>
                <c:pt idx="2081">
                  <c:v>42.07</c:v>
                </c:pt>
                <c:pt idx="2082">
                  <c:v>42.22</c:v>
                </c:pt>
                <c:pt idx="2083">
                  <c:v>41.9</c:v>
                </c:pt>
                <c:pt idx="2084">
                  <c:v>42.65</c:v>
                </c:pt>
                <c:pt idx="2085">
                  <c:v>42.62</c:v>
                </c:pt>
                <c:pt idx="2086">
                  <c:v>42.6</c:v>
                </c:pt>
                <c:pt idx="2087">
                  <c:v>42.73</c:v>
                </c:pt>
                <c:pt idx="2088">
                  <c:v>43.03</c:v>
                </c:pt>
                <c:pt idx="2089">
                  <c:v>42.63</c:v>
                </c:pt>
                <c:pt idx="2090">
                  <c:v>44.9</c:v>
                </c:pt>
                <c:pt idx="2091">
                  <c:v>44.62</c:v>
                </c:pt>
                <c:pt idx="2092">
                  <c:v>44.58</c:v>
                </c:pt>
                <c:pt idx="2093">
                  <c:v>44.73</c:v>
                </c:pt>
                <c:pt idx="2094">
                  <c:v>45.2</c:v>
                </c:pt>
                <c:pt idx="2095">
                  <c:v>45.87</c:v>
                </c:pt>
                <c:pt idx="2096">
                  <c:v>45.64</c:v>
                </c:pt>
                <c:pt idx="2097">
                  <c:v>45.86</c:v>
                </c:pt>
                <c:pt idx="2098">
                  <c:v>45.78</c:v>
                </c:pt>
                <c:pt idx="2099">
                  <c:v>46.81</c:v>
                </c:pt>
                <c:pt idx="2100">
                  <c:v>46.74</c:v>
                </c:pt>
                <c:pt idx="2101">
                  <c:v>46.09</c:v>
                </c:pt>
                <c:pt idx="2102">
                  <c:v>46.02</c:v>
                </c:pt>
                <c:pt idx="2103">
                  <c:v>46.39</c:v>
                </c:pt>
                <c:pt idx="2104">
                  <c:v>46.59</c:v>
                </c:pt>
                <c:pt idx="2105">
                  <c:v>46.27</c:v>
                </c:pt>
                <c:pt idx="2106">
                  <c:v>46.19</c:v>
                </c:pt>
                <c:pt idx="2107">
                  <c:v>46.13</c:v>
                </c:pt>
                <c:pt idx="2108">
                  <c:v>46.96</c:v>
                </c:pt>
                <c:pt idx="2109">
                  <c:v>46.5</c:v>
                </c:pt>
                <c:pt idx="2110">
                  <c:v>46.5</c:v>
                </c:pt>
                <c:pt idx="2111">
                  <c:v>46.81</c:v>
                </c:pt>
                <c:pt idx="2112">
                  <c:v>45.76</c:v>
                </c:pt>
                <c:pt idx="2113">
                  <c:v>45.5</c:v>
                </c:pt>
                <c:pt idx="2114">
                  <c:v>45.64</c:v>
                </c:pt>
                <c:pt idx="2115">
                  <c:v>45.99</c:v>
                </c:pt>
                <c:pt idx="2116">
                  <c:v>45.62</c:v>
                </c:pt>
                <c:pt idx="2117">
                  <c:v>44.9</c:v>
                </c:pt>
                <c:pt idx="2118">
                  <c:v>44.96</c:v>
                </c:pt>
                <c:pt idx="2119">
                  <c:v>45.17</c:v>
                </c:pt>
                <c:pt idx="2120">
                  <c:v>45.09</c:v>
                </c:pt>
                <c:pt idx="2121">
                  <c:v>45.21</c:v>
                </c:pt>
                <c:pt idx="2122">
                  <c:v>44.97</c:v>
                </c:pt>
                <c:pt idx="2123">
                  <c:v>45.24</c:v>
                </c:pt>
                <c:pt idx="2124">
                  <c:v>45.14</c:v>
                </c:pt>
                <c:pt idx="2125">
                  <c:v>45.42</c:v>
                </c:pt>
                <c:pt idx="2126">
                  <c:v>45.52</c:v>
                </c:pt>
                <c:pt idx="2127">
                  <c:v>45.4</c:v>
                </c:pt>
                <c:pt idx="2128">
                  <c:v>45.6</c:v>
                </c:pt>
                <c:pt idx="2129">
                  <c:v>45.65</c:v>
                </c:pt>
                <c:pt idx="2130">
                  <c:v>45.5</c:v>
                </c:pt>
                <c:pt idx="2131">
                  <c:v>45.42</c:v>
                </c:pt>
                <c:pt idx="2132">
                  <c:v>45.3</c:v>
                </c:pt>
                <c:pt idx="2133">
                  <c:v>45.09</c:v>
                </c:pt>
                <c:pt idx="2134">
                  <c:v>44.98</c:v>
                </c:pt>
                <c:pt idx="2135">
                  <c:v>45.73</c:v>
                </c:pt>
                <c:pt idx="2136">
                  <c:v>45.59</c:v>
                </c:pt>
                <c:pt idx="2137">
                  <c:v>45.56</c:v>
                </c:pt>
                <c:pt idx="2138">
                  <c:v>45.53</c:v>
                </c:pt>
                <c:pt idx="2139">
                  <c:v>45.6</c:v>
                </c:pt>
                <c:pt idx="2140">
                  <c:v>45.96</c:v>
                </c:pt>
                <c:pt idx="2141">
                  <c:v>46.05</c:v>
                </c:pt>
                <c:pt idx="2142">
                  <c:v>46.22</c:v>
                </c:pt>
                <c:pt idx="2143">
                  <c:v>46.09</c:v>
                </c:pt>
                <c:pt idx="2144">
                  <c:v>45.46</c:v>
                </c:pt>
                <c:pt idx="2145">
                  <c:v>45.19</c:v>
                </c:pt>
                <c:pt idx="2146">
                  <c:v>45.42</c:v>
                </c:pt>
                <c:pt idx="2147">
                  <c:v>45.76</c:v>
                </c:pt>
                <c:pt idx="2148">
                  <c:v>46.83</c:v>
                </c:pt>
                <c:pt idx="2149">
                  <c:v>46.69</c:v>
                </c:pt>
                <c:pt idx="2150">
                  <c:v>46.81</c:v>
                </c:pt>
                <c:pt idx="2151">
                  <c:v>47.2</c:v>
                </c:pt>
                <c:pt idx="2152">
                  <c:v>47.63</c:v>
                </c:pt>
                <c:pt idx="2153">
                  <c:v>48.35</c:v>
                </c:pt>
                <c:pt idx="2154">
                  <c:v>48.06</c:v>
                </c:pt>
                <c:pt idx="2155">
                  <c:v>47.9</c:v>
                </c:pt>
                <c:pt idx="2156">
                  <c:v>48.15</c:v>
                </c:pt>
                <c:pt idx="2157">
                  <c:v>47.91</c:v>
                </c:pt>
                <c:pt idx="2158">
                  <c:v>47.87</c:v>
                </c:pt>
                <c:pt idx="2159">
                  <c:v>47.73</c:v>
                </c:pt>
                <c:pt idx="2160">
                  <c:v>47.72</c:v>
                </c:pt>
                <c:pt idx="2161">
                  <c:v>47.87</c:v>
                </c:pt>
                <c:pt idx="2162">
                  <c:v>48.07</c:v>
                </c:pt>
                <c:pt idx="2163">
                  <c:v>47.99</c:v>
                </c:pt>
                <c:pt idx="2164">
                  <c:v>48.21</c:v>
                </c:pt>
                <c:pt idx="2165">
                  <c:v>48.2</c:v>
                </c:pt>
                <c:pt idx="2166">
                  <c:v>48.02</c:v>
                </c:pt>
                <c:pt idx="2167">
                  <c:v>48.49</c:v>
                </c:pt>
                <c:pt idx="2168">
                  <c:v>48.9</c:v>
                </c:pt>
                <c:pt idx="2169">
                  <c:v>48.82</c:v>
                </c:pt>
                <c:pt idx="2170">
                  <c:v>48.8</c:v>
                </c:pt>
                <c:pt idx="2171">
                  <c:v>48.82</c:v>
                </c:pt>
                <c:pt idx="2172">
                  <c:v>48.77</c:v>
                </c:pt>
                <c:pt idx="2173">
                  <c:v>48.85</c:v>
                </c:pt>
                <c:pt idx="2174">
                  <c:v>49.3</c:v>
                </c:pt>
                <c:pt idx="2175">
                  <c:v>49.46</c:v>
                </c:pt>
                <c:pt idx="2176">
                  <c:v>49.26</c:v>
                </c:pt>
                <c:pt idx="2177">
                  <c:v>49.91</c:v>
                </c:pt>
                <c:pt idx="2178">
                  <c:v>49.45</c:v>
                </c:pt>
                <c:pt idx="2179">
                  <c:v>49.38</c:v>
                </c:pt>
                <c:pt idx="2180">
                  <c:v>49.45</c:v>
                </c:pt>
                <c:pt idx="2181">
                  <c:v>49.3</c:v>
                </c:pt>
                <c:pt idx="2182">
                  <c:v>47.99</c:v>
                </c:pt>
                <c:pt idx="2183">
                  <c:v>47.33</c:v>
                </c:pt>
                <c:pt idx="2184">
                  <c:v>47.42</c:v>
                </c:pt>
                <c:pt idx="2185">
                  <c:v>47.3</c:v>
                </c:pt>
                <c:pt idx="2186">
                  <c:v>47.36</c:v>
                </c:pt>
                <c:pt idx="2187">
                  <c:v>46.91</c:v>
                </c:pt>
                <c:pt idx="2188">
                  <c:v>46.93</c:v>
                </c:pt>
                <c:pt idx="2189">
                  <c:v>47.31</c:v>
                </c:pt>
                <c:pt idx="2190">
                  <c:v>47.12</c:v>
                </c:pt>
                <c:pt idx="2191">
                  <c:v>47.52</c:v>
                </c:pt>
                <c:pt idx="2192">
                  <c:v>47.65</c:v>
                </c:pt>
                <c:pt idx="2193">
                  <c:v>47.64</c:v>
                </c:pt>
                <c:pt idx="2194">
                  <c:v>47.15</c:v>
                </c:pt>
                <c:pt idx="2195">
                  <c:v>47.75</c:v>
                </c:pt>
                <c:pt idx="2196">
                  <c:v>47.87</c:v>
                </c:pt>
                <c:pt idx="2197">
                  <c:v>47.41</c:v>
                </c:pt>
                <c:pt idx="2198">
                  <c:v>47.97</c:v>
                </c:pt>
                <c:pt idx="2199">
                  <c:v>47.51</c:v>
                </c:pt>
                <c:pt idx="2200">
                  <c:v>47.49</c:v>
                </c:pt>
                <c:pt idx="2201">
                  <c:v>47.19</c:v>
                </c:pt>
                <c:pt idx="2202">
                  <c:v>47.83</c:v>
                </c:pt>
                <c:pt idx="2203">
                  <c:v>47.23</c:v>
                </c:pt>
                <c:pt idx="2204">
                  <c:v>47.08</c:v>
                </c:pt>
                <c:pt idx="2205">
                  <c:v>46.99</c:v>
                </c:pt>
                <c:pt idx="2206">
                  <c:v>47.98</c:v>
                </c:pt>
                <c:pt idx="2207">
                  <c:v>47.47</c:v>
                </c:pt>
                <c:pt idx="2208">
                  <c:v>47.69</c:v>
                </c:pt>
                <c:pt idx="2209">
                  <c:v>48.01</c:v>
                </c:pt>
                <c:pt idx="2210">
                  <c:v>48.59</c:v>
                </c:pt>
                <c:pt idx="2211">
                  <c:v>48.6</c:v>
                </c:pt>
                <c:pt idx="2212">
                  <c:v>48.68</c:v>
                </c:pt>
                <c:pt idx="2213">
                  <c:v>48</c:v>
                </c:pt>
                <c:pt idx="2214">
                  <c:v>47.32</c:v>
                </c:pt>
                <c:pt idx="2215">
                  <c:v>47.59</c:v>
                </c:pt>
                <c:pt idx="2216">
                  <c:v>46.89</c:v>
                </c:pt>
                <c:pt idx="2217">
                  <c:v>47.86</c:v>
                </c:pt>
                <c:pt idx="2218">
                  <c:v>48.22</c:v>
                </c:pt>
                <c:pt idx="2219">
                  <c:v>47.7</c:v>
                </c:pt>
                <c:pt idx="2220">
                  <c:v>47.36</c:v>
                </c:pt>
                <c:pt idx="2221">
                  <c:v>47.42</c:v>
                </c:pt>
                <c:pt idx="2222">
                  <c:v>47.69</c:v>
                </c:pt>
                <c:pt idx="2223">
                  <c:v>47.22</c:v>
                </c:pt>
                <c:pt idx="2224">
                  <c:v>46.95</c:v>
                </c:pt>
                <c:pt idx="2225">
                  <c:v>47.41</c:v>
                </c:pt>
                <c:pt idx="2226">
                  <c:v>47.2</c:v>
                </c:pt>
                <c:pt idx="2227">
                  <c:v>47.23</c:v>
                </c:pt>
                <c:pt idx="2228">
                  <c:v>47.23</c:v>
                </c:pt>
                <c:pt idx="2229">
                  <c:v>47.29</c:v>
                </c:pt>
                <c:pt idx="2230">
                  <c:v>46.97</c:v>
                </c:pt>
                <c:pt idx="2231">
                  <c:v>47.07</c:v>
                </c:pt>
                <c:pt idx="2232">
                  <c:v>46.92</c:v>
                </c:pt>
                <c:pt idx="2233">
                  <c:v>47.07</c:v>
                </c:pt>
                <c:pt idx="2234">
                  <c:v>46.89</c:v>
                </c:pt>
                <c:pt idx="2235">
                  <c:v>46.54</c:v>
                </c:pt>
                <c:pt idx="2236">
                  <c:v>46.37</c:v>
                </c:pt>
                <c:pt idx="2237">
                  <c:v>46.52</c:v>
                </c:pt>
                <c:pt idx="2238">
                  <c:v>46.28</c:v>
                </c:pt>
                <c:pt idx="2239">
                  <c:v>46.14</c:v>
                </c:pt>
                <c:pt idx="2240">
                  <c:v>46.89</c:v>
                </c:pt>
                <c:pt idx="2241">
                  <c:v>46.62</c:v>
                </c:pt>
                <c:pt idx="2242">
                  <c:v>47.51</c:v>
                </c:pt>
                <c:pt idx="2243">
                  <c:v>47.63</c:v>
                </c:pt>
                <c:pt idx="2244">
                  <c:v>48.11</c:v>
                </c:pt>
                <c:pt idx="2245">
                  <c:v>48.29</c:v>
                </c:pt>
                <c:pt idx="2246">
                  <c:v>48.19</c:v>
                </c:pt>
                <c:pt idx="2247">
                  <c:v>48.03</c:v>
                </c:pt>
                <c:pt idx="2248">
                  <c:v>47.8</c:v>
                </c:pt>
                <c:pt idx="2249">
                  <c:v>48.31</c:v>
                </c:pt>
                <c:pt idx="2250">
                  <c:v>48.5</c:v>
                </c:pt>
                <c:pt idx="2251">
                  <c:v>48.16</c:v>
                </c:pt>
                <c:pt idx="2252">
                  <c:v>48.42</c:v>
                </c:pt>
                <c:pt idx="2253">
                  <c:v>48.44</c:v>
                </c:pt>
                <c:pt idx="2254">
                  <c:v>48.06</c:v>
                </c:pt>
                <c:pt idx="2255">
                  <c:v>47.9</c:v>
                </c:pt>
                <c:pt idx="2256">
                  <c:v>48.04</c:v>
                </c:pt>
                <c:pt idx="2257">
                  <c:v>48.95</c:v>
                </c:pt>
                <c:pt idx="2258">
                  <c:v>48.9</c:v>
                </c:pt>
                <c:pt idx="2259">
                  <c:v>49.08</c:v>
                </c:pt>
                <c:pt idx="2260">
                  <c:v>49.21</c:v>
                </c:pt>
                <c:pt idx="2261">
                  <c:v>49.38</c:v>
                </c:pt>
                <c:pt idx="2262">
                  <c:v>49.2</c:v>
                </c:pt>
                <c:pt idx="2263">
                  <c:v>49.22</c:v>
                </c:pt>
                <c:pt idx="2264">
                  <c:v>48.75</c:v>
                </c:pt>
                <c:pt idx="2265">
                  <c:v>48.8</c:v>
                </c:pt>
                <c:pt idx="2266">
                  <c:v>48.78</c:v>
                </c:pt>
                <c:pt idx="2267">
                  <c:v>48.76</c:v>
                </c:pt>
                <c:pt idx="2268">
                  <c:v>49.19</c:v>
                </c:pt>
                <c:pt idx="2269">
                  <c:v>49.68</c:v>
                </c:pt>
                <c:pt idx="2270">
                  <c:v>50.34</c:v>
                </c:pt>
                <c:pt idx="2271">
                  <c:v>50.62</c:v>
                </c:pt>
                <c:pt idx="2272">
                  <c:v>50.65</c:v>
                </c:pt>
                <c:pt idx="2273">
                  <c:v>50.76</c:v>
                </c:pt>
                <c:pt idx="2274">
                  <c:v>50.82</c:v>
                </c:pt>
                <c:pt idx="2275">
                  <c:v>50.87</c:v>
                </c:pt>
                <c:pt idx="2276">
                  <c:v>51.05</c:v>
                </c:pt>
                <c:pt idx="2277">
                  <c:v>51.33</c:v>
                </c:pt>
                <c:pt idx="2278">
                  <c:v>51.07</c:v>
                </c:pt>
                <c:pt idx="2279">
                  <c:v>50.93</c:v>
                </c:pt>
                <c:pt idx="2280">
                  <c:v>50.76</c:v>
                </c:pt>
                <c:pt idx="2281">
                  <c:v>51</c:v>
                </c:pt>
                <c:pt idx="2282">
                  <c:v>50.97</c:v>
                </c:pt>
                <c:pt idx="2283">
                  <c:v>51.4</c:v>
                </c:pt>
                <c:pt idx="2284">
                  <c:v>51.37</c:v>
                </c:pt>
                <c:pt idx="2285">
                  <c:v>51.13</c:v>
                </c:pt>
                <c:pt idx="2286">
                  <c:v>50.66</c:v>
                </c:pt>
                <c:pt idx="2287">
                  <c:v>50.25</c:v>
                </c:pt>
                <c:pt idx="2288">
                  <c:v>50.19</c:v>
                </c:pt>
                <c:pt idx="2289">
                  <c:v>50.05</c:v>
                </c:pt>
                <c:pt idx="2290">
                  <c:v>49.89</c:v>
                </c:pt>
                <c:pt idx="2291">
                  <c:v>50.06</c:v>
                </c:pt>
                <c:pt idx="2292">
                  <c:v>50.23</c:v>
                </c:pt>
                <c:pt idx="2293">
                  <c:v>51.75</c:v>
                </c:pt>
                <c:pt idx="2294">
                  <c:v>51.16</c:v>
                </c:pt>
                <c:pt idx="2295">
                  <c:v>50.83</c:v>
                </c:pt>
                <c:pt idx="2296">
                  <c:v>50.67</c:v>
                </c:pt>
                <c:pt idx="2297">
                  <c:v>50.39</c:v>
                </c:pt>
                <c:pt idx="2298">
                  <c:v>50.05</c:v>
                </c:pt>
                <c:pt idx="2299">
                  <c:v>49.81</c:v>
                </c:pt>
                <c:pt idx="2300">
                  <c:v>49</c:v>
                </c:pt>
                <c:pt idx="2301">
                  <c:v>49.04</c:v>
                </c:pt>
                <c:pt idx="2302">
                  <c:v>49.02</c:v>
                </c:pt>
                <c:pt idx="2303">
                  <c:v>48.14</c:v>
                </c:pt>
                <c:pt idx="2304">
                  <c:v>47.97</c:v>
                </c:pt>
                <c:pt idx="2305">
                  <c:v>49.46</c:v>
                </c:pt>
                <c:pt idx="2306">
                  <c:v>49.02</c:v>
                </c:pt>
                <c:pt idx="2307">
                  <c:v>49.82</c:v>
                </c:pt>
                <c:pt idx="2308">
                  <c:v>50.2</c:v>
                </c:pt>
                <c:pt idx="2309">
                  <c:v>50.59</c:v>
                </c:pt>
                <c:pt idx="2310">
                  <c:v>50.05</c:v>
                </c:pt>
                <c:pt idx="2311">
                  <c:v>50.5</c:v>
                </c:pt>
                <c:pt idx="2312">
                  <c:v>49.9</c:v>
                </c:pt>
                <c:pt idx="2313">
                  <c:v>49.64</c:v>
                </c:pt>
                <c:pt idx="2314">
                  <c:v>50.03</c:v>
                </c:pt>
                <c:pt idx="2315">
                  <c:v>50.16</c:v>
                </c:pt>
                <c:pt idx="2316">
                  <c:v>50.76</c:v>
                </c:pt>
                <c:pt idx="2317">
                  <c:v>50.9</c:v>
                </c:pt>
                <c:pt idx="2318">
                  <c:v>50.8</c:v>
                </c:pt>
                <c:pt idx="2319">
                  <c:v>50.85</c:v>
                </c:pt>
                <c:pt idx="2320">
                  <c:v>50.42</c:v>
                </c:pt>
                <c:pt idx="2321">
                  <c:v>49.79</c:v>
                </c:pt>
                <c:pt idx="2322">
                  <c:v>50.16</c:v>
                </c:pt>
                <c:pt idx="2323">
                  <c:v>50.46</c:v>
                </c:pt>
                <c:pt idx="2324">
                  <c:v>50.7</c:v>
                </c:pt>
                <c:pt idx="2325">
                  <c:v>51.06</c:v>
                </c:pt>
                <c:pt idx="2326">
                  <c:v>51.19</c:v>
                </c:pt>
                <c:pt idx="2327">
                  <c:v>51.1</c:v>
                </c:pt>
                <c:pt idx="2328">
                  <c:v>51.71</c:v>
                </c:pt>
                <c:pt idx="2329">
                  <c:v>52.09</c:v>
                </c:pt>
                <c:pt idx="2330">
                  <c:v>51.89</c:v>
                </c:pt>
                <c:pt idx="2331">
                  <c:v>52.18</c:v>
                </c:pt>
                <c:pt idx="2332">
                  <c:v>52.14</c:v>
                </c:pt>
                <c:pt idx="2333">
                  <c:v>52.47</c:v>
                </c:pt>
                <c:pt idx="2334">
                  <c:v>52.49</c:v>
                </c:pt>
                <c:pt idx="2335">
                  <c:v>52.14</c:v>
                </c:pt>
                <c:pt idx="2336">
                  <c:v>52.1</c:v>
                </c:pt>
                <c:pt idx="2337">
                  <c:v>52.61</c:v>
                </c:pt>
                <c:pt idx="2338">
                  <c:v>52.51</c:v>
                </c:pt>
                <c:pt idx="2339">
                  <c:v>52.35</c:v>
                </c:pt>
                <c:pt idx="2340">
                  <c:v>50.9</c:v>
                </c:pt>
                <c:pt idx="2341">
                  <c:v>50.6</c:v>
                </c:pt>
                <c:pt idx="2342">
                  <c:v>50.03</c:v>
                </c:pt>
                <c:pt idx="2343">
                  <c:v>49.19</c:v>
                </c:pt>
                <c:pt idx="2344">
                  <c:v>49.56</c:v>
                </c:pt>
                <c:pt idx="2345">
                  <c:v>49.89</c:v>
                </c:pt>
                <c:pt idx="2346">
                  <c:v>50.3</c:v>
                </c:pt>
                <c:pt idx="2347">
                  <c:v>50.5</c:v>
                </c:pt>
                <c:pt idx="2348">
                  <c:v>50.41</c:v>
                </c:pt>
                <c:pt idx="2349">
                  <c:v>50.4</c:v>
                </c:pt>
                <c:pt idx="2350">
                  <c:v>49.96</c:v>
                </c:pt>
                <c:pt idx="2351">
                  <c:v>49.87</c:v>
                </c:pt>
                <c:pt idx="2352">
                  <c:v>50.14</c:v>
                </c:pt>
                <c:pt idx="2353">
                  <c:v>49.95</c:v>
                </c:pt>
                <c:pt idx="2354">
                  <c:v>50.4</c:v>
                </c:pt>
                <c:pt idx="2355">
                  <c:v>50.28</c:v>
                </c:pt>
                <c:pt idx="2356">
                  <c:v>49.68</c:v>
                </c:pt>
                <c:pt idx="2357">
                  <c:v>50.15</c:v>
                </c:pt>
                <c:pt idx="2358">
                  <c:v>49.65</c:v>
                </c:pt>
                <c:pt idx="2359">
                  <c:v>51.07</c:v>
                </c:pt>
                <c:pt idx="2360">
                  <c:v>51.35</c:v>
                </c:pt>
                <c:pt idx="2361">
                  <c:v>51.28</c:v>
                </c:pt>
                <c:pt idx="2362">
                  <c:v>50.98</c:v>
                </c:pt>
                <c:pt idx="2363">
                  <c:v>52.23</c:v>
                </c:pt>
                <c:pt idx="2364">
                  <c:v>52.68</c:v>
                </c:pt>
                <c:pt idx="2365">
                  <c:v>53.34</c:v>
                </c:pt>
                <c:pt idx="2366">
                  <c:v>54.01</c:v>
                </c:pt>
                <c:pt idx="2367">
                  <c:v>53.15</c:v>
                </c:pt>
                <c:pt idx="2368">
                  <c:v>53.66</c:v>
                </c:pt>
                <c:pt idx="2369">
                  <c:v>53.11</c:v>
                </c:pt>
                <c:pt idx="2370">
                  <c:v>52.33</c:v>
                </c:pt>
                <c:pt idx="2371">
                  <c:v>52.6</c:v>
                </c:pt>
                <c:pt idx="2372">
                  <c:v>53.97</c:v>
                </c:pt>
                <c:pt idx="2373">
                  <c:v>52.91</c:v>
                </c:pt>
                <c:pt idx="2374">
                  <c:v>53.89</c:v>
                </c:pt>
                <c:pt idx="2375">
                  <c:v>52.86</c:v>
                </c:pt>
                <c:pt idx="2376">
                  <c:v>52.89</c:v>
                </c:pt>
                <c:pt idx="2377">
                  <c:v>54.3</c:v>
                </c:pt>
                <c:pt idx="2378">
                  <c:v>54.41</c:v>
                </c:pt>
                <c:pt idx="2379">
                  <c:v>52.79</c:v>
                </c:pt>
                <c:pt idx="2380">
                  <c:v>53.1</c:v>
                </c:pt>
                <c:pt idx="2381">
                  <c:v>52.45</c:v>
                </c:pt>
                <c:pt idx="2382">
                  <c:v>51.36</c:v>
                </c:pt>
                <c:pt idx="2383">
                  <c:v>50.89</c:v>
                </c:pt>
                <c:pt idx="2384">
                  <c:v>51.48</c:v>
                </c:pt>
                <c:pt idx="2385">
                  <c:v>51.74</c:v>
                </c:pt>
                <c:pt idx="2386">
                  <c:v>52.16</c:v>
                </c:pt>
                <c:pt idx="2387">
                  <c:v>52.31</c:v>
                </c:pt>
                <c:pt idx="2388">
                  <c:v>51.43</c:v>
                </c:pt>
                <c:pt idx="2389">
                  <c:v>52.1</c:v>
                </c:pt>
                <c:pt idx="2390">
                  <c:v>51.63</c:v>
                </c:pt>
                <c:pt idx="2391">
                  <c:v>51</c:v>
                </c:pt>
                <c:pt idx="2392">
                  <c:v>50.27</c:v>
                </c:pt>
                <c:pt idx="2393">
                  <c:v>50.51</c:v>
                </c:pt>
                <c:pt idx="2394">
                  <c:v>50.46</c:v>
                </c:pt>
                <c:pt idx="2395">
                  <c:v>50.82</c:v>
                </c:pt>
                <c:pt idx="2396">
                  <c:v>50.79</c:v>
                </c:pt>
                <c:pt idx="2397">
                  <c:v>50.32</c:v>
                </c:pt>
                <c:pt idx="2398">
                  <c:v>50</c:v>
                </c:pt>
                <c:pt idx="2399">
                  <c:v>50.13</c:v>
                </c:pt>
                <c:pt idx="2400">
                  <c:v>49.63</c:v>
                </c:pt>
                <c:pt idx="2401">
                  <c:v>50.22</c:v>
                </c:pt>
                <c:pt idx="2402">
                  <c:v>49.12</c:v>
                </c:pt>
                <c:pt idx="2403">
                  <c:v>49.59</c:v>
                </c:pt>
                <c:pt idx="2404">
                  <c:v>48.51</c:v>
                </c:pt>
                <c:pt idx="2405">
                  <c:v>48.65</c:v>
                </c:pt>
                <c:pt idx="2406">
                  <c:v>49.3</c:v>
                </c:pt>
                <c:pt idx="2407">
                  <c:v>48.77</c:v>
                </c:pt>
                <c:pt idx="2408">
                  <c:v>49.81</c:v>
                </c:pt>
                <c:pt idx="2409">
                  <c:v>49.7</c:v>
                </c:pt>
                <c:pt idx="2410">
                  <c:v>48.95</c:v>
                </c:pt>
                <c:pt idx="2411">
                  <c:v>50.34</c:v>
                </c:pt>
                <c:pt idx="2412">
                  <c:v>50.08</c:v>
                </c:pt>
                <c:pt idx="2413">
                  <c:v>51.02</c:v>
                </c:pt>
                <c:pt idx="2414">
                  <c:v>48.5</c:v>
                </c:pt>
                <c:pt idx="2415">
                  <c:v>48.73</c:v>
                </c:pt>
                <c:pt idx="2416">
                  <c:v>48.46</c:v>
                </c:pt>
                <c:pt idx="2417">
                  <c:v>48.04</c:v>
                </c:pt>
                <c:pt idx="2418">
                  <c:v>47.86</c:v>
                </c:pt>
                <c:pt idx="2419">
                  <c:v>46.95</c:v>
                </c:pt>
                <c:pt idx="2420">
                  <c:v>47.25</c:v>
                </c:pt>
                <c:pt idx="2421">
                  <c:v>47.85</c:v>
                </c:pt>
                <c:pt idx="2422">
                  <c:v>47.57</c:v>
                </c:pt>
                <c:pt idx="2423">
                  <c:v>47.79</c:v>
                </c:pt>
                <c:pt idx="2424">
                  <c:v>48</c:v>
                </c:pt>
                <c:pt idx="2425">
                  <c:v>48.4</c:v>
                </c:pt>
                <c:pt idx="2426">
                  <c:v>48.6</c:v>
                </c:pt>
                <c:pt idx="2427">
                  <c:v>47.68</c:v>
                </c:pt>
                <c:pt idx="2428">
                  <c:v>48.33</c:v>
                </c:pt>
                <c:pt idx="2429">
                  <c:v>48.4</c:v>
                </c:pt>
                <c:pt idx="2430">
                  <c:v>49.4</c:v>
                </c:pt>
                <c:pt idx="2431">
                  <c:v>49.02</c:v>
                </c:pt>
                <c:pt idx="2432">
                  <c:v>48.57</c:v>
                </c:pt>
                <c:pt idx="2433">
                  <c:v>49.7</c:v>
                </c:pt>
                <c:pt idx="2434">
                  <c:v>49.84</c:v>
                </c:pt>
                <c:pt idx="2435">
                  <c:v>49.59</c:v>
                </c:pt>
                <c:pt idx="2436">
                  <c:v>50.12</c:v>
                </c:pt>
                <c:pt idx="2437">
                  <c:v>50.44</c:v>
                </c:pt>
                <c:pt idx="2438">
                  <c:v>50.67</c:v>
                </c:pt>
                <c:pt idx="2439">
                  <c:v>50.18</c:v>
                </c:pt>
                <c:pt idx="2440">
                  <c:v>49.99</c:v>
                </c:pt>
                <c:pt idx="2441">
                  <c:v>50.4</c:v>
                </c:pt>
                <c:pt idx="2442">
                  <c:v>50.93</c:v>
                </c:pt>
                <c:pt idx="2443">
                  <c:v>50.74</c:v>
                </c:pt>
                <c:pt idx="2444">
                  <c:v>50.57</c:v>
                </c:pt>
                <c:pt idx="2445">
                  <c:v>49.98</c:v>
                </c:pt>
                <c:pt idx="2446">
                  <c:v>50.43</c:v>
                </c:pt>
                <c:pt idx="2447">
                  <c:v>50.59</c:v>
                </c:pt>
                <c:pt idx="2448">
                  <c:v>50.26</c:v>
                </c:pt>
                <c:pt idx="2449">
                  <c:v>49.99</c:v>
                </c:pt>
                <c:pt idx="2450">
                  <c:v>49.79</c:v>
                </c:pt>
                <c:pt idx="2451">
                  <c:v>50.7</c:v>
                </c:pt>
                <c:pt idx="2452">
                  <c:v>51.7</c:v>
                </c:pt>
                <c:pt idx="2453">
                  <c:v>50.92</c:v>
                </c:pt>
                <c:pt idx="2454">
                  <c:v>51.6</c:v>
                </c:pt>
                <c:pt idx="2455">
                  <c:v>52.03</c:v>
                </c:pt>
                <c:pt idx="2456">
                  <c:v>51.57</c:v>
                </c:pt>
                <c:pt idx="2457">
                  <c:v>52.26</c:v>
                </c:pt>
                <c:pt idx="2458">
                  <c:v>52.38</c:v>
                </c:pt>
                <c:pt idx="2459">
                  <c:v>52.87</c:v>
                </c:pt>
                <c:pt idx="2460">
                  <c:v>52.22</c:v>
                </c:pt>
                <c:pt idx="2461">
                  <c:v>52.19</c:v>
                </c:pt>
                <c:pt idx="2462">
                  <c:v>52.53</c:v>
                </c:pt>
                <c:pt idx="2463">
                  <c:v>52.59</c:v>
                </c:pt>
                <c:pt idx="2464">
                  <c:v>51.31</c:v>
                </c:pt>
                <c:pt idx="2465">
                  <c:v>51.3</c:v>
                </c:pt>
                <c:pt idx="2466">
                  <c:v>51.55</c:v>
                </c:pt>
                <c:pt idx="2467">
                  <c:v>51.87</c:v>
                </c:pt>
                <c:pt idx="2468">
                  <c:v>52.27</c:v>
                </c:pt>
                <c:pt idx="2469">
                  <c:v>51.8</c:v>
                </c:pt>
                <c:pt idx="2470">
                  <c:v>51.74</c:v>
                </c:pt>
                <c:pt idx="2471">
                  <c:v>51.43</c:v>
                </c:pt>
                <c:pt idx="2472">
                  <c:v>51.28</c:v>
                </c:pt>
                <c:pt idx="2473">
                  <c:v>50.41</c:v>
                </c:pt>
                <c:pt idx="2474">
                  <c:v>50.66</c:v>
                </c:pt>
                <c:pt idx="2475">
                  <c:v>51.08</c:v>
                </c:pt>
                <c:pt idx="2476">
                  <c:v>51.13</c:v>
                </c:pt>
                <c:pt idx="2477">
                  <c:v>50.06</c:v>
                </c:pt>
                <c:pt idx="2478">
                  <c:v>50.48</c:v>
                </c:pt>
                <c:pt idx="2479">
                  <c:v>49.81</c:v>
                </c:pt>
                <c:pt idx="2480">
                  <c:v>49.88</c:v>
                </c:pt>
                <c:pt idx="2481">
                  <c:v>50.3</c:v>
                </c:pt>
                <c:pt idx="2482">
                  <c:v>50.84</c:v>
                </c:pt>
                <c:pt idx="2483">
                  <c:v>49.81</c:v>
                </c:pt>
                <c:pt idx="2484">
                  <c:v>49.74</c:v>
                </c:pt>
                <c:pt idx="2485">
                  <c:v>48.74</c:v>
                </c:pt>
                <c:pt idx="2486">
                  <c:v>49.59</c:v>
                </c:pt>
                <c:pt idx="2487">
                  <c:v>49.24</c:v>
                </c:pt>
                <c:pt idx="2488">
                  <c:v>50.19</c:v>
                </c:pt>
                <c:pt idx="2489">
                  <c:v>49.54</c:v>
                </c:pt>
                <c:pt idx="2490">
                  <c:v>50.64</c:v>
                </c:pt>
                <c:pt idx="2491">
                  <c:v>51.89</c:v>
                </c:pt>
                <c:pt idx="2492">
                  <c:v>51.26</c:v>
                </c:pt>
                <c:pt idx="2493">
                  <c:v>52.72</c:v>
                </c:pt>
                <c:pt idx="2494">
                  <c:v>52.11</c:v>
                </c:pt>
                <c:pt idx="2495">
                  <c:v>52.13</c:v>
                </c:pt>
                <c:pt idx="2496">
                  <c:v>52.32</c:v>
                </c:pt>
                <c:pt idx="2497">
                  <c:v>52.7</c:v>
                </c:pt>
                <c:pt idx="2498">
                  <c:v>52.79</c:v>
                </c:pt>
                <c:pt idx="2499">
                  <c:v>53.38</c:v>
                </c:pt>
                <c:pt idx="2500">
                  <c:v>52.58</c:v>
                </c:pt>
                <c:pt idx="2501">
                  <c:v>53.04</c:v>
                </c:pt>
                <c:pt idx="2502">
                  <c:v>53.49</c:v>
                </c:pt>
                <c:pt idx="2503">
                  <c:v>52.76</c:v>
                </c:pt>
                <c:pt idx="2504">
                  <c:v>52.9</c:v>
                </c:pt>
                <c:pt idx="2505">
                  <c:v>52.85</c:v>
                </c:pt>
                <c:pt idx="2506">
                  <c:v>52.71</c:v>
                </c:pt>
                <c:pt idx="2507">
                  <c:v>52.93</c:v>
                </c:pt>
                <c:pt idx="2508">
                  <c:v>53.44</c:v>
                </c:pt>
                <c:pt idx="2509">
                  <c:v>53.58</c:v>
                </c:pt>
                <c:pt idx="2510">
                  <c:v>53.54</c:v>
                </c:pt>
                <c:pt idx="2511">
                  <c:v>52.96</c:v>
                </c:pt>
                <c:pt idx="2512">
                  <c:v>52.85</c:v>
                </c:pt>
                <c:pt idx="2513">
                  <c:v>52.34</c:v>
                </c:pt>
                <c:pt idx="2514">
                  <c:v>51.63</c:v>
                </c:pt>
                <c:pt idx="2515">
                  <c:v>52.61</c:v>
                </c:pt>
                <c:pt idx="2516">
                  <c:v>51.7</c:v>
                </c:pt>
                <c:pt idx="2517">
                  <c:v>54.15</c:v>
                </c:pt>
                <c:pt idx="2518">
                  <c:v>53.86</c:v>
                </c:pt>
                <c:pt idx="2519">
                  <c:v>53.79</c:v>
                </c:pt>
                <c:pt idx="2520">
                  <c:v>53.61</c:v>
                </c:pt>
                <c:pt idx="2521">
                  <c:v>52.3</c:v>
                </c:pt>
                <c:pt idx="2522">
                  <c:v>52.1</c:v>
                </c:pt>
                <c:pt idx="2523">
                  <c:v>50.9</c:v>
                </c:pt>
                <c:pt idx="2524">
                  <c:v>51.59</c:v>
                </c:pt>
                <c:pt idx="2525">
                  <c:v>49.75</c:v>
                </c:pt>
                <c:pt idx="2526">
                  <c:v>48.76</c:v>
                </c:pt>
                <c:pt idx="2527">
                  <c:v>48.32</c:v>
                </c:pt>
                <c:pt idx="2528">
                  <c:v>48.67</c:v>
                </c:pt>
                <c:pt idx="2529">
                  <c:v>47.63</c:v>
                </c:pt>
                <c:pt idx="2530">
                  <c:v>47.25</c:v>
                </c:pt>
                <c:pt idx="2531">
                  <c:v>48.06</c:v>
                </c:pt>
                <c:pt idx="2532">
                  <c:v>47.29</c:v>
                </c:pt>
                <c:pt idx="2533">
                  <c:v>47.26</c:v>
                </c:pt>
                <c:pt idx="2534">
                  <c:v>46.5</c:v>
                </c:pt>
                <c:pt idx="2535">
                  <c:v>48.06</c:v>
                </c:pt>
                <c:pt idx="2536">
                  <c:v>47.14</c:v>
                </c:pt>
                <c:pt idx="2537">
                  <c:v>47.03</c:v>
                </c:pt>
                <c:pt idx="2538">
                  <c:v>47.2</c:v>
                </c:pt>
                <c:pt idx="2539">
                  <c:v>47.08</c:v>
                </c:pt>
                <c:pt idx="2540">
                  <c:v>46.83</c:v>
                </c:pt>
                <c:pt idx="2541">
                  <c:v>47.32</c:v>
                </c:pt>
                <c:pt idx="2542">
                  <c:v>47.88</c:v>
                </c:pt>
                <c:pt idx="2543">
                  <c:v>48.01</c:v>
                </c:pt>
                <c:pt idx="2544">
                  <c:v>47.84</c:v>
                </c:pt>
                <c:pt idx="2545">
                  <c:v>48.02</c:v>
                </c:pt>
                <c:pt idx="2546">
                  <c:v>48.24</c:v>
                </c:pt>
                <c:pt idx="2547">
                  <c:v>48.05</c:v>
                </c:pt>
                <c:pt idx="2548">
                  <c:v>47.74</c:v>
                </c:pt>
                <c:pt idx="2549">
                  <c:v>47.81</c:v>
                </c:pt>
                <c:pt idx="2550">
                  <c:v>47.7</c:v>
                </c:pt>
                <c:pt idx="2551">
                  <c:v>47.42</c:v>
                </c:pt>
                <c:pt idx="2552">
                  <c:v>47.51</c:v>
                </c:pt>
                <c:pt idx="2553">
                  <c:v>48.2</c:v>
                </c:pt>
                <c:pt idx="2554">
                  <c:v>47.09</c:v>
                </c:pt>
                <c:pt idx="2555">
                  <c:v>46.97</c:v>
                </c:pt>
                <c:pt idx="2556">
                  <c:v>46.77</c:v>
                </c:pt>
                <c:pt idx="2557">
                  <c:v>46.94</c:v>
                </c:pt>
                <c:pt idx="2558">
                  <c:v>46.09</c:v>
                </c:pt>
                <c:pt idx="2559">
                  <c:v>45.72</c:v>
                </c:pt>
                <c:pt idx="2560">
                  <c:v>46.16</c:v>
                </c:pt>
                <c:pt idx="2561">
                  <c:v>47.19</c:v>
                </c:pt>
                <c:pt idx="2562">
                  <c:v>47.01</c:v>
                </c:pt>
                <c:pt idx="2563">
                  <c:v>46.57</c:v>
                </c:pt>
                <c:pt idx="2564">
                  <c:v>46.2</c:v>
                </c:pt>
                <c:pt idx="2565">
                  <c:v>45.83</c:v>
                </c:pt>
                <c:pt idx="2566">
                  <c:v>46.25</c:v>
                </c:pt>
                <c:pt idx="2567">
                  <c:v>45.68</c:v>
                </c:pt>
                <c:pt idx="2568">
                  <c:v>46.02</c:v>
                </c:pt>
                <c:pt idx="2569">
                  <c:v>47.15</c:v>
                </c:pt>
                <c:pt idx="2570">
                  <c:v>48.27</c:v>
                </c:pt>
                <c:pt idx="2571">
                  <c:v>48.26</c:v>
                </c:pt>
                <c:pt idx="2572">
                  <c:v>47.99</c:v>
                </c:pt>
                <c:pt idx="2573">
                  <c:v>48</c:v>
                </c:pt>
                <c:pt idx="2574">
                  <c:v>47.45</c:v>
                </c:pt>
                <c:pt idx="2575">
                  <c:v>48.39</c:v>
                </c:pt>
                <c:pt idx="2576">
                  <c:v>48.48</c:v>
                </c:pt>
                <c:pt idx="2577">
                  <c:v>48.42</c:v>
                </c:pt>
                <c:pt idx="2578">
                  <c:v>48.49</c:v>
                </c:pt>
                <c:pt idx="2579">
                  <c:v>48.16</c:v>
                </c:pt>
                <c:pt idx="2580">
                  <c:v>48.31</c:v>
                </c:pt>
                <c:pt idx="2581">
                  <c:v>47.87</c:v>
                </c:pt>
                <c:pt idx="2582">
                  <c:v>48.51</c:v>
                </c:pt>
                <c:pt idx="2583">
                  <c:v>48.36</c:v>
                </c:pt>
                <c:pt idx="2584">
                  <c:v>48.04</c:v>
                </c:pt>
                <c:pt idx="2585">
                  <c:v>47.82</c:v>
                </c:pt>
                <c:pt idx="2586">
                  <c:v>48.25</c:v>
                </c:pt>
                <c:pt idx="2587">
                  <c:v>48.31</c:v>
                </c:pt>
                <c:pt idx="2588">
                  <c:v>47.95</c:v>
                </c:pt>
                <c:pt idx="2589">
                  <c:v>48.17</c:v>
                </c:pt>
                <c:pt idx="2590">
                  <c:v>47.4</c:v>
                </c:pt>
                <c:pt idx="2591">
                  <c:v>47.72</c:v>
                </c:pt>
                <c:pt idx="2592">
                  <c:v>47.29</c:v>
                </c:pt>
                <c:pt idx="2593">
                  <c:v>47.15</c:v>
                </c:pt>
                <c:pt idx="2594">
                  <c:v>48.63</c:v>
                </c:pt>
                <c:pt idx="2595">
                  <c:v>49.41</c:v>
                </c:pt>
                <c:pt idx="2596">
                  <c:v>49.2</c:v>
                </c:pt>
                <c:pt idx="2597">
                  <c:v>49.69</c:v>
                </c:pt>
                <c:pt idx="2598">
                  <c:v>50.28</c:v>
                </c:pt>
                <c:pt idx="2599">
                  <c:v>51.41</c:v>
                </c:pt>
                <c:pt idx="2600">
                  <c:v>52.04</c:v>
                </c:pt>
                <c:pt idx="2601">
                  <c:v>50.71</c:v>
                </c:pt>
                <c:pt idx="2602">
                  <c:v>51.12</c:v>
                </c:pt>
                <c:pt idx="2603">
                  <c:v>50.93</c:v>
                </c:pt>
                <c:pt idx="2604">
                  <c:v>51.61</c:v>
                </c:pt>
                <c:pt idx="2605">
                  <c:v>52.05</c:v>
                </c:pt>
                <c:pt idx="2606">
                  <c:v>51.43</c:v>
                </c:pt>
                <c:pt idx="2607">
                  <c:v>51.81</c:v>
                </c:pt>
                <c:pt idx="2608">
                  <c:v>51.73</c:v>
                </c:pt>
                <c:pt idx="2609">
                  <c:v>50.55</c:v>
                </c:pt>
                <c:pt idx="2610">
                  <c:v>50.65</c:v>
                </c:pt>
                <c:pt idx="2611">
                  <c:v>52.65</c:v>
                </c:pt>
                <c:pt idx="2612">
                  <c:v>52.58</c:v>
                </c:pt>
                <c:pt idx="2613">
                  <c:v>56.61</c:v>
                </c:pt>
                <c:pt idx="2614">
                  <c:v>56.75</c:v>
                </c:pt>
                <c:pt idx="2615">
                  <c:v>55.13</c:v>
                </c:pt>
                <c:pt idx="2616">
                  <c:v>56.55</c:v>
                </c:pt>
                <c:pt idx="2617">
                  <c:v>57.46</c:v>
                </c:pt>
                <c:pt idx="2618">
                  <c:v>57.78</c:v>
                </c:pt>
                <c:pt idx="2619">
                  <c:v>56.94</c:v>
                </c:pt>
                <c:pt idx="2620">
                  <c:v>56.77</c:v>
                </c:pt>
                <c:pt idx="2621">
                  <c:v>57.75</c:v>
                </c:pt>
                <c:pt idx="2622">
                  <c:v>57.28</c:v>
                </c:pt>
                <c:pt idx="2623">
                  <c:v>57.54</c:v>
                </c:pt>
                <c:pt idx="2624">
                  <c:v>57.15</c:v>
                </c:pt>
                <c:pt idx="2625">
                  <c:v>58.35</c:v>
                </c:pt>
                <c:pt idx="2626">
                  <c:v>61.4</c:v>
                </c:pt>
                <c:pt idx="2627">
                  <c:v>61.12</c:v>
                </c:pt>
                <c:pt idx="2628">
                  <c:v>60.53</c:v>
                </c:pt>
                <c:pt idx="2629">
                  <c:v>61.2</c:v>
                </c:pt>
                <c:pt idx="2630">
                  <c:v>61.9</c:v>
                </c:pt>
                <c:pt idx="2631">
                  <c:v>61.05</c:v>
                </c:pt>
                <c:pt idx="2632">
                  <c:v>60.67</c:v>
                </c:pt>
                <c:pt idx="2633">
                  <c:v>60.9</c:v>
                </c:pt>
                <c:pt idx="2634">
                  <c:v>61.13</c:v>
                </c:pt>
                <c:pt idx="2635">
                  <c:v>61.76</c:v>
                </c:pt>
                <c:pt idx="2636">
                  <c:v>61.35</c:v>
                </c:pt>
                <c:pt idx="2637">
                  <c:v>62.26</c:v>
                </c:pt>
                <c:pt idx="2638">
                  <c:v>62.12</c:v>
                </c:pt>
                <c:pt idx="2639">
                  <c:v>61.94</c:v>
                </c:pt>
                <c:pt idx="2640">
                  <c:v>61.68</c:v>
                </c:pt>
                <c:pt idx="2641">
                  <c:v>61.67</c:v>
                </c:pt>
                <c:pt idx="2642">
                  <c:v>61.74</c:v>
                </c:pt>
                <c:pt idx="2643">
                  <c:v>61.76</c:v>
                </c:pt>
                <c:pt idx="2644">
                  <c:v>61.3</c:v>
                </c:pt>
                <c:pt idx="2645">
                  <c:v>61.21</c:v>
                </c:pt>
                <c:pt idx="2646">
                  <c:v>66.5</c:v>
                </c:pt>
                <c:pt idx="2647">
                  <c:v>66.87</c:v>
                </c:pt>
                <c:pt idx="2648">
                  <c:v>66.599999999999994</c:v>
                </c:pt>
                <c:pt idx="2649">
                  <c:v>66.95</c:v>
                </c:pt>
                <c:pt idx="2650">
                  <c:v>67.05</c:v>
                </c:pt>
                <c:pt idx="2651">
                  <c:v>67.11</c:v>
                </c:pt>
                <c:pt idx="2652">
                  <c:v>67.37</c:v>
                </c:pt>
                <c:pt idx="2653">
                  <c:v>67.25</c:v>
                </c:pt>
                <c:pt idx="2654">
                  <c:v>67.36</c:v>
                </c:pt>
                <c:pt idx="2655">
                  <c:v>67.45</c:v>
                </c:pt>
                <c:pt idx="2656">
                  <c:v>67.58</c:v>
                </c:pt>
                <c:pt idx="2657">
                  <c:v>67.569999999999993</c:v>
                </c:pt>
                <c:pt idx="2658">
                  <c:v>67.849999999999994</c:v>
                </c:pt>
                <c:pt idx="2659">
                  <c:v>67.77</c:v>
                </c:pt>
                <c:pt idx="2660">
                  <c:v>67.760000000000005</c:v>
                </c:pt>
                <c:pt idx="2661">
                  <c:v>67.77</c:v>
                </c:pt>
                <c:pt idx="2662">
                  <c:v>68.05</c:v>
                </c:pt>
                <c:pt idx="2663">
                  <c:v>68.239999999999995</c:v>
                </c:pt>
                <c:pt idx="2664">
                  <c:v>68.430000000000007</c:v>
                </c:pt>
                <c:pt idx="2665">
                  <c:v>68.16</c:v>
                </c:pt>
                <c:pt idx="2666">
                  <c:v>68.11</c:v>
                </c:pt>
                <c:pt idx="2667">
                  <c:v>68</c:v>
                </c:pt>
                <c:pt idx="2668">
                  <c:v>67.92</c:v>
                </c:pt>
                <c:pt idx="2669">
                  <c:v>68</c:v>
                </c:pt>
                <c:pt idx="2670">
                  <c:v>68.02</c:v>
                </c:pt>
                <c:pt idx="2671">
                  <c:v>68.19</c:v>
                </c:pt>
                <c:pt idx="2672">
                  <c:v>67.819999999999993</c:v>
                </c:pt>
                <c:pt idx="2673">
                  <c:v>67.77</c:v>
                </c:pt>
                <c:pt idx="2674">
                  <c:v>67.75</c:v>
                </c:pt>
                <c:pt idx="2675">
                  <c:v>67.760000000000005</c:v>
                </c:pt>
                <c:pt idx="2676">
                  <c:v>67.790000000000006</c:v>
                </c:pt>
                <c:pt idx="2677">
                  <c:v>67.650000000000006</c:v>
                </c:pt>
                <c:pt idx="2678">
                  <c:v>67.75</c:v>
                </c:pt>
                <c:pt idx="2679">
                  <c:v>67.87</c:v>
                </c:pt>
                <c:pt idx="2680">
                  <c:v>68</c:v>
                </c:pt>
                <c:pt idx="2681">
                  <c:v>67.86</c:v>
                </c:pt>
                <c:pt idx="2682">
                  <c:v>68.03</c:v>
                </c:pt>
                <c:pt idx="2683">
                  <c:v>68.25</c:v>
                </c:pt>
                <c:pt idx="2684">
                  <c:v>68</c:v>
                </c:pt>
                <c:pt idx="2685">
                  <c:v>68.180000000000007</c:v>
                </c:pt>
                <c:pt idx="2686">
                  <c:v>68.069999999999993</c:v>
                </c:pt>
                <c:pt idx="2687">
                  <c:v>68.02</c:v>
                </c:pt>
                <c:pt idx="2688">
                  <c:v>68.14</c:v>
                </c:pt>
                <c:pt idx="2689">
                  <c:v>68.09</c:v>
                </c:pt>
                <c:pt idx="2690">
                  <c:v>68.16</c:v>
                </c:pt>
                <c:pt idx="2691">
                  <c:v>66.2</c:v>
                </c:pt>
                <c:pt idx="2692">
                  <c:v>66.05</c:v>
                </c:pt>
                <c:pt idx="2693">
                  <c:v>64.400000000000006</c:v>
                </c:pt>
                <c:pt idx="2694">
                  <c:v>65.709999999999994</c:v>
                </c:pt>
                <c:pt idx="2695">
                  <c:v>67.150000000000006</c:v>
                </c:pt>
                <c:pt idx="2696">
                  <c:v>66.599999999999994</c:v>
                </c:pt>
                <c:pt idx="2697">
                  <c:v>65.73</c:v>
                </c:pt>
                <c:pt idx="2698">
                  <c:v>66.3</c:v>
                </c:pt>
                <c:pt idx="2699">
                  <c:v>66.709999999999994</c:v>
                </c:pt>
                <c:pt idx="2700">
                  <c:v>66.02</c:v>
                </c:pt>
                <c:pt idx="2701">
                  <c:v>63.5</c:v>
                </c:pt>
                <c:pt idx="2702">
                  <c:v>64.88</c:v>
                </c:pt>
                <c:pt idx="2703">
                  <c:v>65.349999999999994</c:v>
                </c:pt>
                <c:pt idx="2704">
                  <c:v>64.58</c:v>
                </c:pt>
                <c:pt idx="2705">
                  <c:v>65.099999999999994</c:v>
                </c:pt>
                <c:pt idx="2706">
                  <c:v>63.09</c:v>
                </c:pt>
                <c:pt idx="2707">
                  <c:v>62.85</c:v>
                </c:pt>
                <c:pt idx="2708">
                  <c:v>62.92</c:v>
                </c:pt>
                <c:pt idx="2709">
                  <c:v>61.61</c:v>
                </c:pt>
                <c:pt idx="2710">
                  <c:v>58.5</c:v>
                </c:pt>
                <c:pt idx="2711">
                  <c:v>63.93</c:v>
                </c:pt>
                <c:pt idx="2712">
                  <c:v>63.02</c:v>
                </c:pt>
                <c:pt idx="2713">
                  <c:v>59.75</c:v>
                </c:pt>
                <c:pt idx="2714">
                  <c:v>59.95</c:v>
                </c:pt>
                <c:pt idx="2715">
                  <c:v>62.65</c:v>
                </c:pt>
                <c:pt idx="2716">
                  <c:v>63.28</c:v>
                </c:pt>
                <c:pt idx="2717">
                  <c:v>63.07</c:v>
                </c:pt>
                <c:pt idx="2718">
                  <c:v>60.48</c:v>
                </c:pt>
                <c:pt idx="2719">
                  <c:v>58.13</c:v>
                </c:pt>
                <c:pt idx="2720">
                  <c:v>56.93</c:v>
                </c:pt>
                <c:pt idx="2721">
                  <c:v>59.27</c:v>
                </c:pt>
                <c:pt idx="2722">
                  <c:v>60.91</c:v>
                </c:pt>
                <c:pt idx="2723">
                  <c:v>59.83</c:v>
                </c:pt>
                <c:pt idx="2724">
                  <c:v>62</c:v>
                </c:pt>
                <c:pt idx="2725">
                  <c:v>62.03</c:v>
                </c:pt>
                <c:pt idx="2726">
                  <c:v>63.54</c:v>
                </c:pt>
                <c:pt idx="2727">
                  <c:v>64.599999999999994</c:v>
                </c:pt>
                <c:pt idx="2728">
                  <c:v>64</c:v>
                </c:pt>
                <c:pt idx="2729">
                  <c:v>64.58</c:v>
                </c:pt>
                <c:pt idx="2730">
                  <c:v>65.69</c:v>
                </c:pt>
                <c:pt idx="2731">
                  <c:v>66.59</c:v>
                </c:pt>
                <c:pt idx="2732">
                  <c:v>66.84</c:v>
                </c:pt>
                <c:pt idx="2733">
                  <c:v>66.33</c:v>
                </c:pt>
                <c:pt idx="2734">
                  <c:v>67.930000000000007</c:v>
                </c:pt>
                <c:pt idx="2735">
                  <c:v>68.5</c:v>
                </c:pt>
                <c:pt idx="2736">
                  <c:v>68.58</c:v>
                </c:pt>
              </c:numCache>
            </c:numRef>
          </c:val>
          <c:smooth val="0"/>
          <c:extLst>
            <c:ext xmlns:c16="http://schemas.microsoft.com/office/drawing/2014/chart" uri="{C3380CC4-5D6E-409C-BE32-E72D297353CC}">
              <c16:uniqueId val="{00000000-C0A6-4609-8AF4-684CD764BCC4}"/>
            </c:ext>
          </c:extLst>
        </c:ser>
        <c:dLbls>
          <c:showLegendKey val="0"/>
          <c:showVal val="0"/>
          <c:showCatName val="0"/>
          <c:showSerName val="0"/>
          <c:showPercent val="0"/>
          <c:showBubbleSize val="0"/>
        </c:dLbls>
        <c:smooth val="0"/>
        <c:axId val="43773440"/>
        <c:axId val="43463744"/>
      </c:lineChart>
      <c:dateAx>
        <c:axId val="43773440"/>
        <c:scaling>
          <c:orientation val="minMax"/>
        </c:scaling>
        <c:delete val="0"/>
        <c:axPos val="b"/>
        <c:numFmt formatCode="m/d/yyyy;@" sourceLinked="1"/>
        <c:majorTickMark val="out"/>
        <c:minorTickMark val="none"/>
        <c:tickLblPos val="nextTo"/>
        <c:crossAx val="43463744"/>
        <c:crosses val="autoZero"/>
        <c:auto val="0"/>
        <c:lblOffset val="100"/>
        <c:baseTimeUnit val="days"/>
      </c:dateAx>
      <c:valAx>
        <c:axId val="43463744"/>
        <c:scaling>
          <c:orientation val="minMax"/>
        </c:scaling>
        <c:delete val="0"/>
        <c:axPos val="l"/>
        <c:numFmt formatCode="&quot;$&quot;#,##0" sourceLinked="0"/>
        <c:majorTickMark val="out"/>
        <c:minorTickMark val="none"/>
        <c:tickLblPos val="nextTo"/>
        <c:crossAx val="4377344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1"/>
          <c:order val="0"/>
          <c:tx>
            <c:strRef>
              <c:f>'Exhibit 5'!$C$6</c:f>
              <c:strCache>
                <c:ptCount val="1"/>
                <c:pt idx="0">
                  <c:v>USD/EUR</c:v>
                </c:pt>
              </c:strCache>
            </c:strRef>
          </c:tx>
          <c:cat>
            <c:strRef>
              <c:f>'Exhibit 5'!$A$7:$A$25</c:f>
              <c:strCache>
                <c:ptCount val="19"/>
                <c:pt idx="0">
                  <c:v>Jul. 1, 2003–Sep. 30, 2003</c:v>
                </c:pt>
                <c:pt idx="1">
                  <c:v>Oct. 1, 2003–Dec. 31, 2003</c:v>
                </c:pt>
                <c:pt idx="2">
                  <c:v>Jan. 1, 2004–Mar. 31, 2004</c:v>
                </c:pt>
                <c:pt idx="3">
                  <c:v>Apr. 1, 2004–Jun. 30, 2004</c:v>
                </c:pt>
                <c:pt idx="4">
                  <c:v>Jul. 1, 2004–Sep. 30, 2004</c:v>
                </c:pt>
                <c:pt idx="5">
                  <c:v>Oct. 1, 2004–Dec. 31, 2004</c:v>
                </c:pt>
                <c:pt idx="6">
                  <c:v>Jan. 1, 2005–Mar. 31, 2005</c:v>
                </c:pt>
                <c:pt idx="7">
                  <c:v>Apr. 1, 2005–Jun. 30, 2005</c:v>
                </c:pt>
                <c:pt idx="8">
                  <c:v>Jul. 1, 2005–Sep. 30, 2005</c:v>
                </c:pt>
                <c:pt idx="9">
                  <c:v>Oct. 1, 2005–Dec. 31, 2005</c:v>
                </c:pt>
                <c:pt idx="10">
                  <c:v>Jan. 1, 2006–Mar. 31, 2006</c:v>
                </c:pt>
                <c:pt idx="11">
                  <c:v>Apr. 1, 2006–Jun. 30, 2006</c:v>
                </c:pt>
                <c:pt idx="12">
                  <c:v>Jul. 1, 2006–Sep. 30, 2006</c:v>
                </c:pt>
                <c:pt idx="13">
                  <c:v>Oct. 1, 2006–Dec. 31, 2006</c:v>
                </c:pt>
                <c:pt idx="14">
                  <c:v>Jan. 1, 2007–Mar. 31, 2007</c:v>
                </c:pt>
                <c:pt idx="15">
                  <c:v>Apr. 1, 2007–Jun. 30, 2007</c:v>
                </c:pt>
                <c:pt idx="16">
                  <c:v>Jul. 1, 2007–Sep. 30, 2007</c:v>
                </c:pt>
                <c:pt idx="17">
                  <c:v>Oct. 1, 2007–Dec. 31, 2007</c:v>
                </c:pt>
                <c:pt idx="18">
                  <c:v>Jan. 1, 2008–Mar. 31, 2008</c:v>
                </c:pt>
              </c:strCache>
            </c:strRef>
          </c:cat>
          <c:val>
            <c:numRef>
              <c:f>'Exhibit 5'!$C$7:$C$25</c:f>
              <c:numCache>
                <c:formatCode>General</c:formatCode>
                <c:ptCount val="19"/>
                <c:pt idx="0">
                  <c:v>0.88780000000000003</c:v>
                </c:pt>
                <c:pt idx="1">
                  <c:v>0.84040000000000004</c:v>
                </c:pt>
                <c:pt idx="2">
                  <c:v>0.80059999999999998</c:v>
                </c:pt>
                <c:pt idx="3">
                  <c:v>0.8296</c:v>
                </c:pt>
                <c:pt idx="4">
                  <c:v>0.81779999999999997</c:v>
                </c:pt>
                <c:pt idx="5">
                  <c:v>0.77159999999999995</c:v>
                </c:pt>
                <c:pt idx="6">
                  <c:v>0.7621</c:v>
                </c:pt>
                <c:pt idx="7">
                  <c:v>0.79379999999999995</c:v>
                </c:pt>
                <c:pt idx="8">
                  <c:v>0.81950000000000001</c:v>
                </c:pt>
                <c:pt idx="9">
                  <c:v>0.8407</c:v>
                </c:pt>
                <c:pt idx="10">
                  <c:v>0.83160000000000001</c:v>
                </c:pt>
                <c:pt idx="11">
                  <c:v>0.79620000000000002</c:v>
                </c:pt>
                <c:pt idx="12">
                  <c:v>0.7843</c:v>
                </c:pt>
                <c:pt idx="13">
                  <c:v>0.77580000000000005</c:v>
                </c:pt>
                <c:pt idx="14">
                  <c:v>0.76319999999999999</c:v>
                </c:pt>
                <c:pt idx="15">
                  <c:v>0.74170000000000003</c:v>
                </c:pt>
                <c:pt idx="16">
                  <c:v>0.7278</c:v>
                </c:pt>
                <c:pt idx="17">
                  <c:v>0.6905</c:v>
                </c:pt>
                <c:pt idx="18">
                  <c:v>0.66810000000000003</c:v>
                </c:pt>
              </c:numCache>
            </c:numRef>
          </c:val>
          <c:smooth val="0"/>
          <c:extLst>
            <c:ext xmlns:c16="http://schemas.microsoft.com/office/drawing/2014/chart" uri="{C3380CC4-5D6E-409C-BE32-E72D297353CC}">
              <c16:uniqueId val="{00000000-3BB0-4574-A9B6-A9FBD0C3CA65}"/>
            </c:ext>
          </c:extLst>
        </c:ser>
        <c:ser>
          <c:idx val="3"/>
          <c:order val="1"/>
          <c:tx>
            <c:strRef>
              <c:f>'[1]Exhibit 5'!$E$6</c:f>
              <c:strCache>
                <c:ptCount val="1"/>
                <c:pt idx="0">
                  <c:v>USD/MXN</c:v>
                </c:pt>
              </c:strCache>
            </c:strRef>
          </c:tx>
          <c:cat>
            <c:strRef>
              <c:f>'[1]Exhibit 5'!$A$7:$A$25</c:f>
              <c:strCache>
                <c:ptCount val="19"/>
                <c:pt idx="0">
                  <c:v>Jul. 1, 2003–Sep. 30, 2003</c:v>
                </c:pt>
                <c:pt idx="1">
                  <c:v>Oct. 1, 2003–Dec. 31, 2003</c:v>
                </c:pt>
                <c:pt idx="2">
                  <c:v>Jan. 1, 2004–Mar. 31, 2004</c:v>
                </c:pt>
                <c:pt idx="3">
                  <c:v>Apr. 1, 2004–Jun. 30, 2004</c:v>
                </c:pt>
                <c:pt idx="4">
                  <c:v>Jul. 1, 2004–Sep. 30, 2004</c:v>
                </c:pt>
                <c:pt idx="5">
                  <c:v>Oct. 1, 2004–Dec. 31, 2004</c:v>
                </c:pt>
                <c:pt idx="6">
                  <c:v>Jan. 1, 2005–Mar. 31, 2005</c:v>
                </c:pt>
                <c:pt idx="7">
                  <c:v>Apr. 1, 2005–Jun. 30, 2005</c:v>
                </c:pt>
                <c:pt idx="8">
                  <c:v>Jul. 1, 2005–Sep. 30, 2005</c:v>
                </c:pt>
                <c:pt idx="9">
                  <c:v>Oct. 1, 2005–Dec. 31, 2005</c:v>
                </c:pt>
                <c:pt idx="10">
                  <c:v>Jan. 1, 2006–Mar. 31, 2006</c:v>
                </c:pt>
                <c:pt idx="11">
                  <c:v>Apr. 1, 2006–Jun. 30, 2006</c:v>
                </c:pt>
                <c:pt idx="12">
                  <c:v>Jul. 1, 2006–Sep. 30, 2006</c:v>
                </c:pt>
                <c:pt idx="13">
                  <c:v>Oct. 1, 2006–Dec. 31, 2006</c:v>
                </c:pt>
                <c:pt idx="14">
                  <c:v>Jan. 1, 2007–Mar. 31, 2007</c:v>
                </c:pt>
                <c:pt idx="15">
                  <c:v>Apr. 1, 2007–Jun. 30, 2007</c:v>
                </c:pt>
                <c:pt idx="16">
                  <c:v>Jul. 1, 2007–Sep. 30, 2007</c:v>
                </c:pt>
                <c:pt idx="17">
                  <c:v>Oct. 1, 2007–Dec. 31, 2007</c:v>
                </c:pt>
                <c:pt idx="18">
                  <c:v>Jan. 1, 2008–Mar. 31, 2008</c:v>
                </c:pt>
              </c:strCache>
            </c:strRef>
          </c:cat>
          <c:val>
            <c:numRef>
              <c:f>'[1]Exhibit 5'!$E$7:$E$25</c:f>
            </c:numRef>
          </c:val>
          <c:smooth val="0"/>
          <c:extLst>
            <c:ext xmlns:c16="http://schemas.microsoft.com/office/drawing/2014/chart" uri="{C3380CC4-5D6E-409C-BE32-E72D297353CC}">
              <c16:uniqueId val="{00000001-3BB0-4574-A9B6-A9FBD0C3CA65}"/>
            </c:ext>
          </c:extLst>
        </c:ser>
        <c:ser>
          <c:idx val="5"/>
          <c:order val="2"/>
          <c:tx>
            <c:strRef>
              <c:f>'[1]Exhibit 5'!$G$6</c:f>
              <c:strCache>
                <c:ptCount val="1"/>
                <c:pt idx="0">
                  <c:v>USD/CNY</c:v>
                </c:pt>
              </c:strCache>
            </c:strRef>
          </c:tx>
          <c:cat>
            <c:strRef>
              <c:f>'[1]Exhibit 5'!$A$7:$A$25</c:f>
              <c:strCache>
                <c:ptCount val="19"/>
                <c:pt idx="0">
                  <c:v>Jul. 1, 2003–Sep. 30, 2003</c:v>
                </c:pt>
                <c:pt idx="1">
                  <c:v>Oct. 1, 2003–Dec. 31, 2003</c:v>
                </c:pt>
                <c:pt idx="2">
                  <c:v>Jan. 1, 2004–Mar. 31, 2004</c:v>
                </c:pt>
                <c:pt idx="3">
                  <c:v>Apr. 1, 2004–Jun. 30, 2004</c:v>
                </c:pt>
                <c:pt idx="4">
                  <c:v>Jul. 1, 2004–Sep. 30, 2004</c:v>
                </c:pt>
                <c:pt idx="5">
                  <c:v>Oct. 1, 2004–Dec. 31, 2004</c:v>
                </c:pt>
                <c:pt idx="6">
                  <c:v>Jan. 1, 2005–Mar. 31, 2005</c:v>
                </c:pt>
                <c:pt idx="7">
                  <c:v>Apr. 1, 2005–Jun. 30, 2005</c:v>
                </c:pt>
                <c:pt idx="8">
                  <c:v>Jul. 1, 2005–Sep. 30, 2005</c:v>
                </c:pt>
                <c:pt idx="9">
                  <c:v>Oct. 1, 2005–Dec. 31, 2005</c:v>
                </c:pt>
                <c:pt idx="10">
                  <c:v>Jan. 1, 2006–Mar. 31, 2006</c:v>
                </c:pt>
                <c:pt idx="11">
                  <c:v>Apr. 1, 2006–Jun. 30, 2006</c:v>
                </c:pt>
                <c:pt idx="12">
                  <c:v>Jul. 1, 2006–Sep. 30, 2006</c:v>
                </c:pt>
                <c:pt idx="13">
                  <c:v>Oct. 1, 2006–Dec. 31, 2006</c:v>
                </c:pt>
                <c:pt idx="14">
                  <c:v>Jan. 1, 2007–Mar. 31, 2007</c:v>
                </c:pt>
                <c:pt idx="15">
                  <c:v>Apr. 1, 2007–Jun. 30, 2007</c:v>
                </c:pt>
                <c:pt idx="16">
                  <c:v>Jul. 1, 2007–Sep. 30, 2007</c:v>
                </c:pt>
                <c:pt idx="17">
                  <c:v>Oct. 1, 2007–Dec. 31, 2007</c:v>
                </c:pt>
                <c:pt idx="18">
                  <c:v>Jan. 1, 2008–Mar. 31, 2008</c:v>
                </c:pt>
              </c:strCache>
            </c:strRef>
          </c:cat>
          <c:val>
            <c:numRef>
              <c:f>'[1]Exhibit 5'!$G$7:$G$25</c:f>
            </c:numRef>
          </c:val>
          <c:smooth val="0"/>
          <c:extLst>
            <c:ext xmlns:c16="http://schemas.microsoft.com/office/drawing/2014/chart" uri="{C3380CC4-5D6E-409C-BE32-E72D297353CC}">
              <c16:uniqueId val="{00000002-3BB0-4574-A9B6-A9FBD0C3CA65}"/>
            </c:ext>
          </c:extLst>
        </c:ser>
        <c:dLbls>
          <c:showLegendKey val="0"/>
          <c:showVal val="0"/>
          <c:showCatName val="0"/>
          <c:showSerName val="0"/>
          <c:showPercent val="0"/>
          <c:showBubbleSize val="0"/>
        </c:dLbls>
        <c:marker val="1"/>
        <c:smooth val="0"/>
        <c:axId val="106615296"/>
        <c:axId val="43465472"/>
      </c:lineChart>
      <c:catAx>
        <c:axId val="106615296"/>
        <c:scaling>
          <c:orientation val="minMax"/>
        </c:scaling>
        <c:delete val="0"/>
        <c:axPos val="b"/>
        <c:numFmt formatCode="General" sourceLinked="1"/>
        <c:majorTickMark val="out"/>
        <c:minorTickMark val="none"/>
        <c:tickLblPos val="nextTo"/>
        <c:txPr>
          <a:bodyPr rot="2700000"/>
          <a:lstStyle/>
          <a:p>
            <a:pPr>
              <a:defRPr/>
            </a:pPr>
            <a:endParaRPr lang="en-US"/>
          </a:p>
        </c:txPr>
        <c:crossAx val="43465472"/>
        <c:crosses val="autoZero"/>
        <c:auto val="1"/>
        <c:lblAlgn val="ctr"/>
        <c:lblOffset val="100"/>
        <c:noMultiLvlLbl val="0"/>
      </c:catAx>
      <c:valAx>
        <c:axId val="43465472"/>
        <c:scaling>
          <c:orientation val="minMax"/>
        </c:scaling>
        <c:delete val="0"/>
        <c:axPos val="l"/>
        <c:numFmt formatCode="_(&quot;$&quot;* #,##0.00_);_(&quot;$&quot;* \(#,##0.00\);_(&quot;$&quot;* &quot;-&quot;??_);_(@_)" sourceLinked="0"/>
        <c:majorTickMark val="out"/>
        <c:minorTickMark val="none"/>
        <c:tickLblPos val="nextTo"/>
        <c:crossAx val="106615296"/>
        <c:crosses val="autoZero"/>
        <c:crossBetween val="between"/>
      </c:val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547686</xdr:colOff>
      <xdr:row>8</xdr:row>
      <xdr:rowOff>180975</xdr:rowOff>
    </xdr:from>
    <xdr:to>
      <xdr:col>12</xdr:col>
      <xdr:colOff>285749</xdr:colOff>
      <xdr:row>28</xdr:row>
      <xdr:rowOff>185737</xdr:rowOff>
    </xdr:to>
    <xdr:graphicFrame macro="">
      <xdr:nvGraphicFramePr>
        <xdr:cNvPr id="2" name="Chart 1">
          <a:extLst>
            <a:ext uri="{FF2B5EF4-FFF2-40B4-BE49-F238E27FC236}">
              <a16:creationId xmlns:a16="http://schemas.microsoft.com/office/drawing/2014/main" id="{326AB930-258B-4E82-9A6F-8D6D1705F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371474</xdr:colOff>
      <xdr:row>6</xdr:row>
      <xdr:rowOff>85724</xdr:rowOff>
    </xdr:from>
    <xdr:to>
      <xdr:col>16</xdr:col>
      <xdr:colOff>47624</xdr:colOff>
      <xdr:row>24</xdr:row>
      <xdr:rowOff>190499</xdr:rowOff>
    </xdr:to>
    <xdr:graphicFrame macro="">
      <xdr:nvGraphicFramePr>
        <xdr:cNvPr id="2" name="Chart 1">
          <a:extLst>
            <a:ext uri="{FF2B5EF4-FFF2-40B4-BE49-F238E27FC236}">
              <a16:creationId xmlns:a16="http://schemas.microsoft.com/office/drawing/2014/main" id="{315F3854-F670-4E01-A5E7-D9ACC819E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van\OneDrive\Desktop\M&amp;A\Case1_final.xlsx" TargetMode="External"/><Relationship Id="rId1" Type="http://schemas.openxmlformats.org/officeDocument/2006/relationships/externalLinkPath" Target="/Users/levan/OneDrive/Desktop/M&amp;A/Case1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hibit 1"/>
      <sheetName val="Exhibit 2"/>
      <sheetName val="Exhibit 2 (cont.)"/>
      <sheetName val="Exhibit 3"/>
      <sheetName val="Exhibit 4"/>
      <sheetName val="Exhibit 5"/>
      <sheetName val="Exhibit 6"/>
      <sheetName val="Question 1"/>
      <sheetName val="Question 2"/>
      <sheetName val="Question 3"/>
      <sheetName val="Question 4"/>
      <sheetName val="Question 5"/>
      <sheetName val="Question 6"/>
    </sheetNames>
    <sheetDataSet>
      <sheetData sheetId="0"/>
      <sheetData sheetId="1"/>
      <sheetData sheetId="2"/>
      <sheetData sheetId="3">
        <row r="5">
          <cell r="D5" t="str">
            <v>Stock Price</v>
          </cell>
        </row>
        <row r="6">
          <cell r="B6">
            <v>35797</v>
          </cell>
          <cell r="D6">
            <v>22.1875</v>
          </cell>
        </row>
        <row r="7">
          <cell r="B7">
            <v>35800</v>
          </cell>
          <cell r="D7">
            <v>21.75</v>
          </cell>
        </row>
        <row r="8">
          <cell r="B8">
            <v>35801</v>
          </cell>
          <cell r="D8">
            <v>21.78125</v>
          </cell>
        </row>
        <row r="9">
          <cell r="B9">
            <v>35802</v>
          </cell>
          <cell r="D9">
            <v>21.71875</v>
          </cell>
        </row>
        <row r="10">
          <cell r="B10">
            <v>35803</v>
          </cell>
          <cell r="D10">
            <v>21.875</v>
          </cell>
        </row>
        <row r="11">
          <cell r="B11">
            <v>35804</v>
          </cell>
          <cell r="D11">
            <v>21.96875</v>
          </cell>
        </row>
        <row r="12">
          <cell r="B12">
            <v>35807</v>
          </cell>
          <cell r="D12">
            <v>22.46875</v>
          </cell>
        </row>
        <row r="13">
          <cell r="B13">
            <v>35808</v>
          </cell>
          <cell r="D13">
            <v>21.90625</v>
          </cell>
        </row>
        <row r="14">
          <cell r="B14">
            <v>35809</v>
          </cell>
          <cell r="D14">
            <v>21.71875</v>
          </cell>
        </row>
        <row r="15">
          <cell r="B15">
            <v>35810</v>
          </cell>
          <cell r="D15">
            <v>22.03125</v>
          </cell>
        </row>
        <row r="16">
          <cell r="B16">
            <v>35811</v>
          </cell>
          <cell r="D16">
            <v>22.25</v>
          </cell>
        </row>
        <row r="17">
          <cell r="B17">
            <v>35815</v>
          </cell>
          <cell r="D17">
            <v>22.4375</v>
          </cell>
        </row>
        <row r="18">
          <cell r="B18">
            <v>35816</v>
          </cell>
          <cell r="D18">
            <v>22.03125</v>
          </cell>
        </row>
        <row r="19">
          <cell r="B19">
            <v>35817</v>
          </cell>
          <cell r="D19">
            <v>22.6875</v>
          </cell>
        </row>
        <row r="20">
          <cell r="B20">
            <v>35818</v>
          </cell>
          <cell r="D20">
            <v>22.375</v>
          </cell>
        </row>
        <row r="21">
          <cell r="B21">
            <v>35821</v>
          </cell>
          <cell r="D21">
            <v>22.28125</v>
          </cell>
        </row>
        <row r="22">
          <cell r="B22">
            <v>35822</v>
          </cell>
          <cell r="D22">
            <v>22.375</v>
          </cell>
        </row>
        <row r="23">
          <cell r="B23">
            <v>35823</v>
          </cell>
          <cell r="D23">
            <v>22</v>
          </cell>
        </row>
        <row r="24">
          <cell r="B24">
            <v>35824</v>
          </cell>
          <cell r="D24">
            <v>22.375</v>
          </cell>
        </row>
        <row r="25">
          <cell r="B25">
            <v>35825</v>
          </cell>
          <cell r="D25">
            <v>22.46875</v>
          </cell>
        </row>
        <row r="26">
          <cell r="B26">
            <v>35828</v>
          </cell>
          <cell r="D26">
            <v>22.625</v>
          </cell>
        </row>
        <row r="27">
          <cell r="B27">
            <v>35829</v>
          </cell>
          <cell r="D27">
            <v>22.46875</v>
          </cell>
        </row>
        <row r="28">
          <cell r="B28">
            <v>35830</v>
          </cell>
          <cell r="D28">
            <v>22.59375</v>
          </cell>
        </row>
        <row r="29">
          <cell r="B29">
            <v>35831</v>
          </cell>
          <cell r="D29">
            <v>22.34375</v>
          </cell>
        </row>
        <row r="30">
          <cell r="B30">
            <v>35832</v>
          </cell>
          <cell r="D30">
            <v>22.65625</v>
          </cell>
        </row>
        <row r="31">
          <cell r="B31">
            <v>35835</v>
          </cell>
          <cell r="D31">
            <v>23.15625</v>
          </cell>
        </row>
        <row r="32">
          <cell r="B32">
            <v>35836</v>
          </cell>
          <cell r="D32">
            <v>23.25</v>
          </cell>
        </row>
        <row r="33">
          <cell r="B33">
            <v>35837</v>
          </cell>
          <cell r="D33">
            <v>23.25</v>
          </cell>
        </row>
        <row r="34">
          <cell r="B34">
            <v>35838</v>
          </cell>
          <cell r="D34">
            <v>23.28125</v>
          </cell>
        </row>
        <row r="35">
          <cell r="B35">
            <v>35839</v>
          </cell>
          <cell r="D35">
            <v>23.21875</v>
          </cell>
        </row>
        <row r="36">
          <cell r="B36">
            <v>35843</v>
          </cell>
          <cell r="D36">
            <v>23.3125</v>
          </cell>
        </row>
        <row r="37">
          <cell r="B37">
            <v>35844</v>
          </cell>
          <cell r="D37">
            <v>23.71875</v>
          </cell>
        </row>
        <row r="38">
          <cell r="B38">
            <v>35845</v>
          </cell>
          <cell r="D38">
            <v>23.75</v>
          </cell>
        </row>
        <row r="39">
          <cell r="B39">
            <v>35846</v>
          </cell>
          <cell r="D39">
            <v>23.4375</v>
          </cell>
        </row>
        <row r="40">
          <cell r="B40">
            <v>35849</v>
          </cell>
          <cell r="D40">
            <v>23.21875</v>
          </cell>
        </row>
        <row r="41">
          <cell r="B41">
            <v>35850</v>
          </cell>
          <cell r="D41">
            <v>23.15625</v>
          </cell>
        </row>
        <row r="42">
          <cell r="B42">
            <v>35851</v>
          </cell>
          <cell r="D42">
            <v>23.25</v>
          </cell>
        </row>
        <row r="43">
          <cell r="B43">
            <v>35852</v>
          </cell>
          <cell r="D43">
            <v>23.46875</v>
          </cell>
        </row>
        <row r="44">
          <cell r="B44">
            <v>35853</v>
          </cell>
          <cell r="D44">
            <v>23.4375</v>
          </cell>
        </row>
        <row r="45">
          <cell r="B45">
            <v>35856</v>
          </cell>
          <cell r="D45">
            <v>23.4375</v>
          </cell>
        </row>
        <row r="46">
          <cell r="B46">
            <v>35857</v>
          </cell>
          <cell r="D46">
            <v>23.46875</v>
          </cell>
        </row>
        <row r="47">
          <cell r="B47">
            <v>35858</v>
          </cell>
          <cell r="D47">
            <v>23.375</v>
          </cell>
        </row>
        <row r="48">
          <cell r="B48">
            <v>35859</v>
          </cell>
          <cell r="D48">
            <v>23.21875</v>
          </cell>
        </row>
        <row r="49">
          <cell r="B49">
            <v>35860</v>
          </cell>
          <cell r="D49">
            <v>23.4375</v>
          </cell>
        </row>
        <row r="50">
          <cell r="B50">
            <v>35863</v>
          </cell>
          <cell r="D50">
            <v>23.4375</v>
          </cell>
        </row>
        <row r="51">
          <cell r="B51">
            <v>35864</v>
          </cell>
          <cell r="D51">
            <v>23.4375</v>
          </cell>
        </row>
        <row r="52">
          <cell r="B52">
            <v>35865</v>
          </cell>
          <cell r="D52">
            <v>23.4375</v>
          </cell>
        </row>
        <row r="53">
          <cell r="B53">
            <v>35866</v>
          </cell>
          <cell r="D53">
            <v>23.4375</v>
          </cell>
        </row>
        <row r="54">
          <cell r="B54">
            <v>35867</v>
          </cell>
          <cell r="D54">
            <v>23.53125</v>
          </cell>
        </row>
        <row r="55">
          <cell r="B55">
            <v>35870</v>
          </cell>
          <cell r="D55">
            <v>23.46875</v>
          </cell>
        </row>
        <row r="56">
          <cell r="B56">
            <v>35871</v>
          </cell>
          <cell r="D56">
            <v>23.4375</v>
          </cell>
        </row>
        <row r="57">
          <cell r="B57">
            <v>35872</v>
          </cell>
          <cell r="D57">
            <v>23.34375</v>
          </cell>
        </row>
        <row r="58">
          <cell r="B58">
            <v>35873</v>
          </cell>
          <cell r="D58">
            <v>23.40625</v>
          </cell>
        </row>
        <row r="59">
          <cell r="B59">
            <v>35874</v>
          </cell>
          <cell r="D59">
            <v>23.75</v>
          </cell>
        </row>
        <row r="60">
          <cell r="B60">
            <v>35877</v>
          </cell>
          <cell r="D60">
            <v>23.625</v>
          </cell>
        </row>
        <row r="61">
          <cell r="B61">
            <v>35878</v>
          </cell>
          <cell r="D61">
            <v>23.5</v>
          </cell>
        </row>
        <row r="62">
          <cell r="B62">
            <v>35879</v>
          </cell>
          <cell r="D62">
            <v>23.25</v>
          </cell>
        </row>
        <row r="63">
          <cell r="B63">
            <v>35880</v>
          </cell>
          <cell r="D63">
            <v>23.28125</v>
          </cell>
        </row>
        <row r="64">
          <cell r="B64">
            <v>35881</v>
          </cell>
          <cell r="D64">
            <v>23.28125</v>
          </cell>
        </row>
        <row r="65">
          <cell r="B65">
            <v>35884</v>
          </cell>
          <cell r="D65">
            <v>23.21875</v>
          </cell>
        </row>
        <row r="66">
          <cell r="B66">
            <v>35885</v>
          </cell>
          <cell r="D66">
            <v>23.125</v>
          </cell>
        </row>
        <row r="67">
          <cell r="B67">
            <v>35886</v>
          </cell>
          <cell r="D67">
            <v>23.5625</v>
          </cell>
        </row>
        <row r="68">
          <cell r="B68">
            <v>35887</v>
          </cell>
          <cell r="D68">
            <v>24.46875</v>
          </cell>
        </row>
        <row r="69">
          <cell r="B69">
            <v>35888</v>
          </cell>
          <cell r="D69">
            <v>24.625</v>
          </cell>
        </row>
        <row r="70">
          <cell r="B70">
            <v>35891</v>
          </cell>
          <cell r="D70">
            <v>24.53125</v>
          </cell>
        </row>
        <row r="71">
          <cell r="B71">
            <v>35892</v>
          </cell>
          <cell r="D71">
            <v>24.3125</v>
          </cell>
        </row>
        <row r="72">
          <cell r="B72">
            <v>35893</v>
          </cell>
          <cell r="D72">
            <v>23.78125</v>
          </cell>
        </row>
        <row r="73">
          <cell r="B73">
            <v>35894</v>
          </cell>
          <cell r="D73">
            <v>24.0625</v>
          </cell>
        </row>
        <row r="74">
          <cell r="B74">
            <v>35898</v>
          </cell>
          <cell r="D74">
            <v>24</v>
          </cell>
        </row>
        <row r="75">
          <cell r="B75">
            <v>35899</v>
          </cell>
          <cell r="D75">
            <v>24.0625</v>
          </cell>
        </row>
        <row r="76">
          <cell r="B76">
            <v>35900</v>
          </cell>
          <cell r="D76">
            <v>23.9375</v>
          </cell>
        </row>
        <row r="77">
          <cell r="B77">
            <v>35901</v>
          </cell>
          <cell r="D77">
            <v>23.90625</v>
          </cell>
        </row>
        <row r="78">
          <cell r="B78">
            <v>35902</v>
          </cell>
          <cell r="D78">
            <v>24.21875</v>
          </cell>
        </row>
        <row r="79">
          <cell r="B79">
            <v>35905</v>
          </cell>
          <cell r="D79">
            <v>24.09375</v>
          </cell>
        </row>
        <row r="80">
          <cell r="B80">
            <v>35906</v>
          </cell>
          <cell r="D80">
            <v>23.65625</v>
          </cell>
        </row>
        <row r="81">
          <cell r="B81">
            <v>35907</v>
          </cell>
          <cell r="D81">
            <v>23.625</v>
          </cell>
        </row>
        <row r="82">
          <cell r="B82">
            <v>35908</v>
          </cell>
          <cell r="D82">
            <v>23.375</v>
          </cell>
        </row>
        <row r="83">
          <cell r="B83">
            <v>35909</v>
          </cell>
          <cell r="D83">
            <v>23.15625</v>
          </cell>
        </row>
        <row r="84">
          <cell r="B84">
            <v>35912</v>
          </cell>
          <cell r="D84">
            <v>23.15625</v>
          </cell>
        </row>
        <row r="85">
          <cell r="B85">
            <v>35913</v>
          </cell>
          <cell r="D85">
            <v>22.96875</v>
          </cell>
        </row>
        <row r="86">
          <cell r="B86">
            <v>35914</v>
          </cell>
          <cell r="D86">
            <v>22.8125</v>
          </cell>
        </row>
        <row r="87">
          <cell r="B87">
            <v>35915</v>
          </cell>
          <cell r="D87">
            <v>22.90625</v>
          </cell>
        </row>
        <row r="88">
          <cell r="B88">
            <v>35916</v>
          </cell>
          <cell r="D88">
            <v>23.4375</v>
          </cell>
        </row>
        <row r="89">
          <cell r="B89">
            <v>35919</v>
          </cell>
          <cell r="D89">
            <v>23.59375</v>
          </cell>
        </row>
        <row r="90">
          <cell r="B90">
            <v>35920</v>
          </cell>
          <cell r="D90">
            <v>23.09375</v>
          </cell>
        </row>
        <row r="91">
          <cell r="B91">
            <v>35921</v>
          </cell>
          <cell r="D91">
            <v>22.75</v>
          </cell>
        </row>
        <row r="92">
          <cell r="B92">
            <v>35922</v>
          </cell>
          <cell r="D92">
            <v>22.71875</v>
          </cell>
        </row>
        <row r="93">
          <cell r="B93">
            <v>35923</v>
          </cell>
          <cell r="D93">
            <v>23.09375</v>
          </cell>
        </row>
        <row r="94">
          <cell r="B94">
            <v>35926</v>
          </cell>
          <cell r="D94">
            <v>23.46875</v>
          </cell>
        </row>
        <row r="95">
          <cell r="B95">
            <v>35927</v>
          </cell>
          <cell r="D95">
            <v>23.59375</v>
          </cell>
        </row>
        <row r="96">
          <cell r="B96">
            <v>35928</v>
          </cell>
          <cell r="D96">
            <v>23.46875</v>
          </cell>
        </row>
        <row r="97">
          <cell r="B97">
            <v>35929</v>
          </cell>
          <cell r="D97">
            <v>23.5625</v>
          </cell>
        </row>
        <row r="98">
          <cell r="B98">
            <v>35930</v>
          </cell>
          <cell r="D98">
            <v>23.28125</v>
          </cell>
        </row>
        <row r="99">
          <cell r="B99">
            <v>35933</v>
          </cell>
          <cell r="D99">
            <v>23.28125</v>
          </cell>
        </row>
        <row r="100">
          <cell r="B100">
            <v>35934</v>
          </cell>
          <cell r="D100">
            <v>23.46875</v>
          </cell>
        </row>
        <row r="101">
          <cell r="B101">
            <v>35935</v>
          </cell>
          <cell r="D101">
            <v>23.375</v>
          </cell>
        </row>
        <row r="102">
          <cell r="B102">
            <v>35936</v>
          </cell>
          <cell r="D102">
            <v>23.21875</v>
          </cell>
        </row>
        <row r="103">
          <cell r="B103">
            <v>35937</v>
          </cell>
          <cell r="D103">
            <v>23.0625</v>
          </cell>
        </row>
        <row r="104">
          <cell r="B104">
            <v>35941</v>
          </cell>
          <cell r="D104">
            <v>23.03125</v>
          </cell>
        </row>
        <row r="105">
          <cell r="B105">
            <v>35942</v>
          </cell>
          <cell r="D105">
            <v>23.09375</v>
          </cell>
        </row>
        <row r="106">
          <cell r="B106">
            <v>35943</v>
          </cell>
          <cell r="D106">
            <v>23.0625</v>
          </cell>
        </row>
        <row r="107">
          <cell r="B107">
            <v>35944</v>
          </cell>
          <cell r="D107">
            <v>22.96875</v>
          </cell>
        </row>
        <row r="108">
          <cell r="B108">
            <v>35947</v>
          </cell>
          <cell r="D108">
            <v>23.40625</v>
          </cell>
        </row>
        <row r="109">
          <cell r="B109">
            <v>35948</v>
          </cell>
          <cell r="D109">
            <v>23.4375</v>
          </cell>
        </row>
        <row r="110">
          <cell r="B110">
            <v>35949</v>
          </cell>
          <cell r="D110">
            <v>23.3125</v>
          </cell>
        </row>
        <row r="111">
          <cell r="B111">
            <v>35950</v>
          </cell>
          <cell r="D111">
            <v>23.25</v>
          </cell>
        </row>
        <row r="112">
          <cell r="B112">
            <v>35951</v>
          </cell>
          <cell r="D112">
            <v>23.8125</v>
          </cell>
        </row>
        <row r="113">
          <cell r="B113">
            <v>35954</v>
          </cell>
          <cell r="D113">
            <v>23.84375</v>
          </cell>
        </row>
        <row r="114">
          <cell r="B114">
            <v>35955</v>
          </cell>
          <cell r="D114">
            <v>23.875</v>
          </cell>
        </row>
        <row r="115">
          <cell r="B115">
            <v>35956</v>
          </cell>
          <cell r="D115">
            <v>23.96875</v>
          </cell>
        </row>
        <row r="116">
          <cell r="B116">
            <v>35957</v>
          </cell>
          <cell r="D116">
            <v>23.78125</v>
          </cell>
        </row>
        <row r="117">
          <cell r="B117">
            <v>35958</v>
          </cell>
          <cell r="D117">
            <v>23.78125</v>
          </cell>
        </row>
        <row r="118">
          <cell r="B118">
            <v>35961</v>
          </cell>
          <cell r="D118">
            <v>23.75</v>
          </cell>
        </row>
        <row r="119">
          <cell r="B119">
            <v>35962</v>
          </cell>
          <cell r="D119">
            <v>23.75</v>
          </cell>
        </row>
        <row r="120">
          <cell r="B120">
            <v>35963</v>
          </cell>
          <cell r="D120">
            <v>23.75</v>
          </cell>
        </row>
        <row r="121">
          <cell r="B121">
            <v>35964</v>
          </cell>
          <cell r="D121">
            <v>23.75</v>
          </cell>
        </row>
        <row r="122">
          <cell r="B122">
            <v>35965</v>
          </cell>
          <cell r="D122">
            <v>23.65625</v>
          </cell>
        </row>
        <row r="123">
          <cell r="B123">
            <v>35968</v>
          </cell>
          <cell r="D123">
            <v>23.875</v>
          </cell>
        </row>
        <row r="124">
          <cell r="B124">
            <v>35969</v>
          </cell>
          <cell r="D124">
            <v>24.3125</v>
          </cell>
        </row>
        <row r="125">
          <cell r="B125">
            <v>35970</v>
          </cell>
          <cell r="D125">
            <v>23.625</v>
          </cell>
        </row>
        <row r="126">
          <cell r="B126">
            <v>35971</v>
          </cell>
          <cell r="D126">
            <v>23.34375</v>
          </cell>
        </row>
        <row r="127">
          <cell r="B127">
            <v>35972</v>
          </cell>
          <cell r="D127">
            <v>23.8125</v>
          </cell>
        </row>
        <row r="128">
          <cell r="B128">
            <v>35975</v>
          </cell>
          <cell r="D128">
            <v>23.71875</v>
          </cell>
        </row>
        <row r="129">
          <cell r="B129">
            <v>35976</v>
          </cell>
          <cell r="D129">
            <v>23.59375</v>
          </cell>
        </row>
        <row r="130">
          <cell r="B130">
            <v>35977</v>
          </cell>
          <cell r="D130">
            <v>24</v>
          </cell>
        </row>
        <row r="131">
          <cell r="B131">
            <v>35978</v>
          </cell>
          <cell r="D131">
            <v>24.03125</v>
          </cell>
        </row>
        <row r="132">
          <cell r="B132">
            <v>35982</v>
          </cell>
          <cell r="D132">
            <v>24.15625</v>
          </cell>
        </row>
        <row r="133">
          <cell r="B133">
            <v>35983</v>
          </cell>
          <cell r="D133">
            <v>24.03125</v>
          </cell>
        </row>
        <row r="134">
          <cell r="B134">
            <v>35984</v>
          </cell>
          <cell r="D134">
            <v>24</v>
          </cell>
        </row>
        <row r="135">
          <cell r="B135">
            <v>35985</v>
          </cell>
          <cell r="D135">
            <v>23.96875</v>
          </cell>
        </row>
        <row r="136">
          <cell r="B136">
            <v>35986</v>
          </cell>
          <cell r="D136">
            <v>24</v>
          </cell>
        </row>
        <row r="137">
          <cell r="B137">
            <v>35989</v>
          </cell>
          <cell r="D137">
            <v>24.0625</v>
          </cell>
        </row>
        <row r="138">
          <cell r="B138">
            <v>35990</v>
          </cell>
          <cell r="D138">
            <v>24.3125</v>
          </cell>
        </row>
        <row r="139">
          <cell r="B139">
            <v>35991</v>
          </cell>
          <cell r="D139">
            <v>24.4375</v>
          </cell>
        </row>
        <row r="140">
          <cell r="B140">
            <v>35992</v>
          </cell>
          <cell r="D140">
            <v>25.40625</v>
          </cell>
        </row>
        <row r="141">
          <cell r="B141">
            <v>35993</v>
          </cell>
          <cell r="D141">
            <v>25.4375</v>
          </cell>
        </row>
        <row r="142">
          <cell r="B142">
            <v>35996</v>
          </cell>
          <cell r="D142">
            <v>24.96875</v>
          </cell>
        </row>
        <row r="143">
          <cell r="B143">
            <v>35997</v>
          </cell>
          <cell r="D143">
            <v>24.84375</v>
          </cell>
        </row>
        <row r="144">
          <cell r="B144">
            <v>35998</v>
          </cell>
          <cell r="D144">
            <v>25.375</v>
          </cell>
        </row>
        <row r="145">
          <cell r="B145">
            <v>35999</v>
          </cell>
          <cell r="D145">
            <v>26.1875</v>
          </cell>
        </row>
        <row r="146">
          <cell r="B146">
            <v>36000</v>
          </cell>
          <cell r="D146">
            <v>26.5625</v>
          </cell>
        </row>
        <row r="147">
          <cell r="B147">
            <v>36003</v>
          </cell>
          <cell r="D147">
            <v>26</v>
          </cell>
        </row>
        <row r="148">
          <cell r="B148">
            <v>36004</v>
          </cell>
          <cell r="D148">
            <v>25.46875</v>
          </cell>
        </row>
        <row r="149">
          <cell r="B149">
            <v>36005</v>
          </cell>
          <cell r="D149">
            <v>25.0625</v>
          </cell>
        </row>
        <row r="150">
          <cell r="B150">
            <v>36006</v>
          </cell>
          <cell r="D150">
            <v>25.3125</v>
          </cell>
        </row>
        <row r="151">
          <cell r="B151">
            <v>36007</v>
          </cell>
          <cell r="D151">
            <v>25.90625</v>
          </cell>
        </row>
        <row r="152">
          <cell r="B152">
            <v>36010</v>
          </cell>
          <cell r="D152">
            <v>25.84375</v>
          </cell>
        </row>
        <row r="153">
          <cell r="B153">
            <v>36011</v>
          </cell>
          <cell r="D153">
            <v>25.84375</v>
          </cell>
        </row>
        <row r="154">
          <cell r="B154">
            <v>36012</v>
          </cell>
          <cell r="D154">
            <v>25.4375</v>
          </cell>
        </row>
        <row r="155">
          <cell r="B155">
            <v>36013</v>
          </cell>
          <cell r="D155">
            <v>25.375</v>
          </cell>
        </row>
        <row r="156">
          <cell r="B156">
            <v>36014</v>
          </cell>
          <cell r="D156">
            <v>25.0625</v>
          </cell>
        </row>
        <row r="157">
          <cell r="B157">
            <v>36017</v>
          </cell>
          <cell r="D157">
            <v>25.3125</v>
          </cell>
        </row>
        <row r="158">
          <cell r="B158">
            <v>36018</v>
          </cell>
          <cell r="D158">
            <v>25.21875</v>
          </cell>
        </row>
        <row r="159">
          <cell r="B159">
            <v>36019</v>
          </cell>
          <cell r="D159">
            <v>25.4375</v>
          </cell>
        </row>
        <row r="160">
          <cell r="B160">
            <v>36020</v>
          </cell>
          <cell r="D160">
            <v>25.1875</v>
          </cell>
        </row>
        <row r="161">
          <cell r="B161">
            <v>36021</v>
          </cell>
          <cell r="D161">
            <v>25.15625</v>
          </cell>
        </row>
        <row r="162">
          <cell r="B162">
            <v>36024</v>
          </cell>
          <cell r="D162">
            <v>25.125</v>
          </cell>
        </row>
        <row r="163">
          <cell r="B163">
            <v>36025</v>
          </cell>
          <cell r="D163">
            <v>25.3125</v>
          </cell>
        </row>
        <row r="164">
          <cell r="B164">
            <v>36026</v>
          </cell>
          <cell r="D164">
            <v>25.25</v>
          </cell>
        </row>
        <row r="165">
          <cell r="B165">
            <v>36027</v>
          </cell>
          <cell r="D165">
            <v>24.96875</v>
          </cell>
        </row>
        <row r="166">
          <cell r="B166">
            <v>36028</v>
          </cell>
          <cell r="D166">
            <v>24.84375</v>
          </cell>
        </row>
        <row r="167">
          <cell r="B167">
            <v>36031</v>
          </cell>
          <cell r="D167">
            <v>25.25</v>
          </cell>
        </row>
        <row r="168">
          <cell r="B168">
            <v>36032</v>
          </cell>
          <cell r="D168">
            <v>25.0625</v>
          </cell>
        </row>
        <row r="169">
          <cell r="B169">
            <v>36033</v>
          </cell>
          <cell r="D169">
            <v>24.59375</v>
          </cell>
        </row>
        <row r="170">
          <cell r="B170">
            <v>36034</v>
          </cell>
          <cell r="D170">
            <v>24.6875</v>
          </cell>
        </row>
        <row r="171">
          <cell r="B171">
            <v>36035</v>
          </cell>
          <cell r="D171">
            <v>24.25</v>
          </cell>
        </row>
        <row r="172">
          <cell r="B172">
            <v>36038</v>
          </cell>
          <cell r="D172">
            <v>23.375</v>
          </cell>
        </row>
        <row r="173">
          <cell r="B173">
            <v>36039</v>
          </cell>
          <cell r="D173">
            <v>24.40625</v>
          </cell>
        </row>
        <row r="174">
          <cell r="B174">
            <v>36040</v>
          </cell>
          <cell r="D174">
            <v>24.375</v>
          </cell>
        </row>
        <row r="175">
          <cell r="B175">
            <v>36041</v>
          </cell>
          <cell r="D175">
            <v>24.90625</v>
          </cell>
        </row>
        <row r="176">
          <cell r="B176">
            <v>36042</v>
          </cell>
          <cell r="D176">
            <v>25.59375</v>
          </cell>
        </row>
        <row r="177">
          <cell r="B177">
            <v>36046</v>
          </cell>
          <cell r="D177">
            <v>26.125</v>
          </cell>
        </row>
        <row r="178">
          <cell r="B178">
            <v>36047</v>
          </cell>
          <cell r="D178">
            <v>26.3125</v>
          </cell>
        </row>
        <row r="179">
          <cell r="B179">
            <v>36048</v>
          </cell>
          <cell r="D179">
            <v>26.25</v>
          </cell>
        </row>
        <row r="180">
          <cell r="B180">
            <v>36049</v>
          </cell>
          <cell r="D180">
            <v>27.09375</v>
          </cell>
        </row>
        <row r="181">
          <cell r="B181">
            <v>36052</v>
          </cell>
          <cell r="D181">
            <v>28.09375</v>
          </cell>
        </row>
        <row r="182">
          <cell r="B182">
            <v>36053</v>
          </cell>
          <cell r="D182">
            <v>28.34375</v>
          </cell>
        </row>
        <row r="183">
          <cell r="B183">
            <v>36054</v>
          </cell>
          <cell r="D183">
            <v>28.125</v>
          </cell>
        </row>
        <row r="184">
          <cell r="B184">
            <v>36055</v>
          </cell>
          <cell r="D184">
            <v>27.5625</v>
          </cell>
        </row>
        <row r="185">
          <cell r="B185">
            <v>36056</v>
          </cell>
          <cell r="D185">
            <v>27.78125</v>
          </cell>
        </row>
        <row r="186">
          <cell r="B186">
            <v>36059</v>
          </cell>
          <cell r="D186">
            <v>28.625</v>
          </cell>
        </row>
        <row r="187">
          <cell r="B187">
            <v>36060</v>
          </cell>
          <cell r="D187">
            <v>28.6875</v>
          </cell>
        </row>
        <row r="188">
          <cell r="B188">
            <v>36061</v>
          </cell>
          <cell r="D188">
            <v>28.46875</v>
          </cell>
        </row>
        <row r="189">
          <cell r="B189">
            <v>36062</v>
          </cell>
          <cell r="D189">
            <v>27.25</v>
          </cell>
        </row>
        <row r="190">
          <cell r="B190">
            <v>36063</v>
          </cell>
          <cell r="D190">
            <v>27.21875</v>
          </cell>
        </row>
        <row r="191">
          <cell r="B191">
            <v>36066</v>
          </cell>
          <cell r="D191">
            <v>27.3125</v>
          </cell>
        </row>
        <row r="192">
          <cell r="B192">
            <v>36067</v>
          </cell>
          <cell r="D192">
            <v>27.03125</v>
          </cell>
        </row>
        <row r="193">
          <cell r="B193">
            <v>36068</v>
          </cell>
          <cell r="D193">
            <v>27</v>
          </cell>
        </row>
        <row r="194">
          <cell r="B194">
            <v>36069</v>
          </cell>
          <cell r="D194">
            <v>26.25</v>
          </cell>
        </row>
        <row r="195">
          <cell r="B195">
            <v>36070</v>
          </cell>
          <cell r="D195">
            <v>27.1875</v>
          </cell>
        </row>
        <row r="196">
          <cell r="B196">
            <v>36073</v>
          </cell>
          <cell r="D196">
            <v>27.40625</v>
          </cell>
        </row>
        <row r="197">
          <cell r="B197">
            <v>36074</v>
          </cell>
          <cell r="D197">
            <v>28.40625</v>
          </cell>
        </row>
        <row r="198">
          <cell r="B198">
            <v>36075</v>
          </cell>
          <cell r="D198">
            <v>28.71875</v>
          </cell>
        </row>
        <row r="199">
          <cell r="B199">
            <v>36076</v>
          </cell>
          <cell r="D199">
            <v>27.9375</v>
          </cell>
        </row>
        <row r="200">
          <cell r="B200">
            <v>36077</v>
          </cell>
          <cell r="D200">
            <v>28.375</v>
          </cell>
        </row>
        <row r="201">
          <cell r="B201">
            <v>36080</v>
          </cell>
          <cell r="D201">
            <v>28.46875</v>
          </cell>
        </row>
        <row r="202">
          <cell r="B202">
            <v>36081</v>
          </cell>
          <cell r="D202">
            <v>28.90625</v>
          </cell>
        </row>
        <row r="203">
          <cell r="B203">
            <v>36082</v>
          </cell>
          <cell r="D203">
            <v>28.625</v>
          </cell>
        </row>
        <row r="204">
          <cell r="B204">
            <v>36083</v>
          </cell>
          <cell r="D204">
            <v>28.46875</v>
          </cell>
        </row>
        <row r="205">
          <cell r="B205">
            <v>36084</v>
          </cell>
          <cell r="D205">
            <v>27.8125</v>
          </cell>
        </row>
        <row r="206">
          <cell r="B206">
            <v>36087</v>
          </cell>
          <cell r="D206">
            <v>27.5625</v>
          </cell>
        </row>
        <row r="207">
          <cell r="B207">
            <v>36088</v>
          </cell>
          <cell r="D207">
            <v>28.46875</v>
          </cell>
        </row>
        <row r="208">
          <cell r="B208">
            <v>36089</v>
          </cell>
          <cell r="D208">
            <v>29.625</v>
          </cell>
        </row>
        <row r="209">
          <cell r="B209">
            <v>36090</v>
          </cell>
          <cell r="D209">
            <v>29.625</v>
          </cell>
        </row>
        <row r="210">
          <cell r="B210">
            <v>36091</v>
          </cell>
          <cell r="D210">
            <v>28.84375</v>
          </cell>
        </row>
        <row r="211">
          <cell r="B211">
            <v>36094</v>
          </cell>
          <cell r="D211">
            <v>28.6875</v>
          </cell>
        </row>
        <row r="212">
          <cell r="B212">
            <v>36095</v>
          </cell>
          <cell r="D212">
            <v>29.125</v>
          </cell>
        </row>
        <row r="213">
          <cell r="B213">
            <v>36096</v>
          </cell>
          <cell r="D213">
            <v>29</v>
          </cell>
        </row>
        <row r="214">
          <cell r="B214">
            <v>36097</v>
          </cell>
          <cell r="D214">
            <v>28.75</v>
          </cell>
        </row>
        <row r="215">
          <cell r="B215">
            <v>36098</v>
          </cell>
          <cell r="D215">
            <v>29.75</v>
          </cell>
        </row>
        <row r="216">
          <cell r="B216">
            <v>36101</v>
          </cell>
          <cell r="D216">
            <v>29.4375</v>
          </cell>
        </row>
        <row r="217">
          <cell r="B217">
            <v>36102</v>
          </cell>
          <cell r="D217">
            <v>28.5</v>
          </cell>
        </row>
        <row r="218">
          <cell r="B218">
            <v>36103</v>
          </cell>
          <cell r="D218">
            <v>28.53125</v>
          </cell>
        </row>
        <row r="219">
          <cell r="B219">
            <v>36104</v>
          </cell>
          <cell r="D219">
            <v>28.8125</v>
          </cell>
        </row>
        <row r="220">
          <cell r="B220">
            <v>36105</v>
          </cell>
          <cell r="D220">
            <v>28.5</v>
          </cell>
        </row>
        <row r="221">
          <cell r="B221">
            <v>36108</v>
          </cell>
          <cell r="D221">
            <v>28.59375</v>
          </cell>
        </row>
        <row r="222">
          <cell r="B222">
            <v>36109</v>
          </cell>
          <cell r="D222">
            <v>28.5</v>
          </cell>
        </row>
        <row r="223">
          <cell r="B223">
            <v>36110</v>
          </cell>
          <cell r="D223">
            <v>28.75</v>
          </cell>
        </row>
        <row r="224">
          <cell r="B224">
            <v>36111</v>
          </cell>
          <cell r="D224">
            <v>29.6875</v>
          </cell>
        </row>
        <row r="225">
          <cell r="B225">
            <v>36112</v>
          </cell>
          <cell r="D225">
            <v>29.15625</v>
          </cell>
        </row>
        <row r="226">
          <cell r="B226">
            <v>36115</v>
          </cell>
          <cell r="D226">
            <v>29.15625</v>
          </cell>
        </row>
        <row r="227">
          <cell r="B227">
            <v>36116</v>
          </cell>
          <cell r="D227">
            <v>28.9375</v>
          </cell>
        </row>
        <row r="228">
          <cell r="B228">
            <v>36117</v>
          </cell>
          <cell r="D228">
            <v>29.28125</v>
          </cell>
        </row>
        <row r="229">
          <cell r="B229">
            <v>36118</v>
          </cell>
          <cell r="D229">
            <v>29.625</v>
          </cell>
        </row>
        <row r="230">
          <cell r="B230">
            <v>36119</v>
          </cell>
          <cell r="D230">
            <v>29.25</v>
          </cell>
        </row>
        <row r="231">
          <cell r="B231">
            <v>36122</v>
          </cell>
          <cell r="D231">
            <v>30.03125</v>
          </cell>
        </row>
        <row r="232">
          <cell r="B232">
            <v>36123</v>
          </cell>
          <cell r="D232">
            <v>29.90625</v>
          </cell>
        </row>
        <row r="233">
          <cell r="B233">
            <v>36124</v>
          </cell>
          <cell r="D233">
            <v>30.0625</v>
          </cell>
        </row>
        <row r="234">
          <cell r="B234">
            <v>36126</v>
          </cell>
          <cell r="D234">
            <v>30</v>
          </cell>
        </row>
        <row r="235">
          <cell r="B235">
            <v>36129</v>
          </cell>
          <cell r="D235">
            <v>30.3125</v>
          </cell>
        </row>
        <row r="236">
          <cell r="B236">
            <v>36130</v>
          </cell>
          <cell r="D236">
            <v>30.96875</v>
          </cell>
        </row>
        <row r="237">
          <cell r="B237">
            <v>36131</v>
          </cell>
          <cell r="D237">
            <v>31.28125</v>
          </cell>
        </row>
        <row r="238">
          <cell r="B238">
            <v>36132</v>
          </cell>
          <cell r="D238">
            <v>31.8125</v>
          </cell>
        </row>
        <row r="239">
          <cell r="B239">
            <v>36133</v>
          </cell>
          <cell r="D239">
            <v>31.78125</v>
          </cell>
        </row>
        <row r="240">
          <cell r="B240">
            <v>36136</v>
          </cell>
          <cell r="D240">
            <v>31.78125</v>
          </cell>
        </row>
        <row r="241">
          <cell r="B241">
            <v>36137</v>
          </cell>
          <cell r="D241">
            <v>32</v>
          </cell>
        </row>
        <row r="242">
          <cell r="B242">
            <v>36138</v>
          </cell>
          <cell r="D242">
            <v>32.03125</v>
          </cell>
        </row>
        <row r="243">
          <cell r="B243">
            <v>36139</v>
          </cell>
          <cell r="D243">
            <v>30.625</v>
          </cell>
        </row>
        <row r="244">
          <cell r="B244">
            <v>36140</v>
          </cell>
          <cell r="D244">
            <v>31.625</v>
          </cell>
        </row>
        <row r="245">
          <cell r="B245">
            <v>36143</v>
          </cell>
          <cell r="D245">
            <v>31.0625</v>
          </cell>
        </row>
        <row r="246">
          <cell r="B246">
            <v>36144</v>
          </cell>
          <cell r="D246">
            <v>32.25</v>
          </cell>
        </row>
        <row r="247">
          <cell r="B247">
            <v>36145</v>
          </cell>
          <cell r="D247">
            <v>31.875</v>
          </cell>
        </row>
        <row r="248">
          <cell r="B248">
            <v>36146</v>
          </cell>
          <cell r="D248">
            <v>32.03125</v>
          </cell>
        </row>
        <row r="249">
          <cell r="B249">
            <v>36147</v>
          </cell>
          <cell r="D249">
            <v>32.0625</v>
          </cell>
        </row>
        <row r="250">
          <cell r="B250">
            <v>36150</v>
          </cell>
          <cell r="D250">
            <v>31.65625</v>
          </cell>
        </row>
        <row r="251">
          <cell r="B251">
            <v>36151</v>
          </cell>
          <cell r="D251">
            <v>32.25</v>
          </cell>
        </row>
        <row r="252">
          <cell r="B252">
            <v>36152</v>
          </cell>
          <cell r="D252">
            <v>33.25</v>
          </cell>
        </row>
        <row r="253">
          <cell r="B253">
            <v>36153</v>
          </cell>
          <cell r="D253">
            <v>33.0625</v>
          </cell>
        </row>
        <row r="254">
          <cell r="B254">
            <v>36157</v>
          </cell>
          <cell r="D254">
            <v>33.1875</v>
          </cell>
        </row>
        <row r="255">
          <cell r="B255">
            <v>36158</v>
          </cell>
          <cell r="D255">
            <v>34.125</v>
          </cell>
        </row>
        <row r="256">
          <cell r="B256">
            <v>36159</v>
          </cell>
          <cell r="D256">
            <v>33.8125</v>
          </cell>
        </row>
        <row r="257">
          <cell r="B257">
            <v>36160</v>
          </cell>
          <cell r="D257">
            <v>32.8125</v>
          </cell>
        </row>
        <row r="258">
          <cell r="B258">
            <v>36164</v>
          </cell>
          <cell r="D258">
            <v>33.03125</v>
          </cell>
        </row>
        <row r="259">
          <cell r="B259">
            <v>36165</v>
          </cell>
          <cell r="D259">
            <v>33.875</v>
          </cell>
        </row>
        <row r="260">
          <cell r="B260">
            <v>36166</v>
          </cell>
          <cell r="D260">
            <v>33.6875</v>
          </cell>
        </row>
        <row r="261">
          <cell r="B261">
            <v>36167</v>
          </cell>
          <cell r="D261">
            <v>33.15625</v>
          </cell>
        </row>
        <row r="262">
          <cell r="B262">
            <v>36168</v>
          </cell>
          <cell r="D262">
            <v>33.28125</v>
          </cell>
        </row>
        <row r="263">
          <cell r="B263">
            <v>36171</v>
          </cell>
          <cell r="D263">
            <v>32.8125</v>
          </cell>
        </row>
        <row r="264">
          <cell r="B264">
            <v>36172</v>
          </cell>
          <cell r="D264">
            <v>32.59375</v>
          </cell>
        </row>
        <row r="265">
          <cell r="B265">
            <v>36173</v>
          </cell>
          <cell r="D265">
            <v>33.46875</v>
          </cell>
        </row>
        <row r="266">
          <cell r="B266">
            <v>36174</v>
          </cell>
          <cell r="D266">
            <v>33.34375</v>
          </cell>
        </row>
        <row r="267">
          <cell r="B267">
            <v>36175</v>
          </cell>
          <cell r="D267">
            <v>33.875</v>
          </cell>
        </row>
        <row r="268">
          <cell r="B268">
            <v>36179</v>
          </cell>
          <cell r="D268">
            <v>32.9375</v>
          </cell>
        </row>
        <row r="269">
          <cell r="B269">
            <v>36180</v>
          </cell>
          <cell r="D269">
            <v>33.75</v>
          </cell>
        </row>
        <row r="270">
          <cell r="B270">
            <v>36181</v>
          </cell>
          <cell r="D270">
            <v>33.625</v>
          </cell>
        </row>
        <row r="271">
          <cell r="B271">
            <v>36182</v>
          </cell>
          <cell r="D271">
            <v>33.59375</v>
          </cell>
        </row>
        <row r="272">
          <cell r="B272">
            <v>36185</v>
          </cell>
          <cell r="D272">
            <v>33.8125</v>
          </cell>
        </row>
        <row r="273">
          <cell r="B273">
            <v>36186</v>
          </cell>
          <cell r="D273">
            <v>33.875</v>
          </cell>
        </row>
        <row r="274">
          <cell r="B274">
            <v>36187</v>
          </cell>
          <cell r="D274">
            <v>34.625</v>
          </cell>
        </row>
        <row r="275">
          <cell r="B275">
            <v>36188</v>
          </cell>
          <cell r="D275">
            <v>34.96875</v>
          </cell>
        </row>
        <row r="276">
          <cell r="B276">
            <v>36189</v>
          </cell>
          <cell r="D276">
            <v>35.34375</v>
          </cell>
        </row>
        <row r="277">
          <cell r="B277">
            <v>36192</v>
          </cell>
          <cell r="D277">
            <v>34.96875</v>
          </cell>
        </row>
        <row r="278">
          <cell r="B278">
            <v>36193</v>
          </cell>
          <cell r="D278">
            <v>35</v>
          </cell>
        </row>
        <row r="279">
          <cell r="B279">
            <v>36194</v>
          </cell>
          <cell r="D279">
            <v>34.46875</v>
          </cell>
        </row>
        <row r="280">
          <cell r="B280">
            <v>36195</v>
          </cell>
          <cell r="D280">
            <v>34.375</v>
          </cell>
        </row>
        <row r="281">
          <cell r="B281">
            <v>36196</v>
          </cell>
          <cell r="D281">
            <v>34.375</v>
          </cell>
        </row>
        <row r="282">
          <cell r="B282">
            <v>36199</v>
          </cell>
          <cell r="D282">
            <v>34</v>
          </cell>
        </row>
        <row r="283">
          <cell r="B283">
            <v>36200</v>
          </cell>
          <cell r="D283">
            <v>35.125</v>
          </cell>
        </row>
        <row r="284">
          <cell r="B284">
            <v>36201</v>
          </cell>
          <cell r="D284">
            <v>35.96875</v>
          </cell>
        </row>
        <row r="285">
          <cell r="B285">
            <v>36202</v>
          </cell>
          <cell r="D285">
            <v>36.40625</v>
          </cell>
        </row>
        <row r="286">
          <cell r="B286">
            <v>36203</v>
          </cell>
          <cell r="D286">
            <v>35.9375</v>
          </cell>
        </row>
        <row r="287">
          <cell r="B287">
            <v>36207</v>
          </cell>
          <cell r="D287">
            <v>36</v>
          </cell>
        </row>
        <row r="288">
          <cell r="B288">
            <v>36208</v>
          </cell>
          <cell r="D288">
            <v>34.96875</v>
          </cell>
        </row>
        <row r="289">
          <cell r="B289">
            <v>36209</v>
          </cell>
          <cell r="D289">
            <v>35.46875</v>
          </cell>
        </row>
        <row r="290">
          <cell r="B290">
            <v>36210</v>
          </cell>
          <cell r="D290">
            <v>35.375</v>
          </cell>
        </row>
        <row r="291">
          <cell r="B291">
            <v>36213</v>
          </cell>
          <cell r="D291">
            <v>36.75</v>
          </cell>
        </row>
        <row r="292">
          <cell r="B292">
            <v>36214</v>
          </cell>
          <cell r="D292">
            <v>36.125</v>
          </cell>
        </row>
        <row r="293">
          <cell r="B293">
            <v>36215</v>
          </cell>
          <cell r="D293">
            <v>36.625</v>
          </cell>
        </row>
        <row r="294">
          <cell r="B294">
            <v>36216</v>
          </cell>
          <cell r="D294">
            <v>37.71875</v>
          </cell>
        </row>
        <row r="295">
          <cell r="B295">
            <v>36217</v>
          </cell>
          <cell r="D295">
            <v>38.34375</v>
          </cell>
        </row>
        <row r="296">
          <cell r="B296">
            <v>36220</v>
          </cell>
          <cell r="D296">
            <v>38.3125</v>
          </cell>
        </row>
        <row r="297">
          <cell r="B297">
            <v>36221</v>
          </cell>
          <cell r="D297">
            <v>38.90625</v>
          </cell>
        </row>
        <row r="298">
          <cell r="B298">
            <v>36222</v>
          </cell>
          <cell r="D298">
            <v>39.21875</v>
          </cell>
        </row>
        <row r="299">
          <cell r="B299">
            <v>36223</v>
          </cell>
          <cell r="D299">
            <v>38.5</v>
          </cell>
        </row>
        <row r="300">
          <cell r="B300">
            <v>36224</v>
          </cell>
          <cell r="D300">
            <v>38.8125</v>
          </cell>
        </row>
        <row r="301">
          <cell r="B301">
            <v>36227</v>
          </cell>
          <cell r="D301">
            <v>39.03125</v>
          </cell>
        </row>
        <row r="302">
          <cell r="B302">
            <v>36228</v>
          </cell>
          <cell r="D302">
            <v>39.125</v>
          </cell>
        </row>
        <row r="303">
          <cell r="B303">
            <v>36229</v>
          </cell>
          <cell r="D303">
            <v>38.625</v>
          </cell>
        </row>
        <row r="304">
          <cell r="B304">
            <v>36230</v>
          </cell>
          <cell r="D304">
            <v>38.78125</v>
          </cell>
        </row>
        <row r="305">
          <cell r="B305">
            <v>36231</v>
          </cell>
          <cell r="D305">
            <v>38.25</v>
          </cell>
        </row>
        <row r="306">
          <cell r="B306">
            <v>36234</v>
          </cell>
          <cell r="D306">
            <v>37.71875</v>
          </cell>
        </row>
        <row r="307">
          <cell r="B307">
            <v>36235</v>
          </cell>
          <cell r="D307">
            <v>38.0625</v>
          </cell>
        </row>
        <row r="308">
          <cell r="B308">
            <v>36236</v>
          </cell>
          <cell r="D308">
            <v>38.5</v>
          </cell>
        </row>
        <row r="309">
          <cell r="B309">
            <v>36237</v>
          </cell>
          <cell r="D309">
            <v>38.5</v>
          </cell>
        </row>
        <row r="310">
          <cell r="B310">
            <v>36238</v>
          </cell>
          <cell r="D310">
            <v>38.03125</v>
          </cell>
        </row>
        <row r="311">
          <cell r="B311">
            <v>36241</v>
          </cell>
          <cell r="D311">
            <v>38.75</v>
          </cell>
        </row>
        <row r="312">
          <cell r="B312">
            <v>36242</v>
          </cell>
          <cell r="D312">
            <v>38.75</v>
          </cell>
        </row>
        <row r="313">
          <cell r="B313">
            <v>36243</v>
          </cell>
          <cell r="D313">
            <v>38.28125</v>
          </cell>
        </row>
        <row r="314">
          <cell r="B314">
            <v>36244</v>
          </cell>
          <cell r="D314">
            <v>37.71875</v>
          </cell>
        </row>
        <row r="315">
          <cell r="B315">
            <v>36245</v>
          </cell>
          <cell r="D315">
            <v>37</v>
          </cell>
        </row>
        <row r="316">
          <cell r="B316">
            <v>36248</v>
          </cell>
          <cell r="D316">
            <v>37.09375</v>
          </cell>
        </row>
        <row r="317">
          <cell r="B317">
            <v>36249</v>
          </cell>
          <cell r="D317">
            <v>37.125</v>
          </cell>
        </row>
        <row r="318">
          <cell r="B318">
            <v>36250</v>
          </cell>
          <cell r="D318">
            <v>38.0625</v>
          </cell>
        </row>
        <row r="319">
          <cell r="B319">
            <v>36251</v>
          </cell>
          <cell r="D319">
            <v>37.96875</v>
          </cell>
        </row>
        <row r="320">
          <cell r="B320">
            <v>36255</v>
          </cell>
          <cell r="D320">
            <v>37.53125</v>
          </cell>
        </row>
        <row r="321">
          <cell r="B321">
            <v>36256</v>
          </cell>
          <cell r="D321">
            <v>37.28125</v>
          </cell>
        </row>
        <row r="322">
          <cell r="B322">
            <v>36257</v>
          </cell>
          <cell r="D322">
            <v>37.875</v>
          </cell>
        </row>
        <row r="323">
          <cell r="B323">
            <v>36258</v>
          </cell>
          <cell r="D323">
            <v>38.9375</v>
          </cell>
        </row>
        <row r="324">
          <cell r="B324">
            <v>36259</v>
          </cell>
          <cell r="D324">
            <v>38.75</v>
          </cell>
        </row>
        <row r="325">
          <cell r="B325">
            <v>36262</v>
          </cell>
          <cell r="D325">
            <v>39.4375</v>
          </cell>
        </row>
        <row r="326">
          <cell r="B326">
            <v>36263</v>
          </cell>
          <cell r="D326">
            <v>38.5</v>
          </cell>
        </row>
        <row r="327">
          <cell r="B327">
            <v>36264</v>
          </cell>
          <cell r="D327">
            <v>36.5</v>
          </cell>
        </row>
        <row r="328">
          <cell r="B328">
            <v>36265</v>
          </cell>
          <cell r="D328">
            <v>36.875</v>
          </cell>
        </row>
        <row r="329">
          <cell r="B329">
            <v>36266</v>
          </cell>
          <cell r="D329">
            <v>36.875</v>
          </cell>
        </row>
        <row r="330">
          <cell r="B330">
            <v>36269</v>
          </cell>
          <cell r="D330">
            <v>35.6875</v>
          </cell>
        </row>
        <row r="331">
          <cell r="B331">
            <v>36270</v>
          </cell>
          <cell r="D331">
            <v>36.09375</v>
          </cell>
        </row>
        <row r="332">
          <cell r="B332">
            <v>36271</v>
          </cell>
          <cell r="D332">
            <v>37.46875</v>
          </cell>
        </row>
        <row r="333">
          <cell r="B333">
            <v>36272</v>
          </cell>
          <cell r="D333">
            <v>37.53125</v>
          </cell>
        </row>
        <row r="334">
          <cell r="B334">
            <v>36273</v>
          </cell>
          <cell r="D334">
            <v>36.90625</v>
          </cell>
        </row>
        <row r="335">
          <cell r="B335">
            <v>36276</v>
          </cell>
          <cell r="D335">
            <v>37.96875</v>
          </cell>
        </row>
        <row r="336">
          <cell r="B336">
            <v>36277</v>
          </cell>
          <cell r="D336">
            <v>37.5</v>
          </cell>
        </row>
        <row r="337">
          <cell r="B337">
            <v>36278</v>
          </cell>
          <cell r="D337">
            <v>37.6875</v>
          </cell>
        </row>
        <row r="338">
          <cell r="B338">
            <v>36279</v>
          </cell>
          <cell r="D338">
            <v>36.28125</v>
          </cell>
        </row>
        <row r="339">
          <cell r="B339">
            <v>36280</v>
          </cell>
          <cell r="D339">
            <v>36.5625</v>
          </cell>
        </row>
        <row r="340">
          <cell r="B340">
            <v>36283</v>
          </cell>
          <cell r="D340">
            <v>36.5</v>
          </cell>
        </row>
        <row r="341">
          <cell r="B341">
            <v>36284</v>
          </cell>
          <cell r="D341">
            <v>35.25</v>
          </cell>
        </row>
        <row r="342">
          <cell r="B342">
            <v>36285</v>
          </cell>
          <cell r="D342">
            <v>34.46875</v>
          </cell>
        </row>
        <row r="343">
          <cell r="B343">
            <v>36286</v>
          </cell>
          <cell r="D343">
            <v>34.875</v>
          </cell>
        </row>
        <row r="344">
          <cell r="B344">
            <v>36287</v>
          </cell>
          <cell r="D344">
            <v>35.53125</v>
          </cell>
        </row>
        <row r="345">
          <cell r="B345">
            <v>36290</v>
          </cell>
          <cell r="D345">
            <v>34.59375</v>
          </cell>
        </row>
        <row r="346">
          <cell r="B346">
            <v>36291</v>
          </cell>
          <cell r="D346">
            <v>35.1875</v>
          </cell>
        </row>
        <row r="347">
          <cell r="B347">
            <v>36292</v>
          </cell>
          <cell r="D347">
            <v>35.625</v>
          </cell>
        </row>
        <row r="348">
          <cell r="B348">
            <v>36293</v>
          </cell>
          <cell r="D348">
            <v>36.53125</v>
          </cell>
        </row>
        <row r="349">
          <cell r="B349">
            <v>36294</v>
          </cell>
          <cell r="D349">
            <v>36</v>
          </cell>
        </row>
        <row r="350">
          <cell r="B350">
            <v>36297</v>
          </cell>
          <cell r="D350">
            <v>36.625</v>
          </cell>
        </row>
        <row r="351">
          <cell r="B351">
            <v>36298</v>
          </cell>
          <cell r="D351">
            <v>37.375</v>
          </cell>
        </row>
        <row r="352">
          <cell r="B352">
            <v>36299</v>
          </cell>
          <cell r="D352">
            <v>37.34375</v>
          </cell>
        </row>
        <row r="353">
          <cell r="B353">
            <v>36300</v>
          </cell>
          <cell r="D353">
            <v>37.34375</v>
          </cell>
        </row>
        <row r="354">
          <cell r="B354">
            <v>36301</v>
          </cell>
          <cell r="D354">
            <v>37.09375</v>
          </cell>
        </row>
        <row r="355">
          <cell r="B355">
            <v>36304</v>
          </cell>
          <cell r="D355">
            <v>36.625</v>
          </cell>
        </row>
        <row r="356">
          <cell r="B356">
            <v>36305</v>
          </cell>
          <cell r="D356">
            <v>36.1875</v>
          </cell>
        </row>
        <row r="357">
          <cell r="B357">
            <v>36306</v>
          </cell>
          <cell r="D357">
            <v>36.375</v>
          </cell>
        </row>
        <row r="358">
          <cell r="B358">
            <v>36307</v>
          </cell>
          <cell r="D358">
            <v>36.1875</v>
          </cell>
        </row>
        <row r="359">
          <cell r="B359">
            <v>36308</v>
          </cell>
          <cell r="D359">
            <v>36.53125</v>
          </cell>
        </row>
        <row r="360">
          <cell r="B360">
            <v>36312</v>
          </cell>
          <cell r="D360">
            <v>36.84375</v>
          </cell>
        </row>
        <row r="361">
          <cell r="B361">
            <v>36313</v>
          </cell>
          <cell r="D361">
            <v>36.6875</v>
          </cell>
        </row>
        <row r="362">
          <cell r="B362">
            <v>36314</v>
          </cell>
          <cell r="D362">
            <v>36.3125</v>
          </cell>
        </row>
        <row r="363">
          <cell r="B363">
            <v>36315</v>
          </cell>
          <cell r="D363">
            <v>36.625</v>
          </cell>
        </row>
        <row r="364">
          <cell r="B364">
            <v>36318</v>
          </cell>
          <cell r="D364">
            <v>37.03125</v>
          </cell>
        </row>
        <row r="365">
          <cell r="B365">
            <v>36319</v>
          </cell>
          <cell r="D365">
            <v>37.4375</v>
          </cell>
        </row>
        <row r="366">
          <cell r="B366">
            <v>36320</v>
          </cell>
          <cell r="D366">
            <v>37.84375</v>
          </cell>
        </row>
        <row r="367">
          <cell r="B367">
            <v>36321</v>
          </cell>
          <cell r="D367">
            <v>36.90625</v>
          </cell>
        </row>
        <row r="368">
          <cell r="B368">
            <v>36322</v>
          </cell>
          <cell r="D368">
            <v>36.4375</v>
          </cell>
        </row>
        <row r="369">
          <cell r="B369">
            <v>36325</v>
          </cell>
          <cell r="D369">
            <v>36.25</v>
          </cell>
        </row>
        <row r="370">
          <cell r="B370">
            <v>36326</v>
          </cell>
          <cell r="D370">
            <v>36.25</v>
          </cell>
        </row>
        <row r="371">
          <cell r="B371">
            <v>36327</v>
          </cell>
          <cell r="D371">
            <v>36.59375</v>
          </cell>
        </row>
        <row r="372">
          <cell r="B372">
            <v>36328</v>
          </cell>
          <cell r="D372">
            <v>36.90625</v>
          </cell>
        </row>
        <row r="373">
          <cell r="B373">
            <v>36329</v>
          </cell>
          <cell r="D373">
            <v>36.3125</v>
          </cell>
        </row>
        <row r="374">
          <cell r="B374">
            <v>36332</v>
          </cell>
          <cell r="D374">
            <v>35.5625</v>
          </cell>
        </row>
        <row r="375">
          <cell r="B375">
            <v>36333</v>
          </cell>
          <cell r="D375">
            <v>35.3125</v>
          </cell>
        </row>
        <row r="376">
          <cell r="B376">
            <v>36334</v>
          </cell>
          <cell r="D376">
            <v>34.96875</v>
          </cell>
        </row>
        <row r="377">
          <cell r="B377">
            <v>36335</v>
          </cell>
          <cell r="D377">
            <v>35.4375</v>
          </cell>
        </row>
        <row r="378">
          <cell r="B378">
            <v>36336</v>
          </cell>
          <cell r="D378">
            <v>35.46875</v>
          </cell>
        </row>
        <row r="379">
          <cell r="B379">
            <v>36339</v>
          </cell>
          <cell r="D379">
            <v>35.25</v>
          </cell>
        </row>
        <row r="380">
          <cell r="B380">
            <v>36340</v>
          </cell>
          <cell r="D380">
            <v>35.625</v>
          </cell>
        </row>
        <row r="381">
          <cell r="B381">
            <v>36341</v>
          </cell>
          <cell r="D381">
            <v>35.46875</v>
          </cell>
        </row>
        <row r="382">
          <cell r="B382">
            <v>36342</v>
          </cell>
          <cell r="D382">
            <v>36.0625</v>
          </cell>
        </row>
        <row r="383">
          <cell r="B383">
            <v>36343</v>
          </cell>
          <cell r="D383">
            <v>37.0625</v>
          </cell>
        </row>
        <row r="384">
          <cell r="B384">
            <v>36347</v>
          </cell>
          <cell r="D384">
            <v>35.8125</v>
          </cell>
        </row>
        <row r="385">
          <cell r="B385">
            <v>36348</v>
          </cell>
          <cell r="D385">
            <v>36.1875</v>
          </cell>
        </row>
        <row r="386">
          <cell r="B386">
            <v>36349</v>
          </cell>
          <cell r="D386">
            <v>36.875</v>
          </cell>
        </row>
        <row r="387">
          <cell r="B387">
            <v>36350</v>
          </cell>
          <cell r="D387">
            <v>37.25</v>
          </cell>
        </row>
        <row r="388">
          <cell r="B388">
            <v>36353</v>
          </cell>
          <cell r="D388">
            <v>37.46875</v>
          </cell>
        </row>
        <row r="389">
          <cell r="B389">
            <v>36354</v>
          </cell>
          <cell r="D389">
            <v>38.0625</v>
          </cell>
        </row>
        <row r="390">
          <cell r="B390">
            <v>36355</v>
          </cell>
          <cell r="D390">
            <v>38.40625</v>
          </cell>
        </row>
        <row r="391">
          <cell r="B391">
            <v>36356</v>
          </cell>
          <cell r="D391">
            <v>38.6875</v>
          </cell>
        </row>
        <row r="392">
          <cell r="B392">
            <v>36357</v>
          </cell>
          <cell r="D392">
            <v>39.09375</v>
          </cell>
        </row>
        <row r="393">
          <cell r="B393">
            <v>36360</v>
          </cell>
          <cell r="D393">
            <v>39.3125</v>
          </cell>
        </row>
        <row r="394">
          <cell r="B394">
            <v>36361</v>
          </cell>
          <cell r="D394">
            <v>38.75</v>
          </cell>
        </row>
        <row r="395">
          <cell r="B395">
            <v>36362</v>
          </cell>
          <cell r="D395">
            <v>38.625</v>
          </cell>
        </row>
        <row r="396">
          <cell r="B396">
            <v>36363</v>
          </cell>
          <cell r="D396">
            <v>37.875</v>
          </cell>
        </row>
        <row r="397">
          <cell r="B397">
            <v>36364</v>
          </cell>
          <cell r="D397">
            <v>37.1875</v>
          </cell>
        </row>
        <row r="398">
          <cell r="B398">
            <v>36367</v>
          </cell>
          <cell r="D398">
            <v>38.375</v>
          </cell>
        </row>
        <row r="399">
          <cell r="B399">
            <v>36368</v>
          </cell>
          <cell r="D399">
            <v>38.71875</v>
          </cell>
        </row>
        <row r="400">
          <cell r="B400">
            <v>36369</v>
          </cell>
          <cell r="D400">
            <v>38.875</v>
          </cell>
        </row>
        <row r="401">
          <cell r="B401">
            <v>36370</v>
          </cell>
          <cell r="D401">
            <v>39</v>
          </cell>
        </row>
        <row r="402">
          <cell r="B402">
            <v>36371</v>
          </cell>
          <cell r="D402">
            <v>39.46875</v>
          </cell>
        </row>
        <row r="403">
          <cell r="B403">
            <v>36374</v>
          </cell>
          <cell r="D403">
            <v>38.125</v>
          </cell>
        </row>
        <row r="404">
          <cell r="B404">
            <v>36375</v>
          </cell>
          <cell r="D404">
            <v>37.65625</v>
          </cell>
        </row>
        <row r="405">
          <cell r="B405">
            <v>36376</v>
          </cell>
          <cell r="D405">
            <v>37.375</v>
          </cell>
        </row>
        <row r="406">
          <cell r="B406">
            <v>36377</v>
          </cell>
          <cell r="D406">
            <v>36.625</v>
          </cell>
        </row>
        <row r="407">
          <cell r="B407">
            <v>36378</v>
          </cell>
          <cell r="D407">
            <v>36.9375</v>
          </cell>
        </row>
        <row r="408">
          <cell r="B408">
            <v>36381</v>
          </cell>
          <cell r="D408">
            <v>37.375</v>
          </cell>
        </row>
        <row r="409">
          <cell r="B409">
            <v>36382</v>
          </cell>
          <cell r="D409">
            <v>37.34375</v>
          </cell>
        </row>
        <row r="410">
          <cell r="B410">
            <v>36383</v>
          </cell>
          <cell r="D410">
            <v>37.90625</v>
          </cell>
        </row>
        <row r="411">
          <cell r="B411">
            <v>36384</v>
          </cell>
          <cell r="D411">
            <v>38.15625</v>
          </cell>
        </row>
        <row r="412">
          <cell r="B412">
            <v>36385</v>
          </cell>
          <cell r="D412">
            <v>38.5</v>
          </cell>
        </row>
        <row r="413">
          <cell r="B413">
            <v>36388</v>
          </cell>
          <cell r="D413">
            <v>37.9375</v>
          </cell>
        </row>
        <row r="414">
          <cell r="B414">
            <v>36389</v>
          </cell>
          <cell r="D414">
            <v>38.4375</v>
          </cell>
        </row>
        <row r="415">
          <cell r="B415">
            <v>36390</v>
          </cell>
          <cell r="D415">
            <v>37.6875</v>
          </cell>
        </row>
        <row r="416">
          <cell r="B416">
            <v>36391</v>
          </cell>
          <cell r="D416">
            <v>37.28125</v>
          </cell>
        </row>
        <row r="417">
          <cell r="B417">
            <v>36392</v>
          </cell>
          <cell r="D417">
            <v>38.34375</v>
          </cell>
        </row>
        <row r="418">
          <cell r="B418">
            <v>36395</v>
          </cell>
          <cell r="D418">
            <v>38.6875</v>
          </cell>
        </row>
        <row r="419">
          <cell r="B419">
            <v>36396</v>
          </cell>
          <cell r="D419">
            <v>38.6875</v>
          </cell>
        </row>
        <row r="420">
          <cell r="B420">
            <v>36397</v>
          </cell>
          <cell r="D420">
            <v>40.0625</v>
          </cell>
        </row>
        <row r="421">
          <cell r="B421">
            <v>36398</v>
          </cell>
          <cell r="D421">
            <v>39.59375</v>
          </cell>
        </row>
        <row r="422">
          <cell r="B422">
            <v>36399</v>
          </cell>
          <cell r="D422">
            <v>38.6875</v>
          </cell>
        </row>
        <row r="423">
          <cell r="B423">
            <v>36402</v>
          </cell>
          <cell r="D423">
            <v>38.71875</v>
          </cell>
        </row>
        <row r="424">
          <cell r="B424">
            <v>36403</v>
          </cell>
          <cell r="D424">
            <v>38.5</v>
          </cell>
        </row>
        <row r="425">
          <cell r="B425">
            <v>36404</v>
          </cell>
          <cell r="D425">
            <v>38.5</v>
          </cell>
        </row>
        <row r="426">
          <cell r="B426">
            <v>36405</v>
          </cell>
          <cell r="D426">
            <v>38.625</v>
          </cell>
        </row>
        <row r="427">
          <cell r="B427">
            <v>36406</v>
          </cell>
          <cell r="D427">
            <v>40</v>
          </cell>
        </row>
        <row r="428">
          <cell r="B428">
            <v>36410</v>
          </cell>
          <cell r="D428">
            <v>40.375</v>
          </cell>
        </row>
        <row r="429">
          <cell r="B429">
            <v>36411</v>
          </cell>
          <cell r="D429">
            <v>40.625</v>
          </cell>
        </row>
        <row r="430">
          <cell r="B430">
            <v>36412</v>
          </cell>
          <cell r="D430">
            <v>40.8125</v>
          </cell>
        </row>
        <row r="431">
          <cell r="B431">
            <v>36413</v>
          </cell>
          <cell r="D431">
            <v>38</v>
          </cell>
        </row>
        <row r="432">
          <cell r="B432">
            <v>36416</v>
          </cell>
          <cell r="D432">
            <v>37.9375</v>
          </cell>
        </row>
        <row r="433">
          <cell r="B433">
            <v>36417</v>
          </cell>
          <cell r="D433">
            <v>37.6875</v>
          </cell>
        </row>
        <row r="434">
          <cell r="B434">
            <v>36418</v>
          </cell>
          <cell r="D434">
            <v>37.25</v>
          </cell>
        </row>
        <row r="435">
          <cell r="B435">
            <v>36419</v>
          </cell>
          <cell r="D435">
            <v>37.15625</v>
          </cell>
        </row>
        <row r="436">
          <cell r="B436">
            <v>36420</v>
          </cell>
          <cell r="D436">
            <v>37</v>
          </cell>
        </row>
        <row r="437">
          <cell r="B437">
            <v>36423</v>
          </cell>
          <cell r="D437">
            <v>36.71875</v>
          </cell>
        </row>
        <row r="438">
          <cell r="B438">
            <v>36424</v>
          </cell>
          <cell r="D438">
            <v>36.15625</v>
          </cell>
        </row>
        <row r="439">
          <cell r="B439">
            <v>36425</v>
          </cell>
          <cell r="D439">
            <v>35.65625</v>
          </cell>
        </row>
        <row r="440">
          <cell r="B440">
            <v>36426</v>
          </cell>
          <cell r="D440">
            <v>34.84375</v>
          </cell>
        </row>
        <row r="441">
          <cell r="B441">
            <v>36427</v>
          </cell>
          <cell r="D441">
            <v>35.875</v>
          </cell>
        </row>
        <row r="442">
          <cell r="B442">
            <v>36430</v>
          </cell>
          <cell r="D442">
            <v>36.25</v>
          </cell>
        </row>
        <row r="443">
          <cell r="B443">
            <v>36431</v>
          </cell>
          <cell r="D443">
            <v>35.8125</v>
          </cell>
        </row>
        <row r="444">
          <cell r="B444">
            <v>36432</v>
          </cell>
          <cell r="D444">
            <v>34.90625</v>
          </cell>
        </row>
        <row r="445">
          <cell r="B445">
            <v>36433</v>
          </cell>
          <cell r="D445">
            <v>35.03125</v>
          </cell>
        </row>
        <row r="446">
          <cell r="B446">
            <v>36434</v>
          </cell>
          <cell r="D446">
            <v>35.9375</v>
          </cell>
        </row>
        <row r="447">
          <cell r="B447">
            <v>36437</v>
          </cell>
          <cell r="D447">
            <v>36.0625</v>
          </cell>
        </row>
        <row r="448">
          <cell r="B448">
            <v>36438</v>
          </cell>
          <cell r="D448">
            <v>35.3125</v>
          </cell>
        </row>
        <row r="449">
          <cell r="B449">
            <v>36439</v>
          </cell>
          <cell r="D449">
            <v>34.15625</v>
          </cell>
        </row>
        <row r="450">
          <cell r="B450">
            <v>36440</v>
          </cell>
          <cell r="D450">
            <v>34.875</v>
          </cell>
        </row>
        <row r="451">
          <cell r="B451">
            <v>36441</v>
          </cell>
          <cell r="D451">
            <v>35.21875</v>
          </cell>
        </row>
        <row r="452">
          <cell r="B452">
            <v>36444</v>
          </cell>
          <cell r="D452">
            <v>34.96875</v>
          </cell>
        </row>
        <row r="453">
          <cell r="B453">
            <v>36445</v>
          </cell>
          <cell r="D453">
            <v>35.03125</v>
          </cell>
        </row>
        <row r="454">
          <cell r="B454">
            <v>36446</v>
          </cell>
          <cell r="D454">
            <v>34.21875</v>
          </cell>
        </row>
        <row r="455">
          <cell r="B455">
            <v>36447</v>
          </cell>
          <cell r="D455">
            <v>34.4375</v>
          </cell>
        </row>
        <row r="456">
          <cell r="B456">
            <v>36448</v>
          </cell>
          <cell r="D456">
            <v>33.625</v>
          </cell>
        </row>
        <row r="457">
          <cell r="B457">
            <v>36451</v>
          </cell>
          <cell r="D457">
            <v>34.1875</v>
          </cell>
        </row>
        <row r="458">
          <cell r="B458">
            <v>36452</v>
          </cell>
          <cell r="D458">
            <v>34.75</v>
          </cell>
        </row>
        <row r="459">
          <cell r="B459">
            <v>36453</v>
          </cell>
          <cell r="D459">
            <v>35.6875</v>
          </cell>
        </row>
        <row r="460">
          <cell r="B460">
            <v>36454</v>
          </cell>
          <cell r="D460">
            <v>35.25</v>
          </cell>
        </row>
        <row r="461">
          <cell r="B461">
            <v>36455</v>
          </cell>
          <cell r="D461">
            <v>36.5625</v>
          </cell>
        </row>
        <row r="462">
          <cell r="B462">
            <v>36458</v>
          </cell>
          <cell r="D462">
            <v>36.5</v>
          </cell>
        </row>
        <row r="463">
          <cell r="B463">
            <v>36459</v>
          </cell>
          <cell r="D463">
            <v>34.6875</v>
          </cell>
        </row>
        <row r="464">
          <cell r="B464">
            <v>36460</v>
          </cell>
          <cell r="D464">
            <v>33.9375</v>
          </cell>
        </row>
        <row r="465">
          <cell r="B465">
            <v>36461</v>
          </cell>
          <cell r="D465">
            <v>35.5</v>
          </cell>
        </row>
        <row r="466">
          <cell r="B466">
            <v>36462</v>
          </cell>
          <cell r="D466">
            <v>35.96875</v>
          </cell>
        </row>
        <row r="467">
          <cell r="B467">
            <v>36465</v>
          </cell>
          <cell r="D467">
            <v>35.0625</v>
          </cell>
        </row>
        <row r="468">
          <cell r="B468">
            <v>36466</v>
          </cell>
          <cell r="D468">
            <v>35.46875</v>
          </cell>
        </row>
        <row r="469">
          <cell r="B469">
            <v>36467</v>
          </cell>
          <cell r="D469">
            <v>35.78125</v>
          </cell>
        </row>
        <row r="470">
          <cell r="B470">
            <v>36468</v>
          </cell>
          <cell r="D470">
            <v>36.28125</v>
          </cell>
        </row>
        <row r="471">
          <cell r="B471">
            <v>36469</v>
          </cell>
          <cell r="D471">
            <v>36.6875</v>
          </cell>
        </row>
        <row r="472">
          <cell r="B472">
            <v>36472</v>
          </cell>
          <cell r="D472">
            <v>36.15625</v>
          </cell>
        </row>
        <row r="473">
          <cell r="B473">
            <v>36473</v>
          </cell>
          <cell r="D473">
            <v>35.75</v>
          </cell>
        </row>
        <row r="474">
          <cell r="B474">
            <v>36474</v>
          </cell>
          <cell r="D474">
            <v>35.5</v>
          </cell>
        </row>
        <row r="475">
          <cell r="B475">
            <v>36475</v>
          </cell>
          <cell r="D475">
            <v>35.46875</v>
          </cell>
        </row>
        <row r="476">
          <cell r="B476">
            <v>36476</v>
          </cell>
          <cell r="D476">
            <v>35.59375</v>
          </cell>
        </row>
        <row r="477">
          <cell r="B477">
            <v>36479</v>
          </cell>
          <cell r="D477">
            <v>35.5</v>
          </cell>
        </row>
        <row r="478">
          <cell r="B478">
            <v>36480</v>
          </cell>
          <cell r="D478">
            <v>36.125</v>
          </cell>
        </row>
        <row r="479">
          <cell r="B479">
            <v>36481</v>
          </cell>
          <cell r="D479">
            <v>37.65625</v>
          </cell>
        </row>
        <row r="480">
          <cell r="B480">
            <v>36482</v>
          </cell>
          <cell r="D480">
            <v>38.1875</v>
          </cell>
        </row>
        <row r="481">
          <cell r="B481">
            <v>36483</v>
          </cell>
          <cell r="D481">
            <v>38.0625</v>
          </cell>
        </row>
        <row r="482">
          <cell r="B482">
            <v>36486</v>
          </cell>
          <cell r="D482">
            <v>38</v>
          </cell>
        </row>
        <row r="483">
          <cell r="B483">
            <v>36487</v>
          </cell>
          <cell r="D483">
            <v>37.34375</v>
          </cell>
        </row>
        <row r="484">
          <cell r="B484">
            <v>36488</v>
          </cell>
          <cell r="D484">
            <v>38.0625</v>
          </cell>
        </row>
        <row r="485">
          <cell r="B485">
            <v>36490</v>
          </cell>
          <cell r="D485">
            <v>37.9375</v>
          </cell>
        </row>
        <row r="486">
          <cell r="B486">
            <v>36493</v>
          </cell>
          <cell r="D486">
            <v>37.5</v>
          </cell>
        </row>
        <row r="487">
          <cell r="B487">
            <v>36494</v>
          </cell>
          <cell r="D487">
            <v>37.40625</v>
          </cell>
        </row>
        <row r="488">
          <cell r="B488">
            <v>36495</v>
          </cell>
          <cell r="D488">
            <v>37.5</v>
          </cell>
        </row>
        <row r="489">
          <cell r="B489">
            <v>36496</v>
          </cell>
          <cell r="D489">
            <v>37.171875</v>
          </cell>
        </row>
        <row r="490">
          <cell r="B490">
            <v>36497</v>
          </cell>
          <cell r="D490">
            <v>36.71875</v>
          </cell>
        </row>
        <row r="491">
          <cell r="B491">
            <v>36500</v>
          </cell>
          <cell r="D491">
            <v>36.5</v>
          </cell>
        </row>
        <row r="492">
          <cell r="B492">
            <v>36501</v>
          </cell>
          <cell r="D492">
            <v>36.5</v>
          </cell>
        </row>
        <row r="493">
          <cell r="B493">
            <v>36502</v>
          </cell>
          <cell r="D493">
            <v>37</v>
          </cell>
        </row>
        <row r="494">
          <cell r="B494">
            <v>36503</v>
          </cell>
          <cell r="D494">
            <v>36.5625</v>
          </cell>
        </row>
        <row r="495">
          <cell r="B495">
            <v>36504</v>
          </cell>
          <cell r="D495">
            <v>36.5</v>
          </cell>
        </row>
        <row r="496">
          <cell r="B496">
            <v>36507</v>
          </cell>
          <cell r="D496">
            <v>36.1875</v>
          </cell>
        </row>
        <row r="497">
          <cell r="B497">
            <v>36508</v>
          </cell>
          <cell r="D497">
            <v>37.09375</v>
          </cell>
        </row>
        <row r="498">
          <cell r="B498">
            <v>36509</v>
          </cell>
          <cell r="D498">
            <v>36.15625</v>
          </cell>
        </row>
        <row r="499">
          <cell r="B499">
            <v>36510</v>
          </cell>
          <cell r="D499">
            <v>35.875</v>
          </cell>
        </row>
        <row r="500">
          <cell r="B500">
            <v>36511</v>
          </cell>
          <cell r="D500">
            <v>34</v>
          </cell>
        </row>
        <row r="501">
          <cell r="B501">
            <v>36514</v>
          </cell>
          <cell r="D501">
            <v>34.25</v>
          </cell>
        </row>
        <row r="502">
          <cell r="B502">
            <v>36515</v>
          </cell>
          <cell r="D502">
            <v>33.375</v>
          </cell>
        </row>
        <row r="503">
          <cell r="B503">
            <v>36516</v>
          </cell>
          <cell r="D503">
            <v>33.34375</v>
          </cell>
        </row>
        <row r="504">
          <cell r="B504">
            <v>36517</v>
          </cell>
          <cell r="D504">
            <v>33.65625</v>
          </cell>
        </row>
        <row r="505">
          <cell r="B505">
            <v>36521</v>
          </cell>
          <cell r="D505">
            <v>34.5625</v>
          </cell>
        </row>
        <row r="506">
          <cell r="B506">
            <v>36522</v>
          </cell>
          <cell r="D506">
            <v>34.9375</v>
          </cell>
        </row>
        <row r="507">
          <cell r="B507">
            <v>36523</v>
          </cell>
          <cell r="D507">
            <v>34.71875</v>
          </cell>
        </row>
        <row r="508">
          <cell r="B508">
            <v>36524</v>
          </cell>
          <cell r="D508">
            <v>35.40625</v>
          </cell>
        </row>
        <row r="509">
          <cell r="B509">
            <v>36525</v>
          </cell>
          <cell r="D509">
            <v>35.4375</v>
          </cell>
        </row>
        <row r="510">
          <cell r="B510">
            <v>36528</v>
          </cell>
          <cell r="D510">
            <v>35</v>
          </cell>
        </row>
        <row r="511">
          <cell r="B511">
            <v>36529</v>
          </cell>
          <cell r="D511">
            <v>35.09375</v>
          </cell>
        </row>
        <row r="512">
          <cell r="B512">
            <v>36530</v>
          </cell>
          <cell r="D512">
            <v>36.71875</v>
          </cell>
        </row>
        <row r="513">
          <cell r="B513">
            <v>36531</v>
          </cell>
          <cell r="D513">
            <v>37.25</v>
          </cell>
        </row>
        <row r="514">
          <cell r="B514">
            <v>36532</v>
          </cell>
          <cell r="D514">
            <v>38.0625</v>
          </cell>
        </row>
        <row r="515">
          <cell r="B515">
            <v>36535</v>
          </cell>
          <cell r="D515">
            <v>37.25</v>
          </cell>
        </row>
        <row r="516">
          <cell r="B516">
            <v>36536</v>
          </cell>
          <cell r="D516">
            <v>36.78125</v>
          </cell>
        </row>
        <row r="517">
          <cell r="B517">
            <v>36537</v>
          </cell>
          <cell r="D517">
            <v>37.84375</v>
          </cell>
        </row>
        <row r="518">
          <cell r="B518">
            <v>36538</v>
          </cell>
          <cell r="D518">
            <v>37.125</v>
          </cell>
        </row>
        <row r="519">
          <cell r="B519">
            <v>36539</v>
          </cell>
          <cell r="D519">
            <v>36.59375</v>
          </cell>
        </row>
        <row r="520">
          <cell r="B520">
            <v>36543</v>
          </cell>
          <cell r="D520">
            <v>35.6875</v>
          </cell>
        </row>
        <row r="521">
          <cell r="B521">
            <v>36544</v>
          </cell>
          <cell r="D521">
            <v>36.25</v>
          </cell>
        </row>
        <row r="522">
          <cell r="B522">
            <v>36545</v>
          </cell>
          <cell r="D522">
            <v>35.8125</v>
          </cell>
        </row>
        <row r="523">
          <cell r="B523">
            <v>36546</v>
          </cell>
          <cell r="D523">
            <v>35.5</v>
          </cell>
        </row>
        <row r="524">
          <cell r="B524">
            <v>36549</v>
          </cell>
          <cell r="D524">
            <v>34.5625</v>
          </cell>
        </row>
        <row r="525">
          <cell r="B525">
            <v>36550</v>
          </cell>
          <cell r="D525">
            <v>34.125</v>
          </cell>
        </row>
        <row r="526">
          <cell r="B526">
            <v>36551</v>
          </cell>
          <cell r="D526">
            <v>33.78125</v>
          </cell>
        </row>
        <row r="527">
          <cell r="B527">
            <v>36552</v>
          </cell>
          <cell r="D527">
            <v>33.4375</v>
          </cell>
        </row>
        <row r="528">
          <cell r="B528">
            <v>36553</v>
          </cell>
          <cell r="D528">
            <v>33.375</v>
          </cell>
        </row>
        <row r="529">
          <cell r="B529">
            <v>36556</v>
          </cell>
          <cell r="D529">
            <v>33.75</v>
          </cell>
        </row>
        <row r="530">
          <cell r="B530">
            <v>36557</v>
          </cell>
          <cell r="D530">
            <v>34.5</v>
          </cell>
        </row>
        <row r="531">
          <cell r="B531">
            <v>36558</v>
          </cell>
          <cell r="D531">
            <v>34.90625</v>
          </cell>
        </row>
        <row r="532">
          <cell r="B532">
            <v>36559</v>
          </cell>
          <cell r="D532">
            <v>33.875</v>
          </cell>
        </row>
        <row r="533">
          <cell r="B533">
            <v>36560</v>
          </cell>
          <cell r="D533">
            <v>33.375</v>
          </cell>
        </row>
        <row r="534">
          <cell r="B534">
            <v>36563</v>
          </cell>
          <cell r="D534">
            <v>33.59375</v>
          </cell>
        </row>
        <row r="535">
          <cell r="B535">
            <v>36564</v>
          </cell>
          <cell r="D535">
            <v>33.28125</v>
          </cell>
        </row>
        <row r="536">
          <cell r="B536">
            <v>36565</v>
          </cell>
          <cell r="D536">
            <v>33.25</v>
          </cell>
        </row>
        <row r="537">
          <cell r="B537">
            <v>36566</v>
          </cell>
          <cell r="D537">
            <v>33.40625</v>
          </cell>
        </row>
        <row r="538">
          <cell r="B538">
            <v>36567</v>
          </cell>
          <cell r="D538">
            <v>32.53125</v>
          </cell>
        </row>
        <row r="539">
          <cell r="B539">
            <v>36570</v>
          </cell>
          <cell r="D539">
            <v>31.0625</v>
          </cell>
        </row>
        <row r="540">
          <cell r="B540">
            <v>36571</v>
          </cell>
          <cell r="D540">
            <v>31.53125</v>
          </cell>
        </row>
        <row r="541">
          <cell r="B541">
            <v>36572</v>
          </cell>
          <cell r="D541">
            <v>30.90625</v>
          </cell>
        </row>
        <row r="542">
          <cell r="B542">
            <v>36573</v>
          </cell>
          <cell r="D542">
            <v>30.21875</v>
          </cell>
        </row>
        <row r="543">
          <cell r="B543">
            <v>36574</v>
          </cell>
          <cell r="D543">
            <v>30.03125</v>
          </cell>
        </row>
        <row r="544">
          <cell r="B544">
            <v>36578</v>
          </cell>
          <cell r="D544">
            <v>30.84375</v>
          </cell>
        </row>
        <row r="545">
          <cell r="B545">
            <v>36579</v>
          </cell>
          <cell r="D545">
            <v>31.125</v>
          </cell>
        </row>
        <row r="546">
          <cell r="B546">
            <v>36580</v>
          </cell>
          <cell r="D546">
            <v>29.34375</v>
          </cell>
        </row>
        <row r="547">
          <cell r="B547">
            <v>36581</v>
          </cell>
          <cell r="D547">
            <v>30</v>
          </cell>
        </row>
        <row r="548">
          <cell r="B548">
            <v>36584</v>
          </cell>
          <cell r="D548">
            <v>30.625</v>
          </cell>
        </row>
        <row r="549">
          <cell r="B549">
            <v>36585</v>
          </cell>
          <cell r="D549">
            <v>32</v>
          </cell>
        </row>
        <row r="550">
          <cell r="B550">
            <v>36586</v>
          </cell>
          <cell r="D550">
            <v>31.5</v>
          </cell>
        </row>
        <row r="551">
          <cell r="B551">
            <v>36587</v>
          </cell>
          <cell r="D551">
            <v>30.1875</v>
          </cell>
        </row>
        <row r="552">
          <cell r="B552">
            <v>36588</v>
          </cell>
          <cell r="D552">
            <v>30.875</v>
          </cell>
        </row>
        <row r="553">
          <cell r="B553">
            <v>36591</v>
          </cell>
          <cell r="D553">
            <v>30.125</v>
          </cell>
        </row>
        <row r="554">
          <cell r="B554">
            <v>36592</v>
          </cell>
          <cell r="D554">
            <v>28.28125</v>
          </cell>
        </row>
        <row r="555">
          <cell r="B555">
            <v>36593</v>
          </cell>
          <cell r="D555">
            <v>28.84375</v>
          </cell>
        </row>
        <row r="556">
          <cell r="B556">
            <v>36594</v>
          </cell>
          <cell r="D556">
            <v>29</v>
          </cell>
        </row>
        <row r="557">
          <cell r="B557">
            <v>36595</v>
          </cell>
          <cell r="D557">
            <v>28.375</v>
          </cell>
        </row>
        <row r="558">
          <cell r="B558">
            <v>36598</v>
          </cell>
          <cell r="D558">
            <v>28.1875</v>
          </cell>
        </row>
        <row r="559">
          <cell r="B559">
            <v>36599</v>
          </cell>
          <cell r="D559">
            <v>27.46875</v>
          </cell>
        </row>
        <row r="560">
          <cell r="B560">
            <v>36600</v>
          </cell>
          <cell r="D560">
            <v>29.59375</v>
          </cell>
        </row>
        <row r="561">
          <cell r="B561">
            <v>36601</v>
          </cell>
          <cell r="D561">
            <v>30.78125</v>
          </cell>
        </row>
        <row r="562">
          <cell r="B562">
            <v>36602</v>
          </cell>
          <cell r="D562">
            <v>30.21875</v>
          </cell>
        </row>
        <row r="563">
          <cell r="B563">
            <v>36605</v>
          </cell>
          <cell r="D563">
            <v>29.5</v>
          </cell>
        </row>
        <row r="564">
          <cell r="B564">
            <v>36606</v>
          </cell>
          <cell r="D564">
            <v>29.78125</v>
          </cell>
        </row>
        <row r="565">
          <cell r="B565">
            <v>36607</v>
          </cell>
          <cell r="D565">
            <v>29.375</v>
          </cell>
        </row>
        <row r="566">
          <cell r="B566">
            <v>36608</v>
          </cell>
          <cell r="D566">
            <v>29.5625</v>
          </cell>
        </row>
        <row r="567">
          <cell r="B567">
            <v>36609</v>
          </cell>
          <cell r="D567">
            <v>28.65625</v>
          </cell>
        </row>
        <row r="568">
          <cell r="B568">
            <v>36612</v>
          </cell>
          <cell r="D568">
            <v>28.875</v>
          </cell>
        </row>
        <row r="569">
          <cell r="B569">
            <v>36613</v>
          </cell>
          <cell r="D569">
            <v>29</v>
          </cell>
        </row>
        <row r="570">
          <cell r="B570">
            <v>36614</v>
          </cell>
          <cell r="D570">
            <v>30.21875</v>
          </cell>
        </row>
        <row r="571">
          <cell r="B571">
            <v>36615</v>
          </cell>
          <cell r="D571">
            <v>32.15625</v>
          </cell>
        </row>
        <row r="572">
          <cell r="B572">
            <v>36616</v>
          </cell>
          <cell r="D572">
            <v>31.125</v>
          </cell>
        </row>
        <row r="573">
          <cell r="B573">
            <v>36619</v>
          </cell>
          <cell r="D573">
            <v>33.15625</v>
          </cell>
        </row>
        <row r="574">
          <cell r="B574">
            <v>36620</v>
          </cell>
          <cell r="D574">
            <v>33.46875</v>
          </cell>
        </row>
        <row r="575">
          <cell r="B575">
            <v>36621</v>
          </cell>
          <cell r="D575">
            <v>33.1875</v>
          </cell>
        </row>
        <row r="576">
          <cell r="B576">
            <v>36622</v>
          </cell>
          <cell r="D576">
            <v>32.71875</v>
          </cell>
        </row>
        <row r="577">
          <cell r="B577">
            <v>36623</v>
          </cell>
          <cell r="D577">
            <v>32.6875</v>
          </cell>
        </row>
        <row r="578">
          <cell r="B578">
            <v>36626</v>
          </cell>
          <cell r="D578">
            <v>33.59375</v>
          </cell>
        </row>
        <row r="579">
          <cell r="B579">
            <v>36627</v>
          </cell>
          <cell r="D579">
            <v>34.5</v>
          </cell>
        </row>
        <row r="580">
          <cell r="B580">
            <v>36628</v>
          </cell>
          <cell r="D580">
            <v>35.125</v>
          </cell>
        </row>
        <row r="581">
          <cell r="B581">
            <v>36629</v>
          </cell>
          <cell r="D581">
            <v>35.25</v>
          </cell>
        </row>
        <row r="582">
          <cell r="B582">
            <v>36630</v>
          </cell>
          <cell r="D582">
            <v>32.90625</v>
          </cell>
        </row>
        <row r="583">
          <cell r="B583">
            <v>36633</v>
          </cell>
          <cell r="D583">
            <v>33.59375</v>
          </cell>
        </row>
        <row r="584">
          <cell r="B584">
            <v>36634</v>
          </cell>
          <cell r="D584">
            <v>33.96875</v>
          </cell>
        </row>
        <row r="585">
          <cell r="B585">
            <v>36635</v>
          </cell>
          <cell r="D585">
            <v>33.90625</v>
          </cell>
        </row>
        <row r="586">
          <cell r="B586">
            <v>36636</v>
          </cell>
          <cell r="D586">
            <v>35.8125</v>
          </cell>
        </row>
        <row r="587">
          <cell r="B587">
            <v>36640</v>
          </cell>
          <cell r="D587">
            <v>37.375</v>
          </cell>
        </row>
        <row r="588">
          <cell r="B588">
            <v>36641</v>
          </cell>
          <cell r="D588">
            <v>37.1875</v>
          </cell>
        </row>
        <row r="589">
          <cell r="B589">
            <v>36642</v>
          </cell>
          <cell r="D589">
            <v>37.28125</v>
          </cell>
        </row>
        <row r="590">
          <cell r="B590">
            <v>36643</v>
          </cell>
          <cell r="D590">
            <v>35.6875</v>
          </cell>
        </row>
        <row r="591">
          <cell r="B591">
            <v>36644</v>
          </cell>
          <cell r="D591">
            <v>35.28125</v>
          </cell>
        </row>
        <row r="592">
          <cell r="B592">
            <v>36647</v>
          </cell>
          <cell r="D592">
            <v>35</v>
          </cell>
        </row>
        <row r="593">
          <cell r="B593">
            <v>36648</v>
          </cell>
          <cell r="D593">
            <v>35.0625</v>
          </cell>
        </row>
        <row r="594">
          <cell r="B594">
            <v>36649</v>
          </cell>
          <cell r="D594">
            <v>36</v>
          </cell>
        </row>
        <row r="595">
          <cell r="B595">
            <v>36650</v>
          </cell>
          <cell r="D595">
            <v>37</v>
          </cell>
        </row>
        <row r="596">
          <cell r="B596">
            <v>36651</v>
          </cell>
          <cell r="D596">
            <v>36.28125</v>
          </cell>
        </row>
        <row r="597">
          <cell r="B597">
            <v>36654</v>
          </cell>
          <cell r="D597">
            <v>36.4375</v>
          </cell>
        </row>
        <row r="598">
          <cell r="B598">
            <v>36655</v>
          </cell>
          <cell r="D598">
            <v>37.40625</v>
          </cell>
        </row>
        <row r="599">
          <cell r="B599">
            <v>36656</v>
          </cell>
          <cell r="D599">
            <v>38.46875</v>
          </cell>
        </row>
        <row r="600">
          <cell r="B600">
            <v>36657</v>
          </cell>
          <cell r="D600">
            <v>39.46875</v>
          </cell>
        </row>
        <row r="601">
          <cell r="B601">
            <v>36658</v>
          </cell>
          <cell r="D601">
            <v>38.4375</v>
          </cell>
        </row>
        <row r="602">
          <cell r="B602">
            <v>36661</v>
          </cell>
          <cell r="D602">
            <v>38.71875</v>
          </cell>
        </row>
        <row r="603">
          <cell r="B603">
            <v>36662</v>
          </cell>
          <cell r="D603">
            <v>38.5</v>
          </cell>
        </row>
        <row r="604">
          <cell r="B604">
            <v>36663</v>
          </cell>
          <cell r="D604">
            <v>38.125</v>
          </cell>
        </row>
        <row r="605">
          <cell r="B605">
            <v>36664</v>
          </cell>
          <cell r="D605">
            <v>38</v>
          </cell>
        </row>
        <row r="606">
          <cell r="B606">
            <v>36665</v>
          </cell>
          <cell r="D606">
            <v>37.65625</v>
          </cell>
        </row>
        <row r="607">
          <cell r="B607">
            <v>36668</v>
          </cell>
          <cell r="D607">
            <v>38.40625</v>
          </cell>
        </row>
        <row r="608">
          <cell r="B608">
            <v>36669</v>
          </cell>
          <cell r="D608">
            <v>38.875</v>
          </cell>
        </row>
        <row r="609">
          <cell r="B609">
            <v>36670</v>
          </cell>
          <cell r="D609">
            <v>39.90625</v>
          </cell>
        </row>
        <row r="610">
          <cell r="B610">
            <v>36671</v>
          </cell>
          <cell r="D610">
            <v>39.875</v>
          </cell>
        </row>
        <row r="611">
          <cell r="B611">
            <v>36672</v>
          </cell>
          <cell r="D611">
            <v>40.65625</v>
          </cell>
        </row>
        <row r="612">
          <cell r="B612">
            <v>36676</v>
          </cell>
          <cell r="D612">
            <v>39.625</v>
          </cell>
        </row>
        <row r="613">
          <cell r="B613">
            <v>36677</v>
          </cell>
          <cell r="D613">
            <v>38.75</v>
          </cell>
        </row>
        <row r="614">
          <cell r="B614">
            <v>36678</v>
          </cell>
          <cell r="D614">
            <v>38.875</v>
          </cell>
        </row>
        <row r="615">
          <cell r="B615">
            <v>36679</v>
          </cell>
          <cell r="D615">
            <v>36.34375</v>
          </cell>
        </row>
        <row r="616">
          <cell r="B616">
            <v>36682</v>
          </cell>
          <cell r="D616">
            <v>37.34375</v>
          </cell>
        </row>
        <row r="617">
          <cell r="B617">
            <v>36683</v>
          </cell>
          <cell r="D617">
            <v>37.25</v>
          </cell>
        </row>
        <row r="618">
          <cell r="B618">
            <v>36684</v>
          </cell>
          <cell r="D618">
            <v>38.53125</v>
          </cell>
        </row>
        <row r="619">
          <cell r="B619">
            <v>36685</v>
          </cell>
          <cell r="D619">
            <v>39.34375</v>
          </cell>
        </row>
        <row r="620">
          <cell r="B620">
            <v>36686</v>
          </cell>
          <cell r="D620">
            <v>38.84375</v>
          </cell>
        </row>
        <row r="621">
          <cell r="B621">
            <v>36689</v>
          </cell>
          <cell r="D621">
            <v>37.90625</v>
          </cell>
        </row>
        <row r="622">
          <cell r="B622">
            <v>36690</v>
          </cell>
          <cell r="D622">
            <v>39.71875</v>
          </cell>
        </row>
        <row r="623">
          <cell r="B623">
            <v>36691</v>
          </cell>
          <cell r="D623">
            <v>40.09375</v>
          </cell>
        </row>
        <row r="624">
          <cell r="B624">
            <v>36692</v>
          </cell>
          <cell r="D624">
            <v>40.40625</v>
          </cell>
        </row>
        <row r="625">
          <cell r="B625">
            <v>36693</v>
          </cell>
          <cell r="D625">
            <v>38.625</v>
          </cell>
        </row>
        <row r="626">
          <cell r="B626">
            <v>36696</v>
          </cell>
          <cell r="D626">
            <v>38.84375</v>
          </cell>
        </row>
        <row r="627">
          <cell r="B627">
            <v>36697</v>
          </cell>
          <cell r="D627">
            <v>37.34375</v>
          </cell>
        </row>
        <row r="628">
          <cell r="B628">
            <v>36698</v>
          </cell>
          <cell r="D628">
            <v>37.375</v>
          </cell>
        </row>
        <row r="629">
          <cell r="B629">
            <v>36699</v>
          </cell>
          <cell r="D629">
            <v>38</v>
          </cell>
        </row>
        <row r="630">
          <cell r="B630">
            <v>36700</v>
          </cell>
          <cell r="D630">
            <v>38.15625</v>
          </cell>
        </row>
        <row r="631">
          <cell r="B631">
            <v>36703</v>
          </cell>
          <cell r="D631">
            <v>39.625</v>
          </cell>
        </row>
        <row r="632">
          <cell r="B632">
            <v>36704</v>
          </cell>
          <cell r="D632">
            <v>38.625</v>
          </cell>
        </row>
        <row r="633">
          <cell r="B633">
            <v>36705</v>
          </cell>
          <cell r="D633">
            <v>38.59375</v>
          </cell>
        </row>
        <row r="634">
          <cell r="B634">
            <v>36706</v>
          </cell>
          <cell r="D634">
            <v>38.0625</v>
          </cell>
        </row>
        <row r="635">
          <cell r="B635">
            <v>36707</v>
          </cell>
          <cell r="D635">
            <v>37.34375</v>
          </cell>
        </row>
        <row r="636">
          <cell r="B636">
            <v>36710</v>
          </cell>
          <cell r="D636">
            <v>38.125</v>
          </cell>
        </row>
        <row r="637">
          <cell r="B637">
            <v>36712</v>
          </cell>
          <cell r="D637">
            <v>38.5625</v>
          </cell>
        </row>
        <row r="638">
          <cell r="B638">
            <v>36713</v>
          </cell>
          <cell r="D638">
            <v>38.875</v>
          </cell>
        </row>
        <row r="639">
          <cell r="B639">
            <v>36714</v>
          </cell>
          <cell r="D639">
            <v>38.5625</v>
          </cell>
        </row>
        <row r="640">
          <cell r="B640">
            <v>36717</v>
          </cell>
          <cell r="D640">
            <v>39</v>
          </cell>
        </row>
        <row r="641">
          <cell r="B641">
            <v>36718</v>
          </cell>
          <cell r="D641">
            <v>39.6875</v>
          </cell>
        </row>
        <row r="642">
          <cell r="B642">
            <v>36719</v>
          </cell>
          <cell r="D642">
            <v>39.53125</v>
          </cell>
        </row>
        <row r="643">
          <cell r="B643">
            <v>36720</v>
          </cell>
          <cell r="D643">
            <v>40.0625</v>
          </cell>
        </row>
        <row r="644">
          <cell r="B644">
            <v>36721</v>
          </cell>
          <cell r="D644">
            <v>39.5</v>
          </cell>
        </row>
        <row r="645">
          <cell r="B645">
            <v>36724</v>
          </cell>
          <cell r="D645">
            <v>40.3125</v>
          </cell>
        </row>
        <row r="646">
          <cell r="B646">
            <v>36725</v>
          </cell>
          <cell r="D646">
            <v>40.78125</v>
          </cell>
        </row>
        <row r="647">
          <cell r="B647">
            <v>36726</v>
          </cell>
          <cell r="D647">
            <v>41.0625</v>
          </cell>
        </row>
        <row r="648">
          <cell r="B648">
            <v>36727</v>
          </cell>
          <cell r="D648">
            <v>40.40625</v>
          </cell>
        </row>
        <row r="649">
          <cell r="B649">
            <v>36728</v>
          </cell>
          <cell r="D649">
            <v>39.4375</v>
          </cell>
        </row>
        <row r="650">
          <cell r="B650">
            <v>36731</v>
          </cell>
          <cell r="D650">
            <v>39.34375</v>
          </cell>
        </row>
        <row r="651">
          <cell r="B651">
            <v>36732</v>
          </cell>
          <cell r="D651">
            <v>39.375</v>
          </cell>
        </row>
        <row r="652">
          <cell r="B652">
            <v>36733</v>
          </cell>
          <cell r="D652">
            <v>39.4375</v>
          </cell>
        </row>
        <row r="653">
          <cell r="B653">
            <v>36734</v>
          </cell>
          <cell r="D653">
            <v>40.25</v>
          </cell>
        </row>
        <row r="654">
          <cell r="B654">
            <v>36735</v>
          </cell>
          <cell r="D654">
            <v>40.6875</v>
          </cell>
        </row>
        <row r="655">
          <cell r="B655">
            <v>36738</v>
          </cell>
          <cell r="D655">
            <v>40.25</v>
          </cell>
        </row>
        <row r="656">
          <cell r="B656">
            <v>36739</v>
          </cell>
          <cell r="D656">
            <v>40</v>
          </cell>
        </row>
        <row r="657">
          <cell r="B657">
            <v>36740</v>
          </cell>
          <cell r="D657">
            <v>41.34375</v>
          </cell>
        </row>
        <row r="658">
          <cell r="B658">
            <v>36741</v>
          </cell>
          <cell r="D658">
            <v>41.59375</v>
          </cell>
        </row>
        <row r="659">
          <cell r="B659">
            <v>36742</v>
          </cell>
          <cell r="D659">
            <v>41.78125</v>
          </cell>
        </row>
        <row r="660">
          <cell r="B660">
            <v>36745</v>
          </cell>
          <cell r="D660">
            <v>41</v>
          </cell>
        </row>
        <row r="661">
          <cell r="B661">
            <v>36746</v>
          </cell>
          <cell r="D661">
            <v>42.09375</v>
          </cell>
        </row>
        <row r="662">
          <cell r="B662">
            <v>36747</v>
          </cell>
          <cell r="D662">
            <v>42.1875</v>
          </cell>
        </row>
        <row r="663">
          <cell r="B663">
            <v>36748</v>
          </cell>
          <cell r="D663">
            <v>42.0625</v>
          </cell>
        </row>
        <row r="664">
          <cell r="B664">
            <v>36749</v>
          </cell>
          <cell r="D664">
            <v>43</v>
          </cell>
        </row>
        <row r="665">
          <cell r="B665">
            <v>36752</v>
          </cell>
          <cell r="D665">
            <v>43.75</v>
          </cell>
        </row>
        <row r="666">
          <cell r="B666">
            <v>36753</v>
          </cell>
          <cell r="D666">
            <v>42.25</v>
          </cell>
        </row>
        <row r="667">
          <cell r="B667">
            <v>36754</v>
          </cell>
          <cell r="D667">
            <v>41.53125</v>
          </cell>
        </row>
        <row r="668">
          <cell r="B668">
            <v>36755</v>
          </cell>
          <cell r="D668">
            <v>41.0625</v>
          </cell>
        </row>
        <row r="669">
          <cell r="B669">
            <v>36756</v>
          </cell>
          <cell r="D669">
            <v>40.9375</v>
          </cell>
        </row>
        <row r="670">
          <cell r="B670">
            <v>36759</v>
          </cell>
          <cell r="D670">
            <v>41.34375</v>
          </cell>
        </row>
        <row r="671">
          <cell r="B671">
            <v>36760</v>
          </cell>
          <cell r="D671">
            <v>40.90625</v>
          </cell>
        </row>
        <row r="672">
          <cell r="B672">
            <v>36761</v>
          </cell>
          <cell r="D672">
            <v>41.5625</v>
          </cell>
        </row>
        <row r="673">
          <cell r="B673">
            <v>36762</v>
          </cell>
          <cell r="D673">
            <v>41.0625</v>
          </cell>
        </row>
        <row r="674">
          <cell r="B674">
            <v>36763</v>
          </cell>
          <cell r="D674">
            <v>39.96875</v>
          </cell>
        </row>
        <row r="675">
          <cell r="B675">
            <v>36766</v>
          </cell>
          <cell r="D675">
            <v>40.09375</v>
          </cell>
        </row>
        <row r="676">
          <cell r="B676">
            <v>36767</v>
          </cell>
          <cell r="D676">
            <v>40.625</v>
          </cell>
        </row>
        <row r="677">
          <cell r="B677">
            <v>36768</v>
          </cell>
          <cell r="D677">
            <v>39.09375</v>
          </cell>
        </row>
        <row r="678">
          <cell r="B678">
            <v>36769</v>
          </cell>
          <cell r="D678">
            <v>39.40625</v>
          </cell>
        </row>
        <row r="679">
          <cell r="B679">
            <v>36770</v>
          </cell>
          <cell r="D679">
            <v>38.75</v>
          </cell>
        </row>
        <row r="680">
          <cell r="B680">
            <v>36774</v>
          </cell>
          <cell r="D680">
            <v>38.3125</v>
          </cell>
        </row>
        <row r="681">
          <cell r="B681">
            <v>36775</v>
          </cell>
          <cell r="D681">
            <v>38.125</v>
          </cell>
        </row>
        <row r="682">
          <cell r="B682">
            <v>36776</v>
          </cell>
          <cell r="D682">
            <v>39.28125</v>
          </cell>
        </row>
        <row r="683">
          <cell r="B683">
            <v>36777</v>
          </cell>
          <cell r="D683">
            <v>40.1875</v>
          </cell>
        </row>
        <row r="684">
          <cell r="B684">
            <v>36780</v>
          </cell>
          <cell r="D684">
            <v>40.9375</v>
          </cell>
        </row>
        <row r="685">
          <cell r="B685">
            <v>36781</v>
          </cell>
          <cell r="D685">
            <v>40.875</v>
          </cell>
        </row>
        <row r="686">
          <cell r="B686">
            <v>36782</v>
          </cell>
          <cell r="D686">
            <v>41.90625</v>
          </cell>
        </row>
        <row r="687">
          <cell r="B687">
            <v>36783</v>
          </cell>
          <cell r="D687">
            <v>41.78125</v>
          </cell>
        </row>
        <row r="688">
          <cell r="B688">
            <v>36784</v>
          </cell>
          <cell r="D688">
            <v>40.875</v>
          </cell>
        </row>
        <row r="689">
          <cell r="B689">
            <v>36787</v>
          </cell>
          <cell r="D689">
            <v>41.46875</v>
          </cell>
        </row>
        <row r="690">
          <cell r="B690">
            <v>36788</v>
          </cell>
          <cell r="D690">
            <v>42.375</v>
          </cell>
        </row>
        <row r="691">
          <cell r="B691">
            <v>36789</v>
          </cell>
          <cell r="D691">
            <v>42.625</v>
          </cell>
        </row>
        <row r="692">
          <cell r="B692">
            <v>36790</v>
          </cell>
          <cell r="D692">
            <v>43</v>
          </cell>
        </row>
        <row r="693">
          <cell r="B693">
            <v>36791</v>
          </cell>
          <cell r="D693">
            <v>44.3125</v>
          </cell>
        </row>
        <row r="694">
          <cell r="B694">
            <v>36794</v>
          </cell>
          <cell r="D694">
            <v>44.25</v>
          </cell>
        </row>
        <row r="695">
          <cell r="B695">
            <v>36795</v>
          </cell>
          <cell r="D695">
            <v>43.75</v>
          </cell>
        </row>
        <row r="696">
          <cell r="B696">
            <v>36796</v>
          </cell>
          <cell r="D696">
            <v>43.25</v>
          </cell>
        </row>
        <row r="697">
          <cell r="B697">
            <v>36797</v>
          </cell>
          <cell r="D697">
            <v>43.25</v>
          </cell>
        </row>
        <row r="698">
          <cell r="B698">
            <v>36798</v>
          </cell>
          <cell r="D698">
            <v>42.3125</v>
          </cell>
        </row>
        <row r="699">
          <cell r="B699">
            <v>36801</v>
          </cell>
          <cell r="D699">
            <v>41.75</v>
          </cell>
        </row>
        <row r="700">
          <cell r="B700">
            <v>36802</v>
          </cell>
          <cell r="D700">
            <v>43.625</v>
          </cell>
        </row>
        <row r="701">
          <cell r="B701">
            <v>36803</v>
          </cell>
          <cell r="D701">
            <v>42.375</v>
          </cell>
        </row>
        <row r="702">
          <cell r="B702">
            <v>36804</v>
          </cell>
          <cell r="D702">
            <v>43.5</v>
          </cell>
        </row>
        <row r="703">
          <cell r="B703">
            <v>36805</v>
          </cell>
          <cell r="D703">
            <v>43</v>
          </cell>
        </row>
        <row r="704">
          <cell r="B704">
            <v>36808</v>
          </cell>
          <cell r="D704">
            <v>42.4375</v>
          </cell>
        </row>
        <row r="705">
          <cell r="B705">
            <v>36809</v>
          </cell>
          <cell r="D705">
            <v>43.875</v>
          </cell>
        </row>
        <row r="706">
          <cell r="B706">
            <v>36810</v>
          </cell>
          <cell r="D706">
            <v>42.25</v>
          </cell>
        </row>
        <row r="707">
          <cell r="B707">
            <v>36811</v>
          </cell>
          <cell r="D707">
            <v>42.75</v>
          </cell>
        </row>
        <row r="708">
          <cell r="B708">
            <v>36812</v>
          </cell>
          <cell r="D708">
            <v>42.375</v>
          </cell>
        </row>
        <row r="709">
          <cell r="B709">
            <v>36815</v>
          </cell>
          <cell r="D709">
            <v>43.25</v>
          </cell>
        </row>
        <row r="710">
          <cell r="B710">
            <v>36816</v>
          </cell>
          <cell r="D710">
            <v>43.375</v>
          </cell>
        </row>
        <row r="711">
          <cell r="B711">
            <v>36817</v>
          </cell>
          <cell r="D711">
            <v>44.6875</v>
          </cell>
        </row>
        <row r="712">
          <cell r="B712">
            <v>36818</v>
          </cell>
          <cell r="D712">
            <v>44</v>
          </cell>
        </row>
        <row r="713">
          <cell r="B713">
            <v>36819</v>
          </cell>
          <cell r="D713">
            <v>41.875</v>
          </cell>
        </row>
        <row r="714">
          <cell r="B714">
            <v>36822</v>
          </cell>
          <cell r="D714">
            <v>41.875</v>
          </cell>
        </row>
        <row r="715">
          <cell r="B715">
            <v>36823</v>
          </cell>
          <cell r="D715">
            <v>43.1875</v>
          </cell>
        </row>
        <row r="716">
          <cell r="B716">
            <v>36824</v>
          </cell>
          <cell r="D716">
            <v>39.625</v>
          </cell>
        </row>
        <row r="717">
          <cell r="B717">
            <v>36825</v>
          </cell>
          <cell r="D717">
            <v>42</v>
          </cell>
        </row>
        <row r="718">
          <cell r="B718">
            <v>36826</v>
          </cell>
          <cell r="D718">
            <v>43.75</v>
          </cell>
        </row>
        <row r="719">
          <cell r="B719">
            <v>36829</v>
          </cell>
          <cell r="D719">
            <v>46.375</v>
          </cell>
        </row>
        <row r="720">
          <cell r="B720">
            <v>36830</v>
          </cell>
          <cell r="D720">
            <v>45.75</v>
          </cell>
        </row>
        <row r="721">
          <cell r="B721">
            <v>36831</v>
          </cell>
          <cell r="D721">
            <v>44</v>
          </cell>
        </row>
        <row r="722">
          <cell r="B722">
            <v>36832</v>
          </cell>
          <cell r="D722">
            <v>43.9375</v>
          </cell>
        </row>
        <row r="723">
          <cell r="B723">
            <v>36833</v>
          </cell>
          <cell r="D723">
            <v>44.3125</v>
          </cell>
        </row>
        <row r="724">
          <cell r="B724">
            <v>36836</v>
          </cell>
          <cell r="D724">
            <v>45.25</v>
          </cell>
        </row>
        <row r="725">
          <cell r="B725">
            <v>36837</v>
          </cell>
          <cell r="D725">
            <v>44.3125</v>
          </cell>
        </row>
        <row r="726">
          <cell r="B726">
            <v>36838</v>
          </cell>
          <cell r="D726">
            <v>45.0625</v>
          </cell>
        </row>
        <row r="727">
          <cell r="B727">
            <v>36839</v>
          </cell>
          <cell r="D727">
            <v>46.25</v>
          </cell>
        </row>
        <row r="728">
          <cell r="B728">
            <v>36840</v>
          </cell>
          <cell r="D728">
            <v>46.875</v>
          </cell>
        </row>
        <row r="729">
          <cell r="B729">
            <v>36843</v>
          </cell>
          <cell r="D729">
            <v>46.5625</v>
          </cell>
        </row>
        <row r="730">
          <cell r="B730">
            <v>36844</v>
          </cell>
          <cell r="D730">
            <v>47.4375</v>
          </cell>
        </row>
        <row r="731">
          <cell r="B731">
            <v>36845</v>
          </cell>
          <cell r="D731">
            <v>46.4375</v>
          </cell>
        </row>
        <row r="732">
          <cell r="B732">
            <v>36846</v>
          </cell>
          <cell r="D732">
            <v>47.5625</v>
          </cell>
        </row>
        <row r="733">
          <cell r="B733">
            <v>36847</v>
          </cell>
          <cell r="D733">
            <v>47.625</v>
          </cell>
        </row>
        <row r="734">
          <cell r="B734">
            <v>36850</v>
          </cell>
          <cell r="D734">
            <v>48.0625</v>
          </cell>
        </row>
        <row r="735">
          <cell r="B735">
            <v>36851</v>
          </cell>
          <cell r="D735">
            <v>49.8125</v>
          </cell>
        </row>
        <row r="736">
          <cell r="B736">
            <v>36852</v>
          </cell>
          <cell r="D736">
            <v>48.875</v>
          </cell>
        </row>
        <row r="737">
          <cell r="B737">
            <v>36854</v>
          </cell>
          <cell r="D737">
            <v>48.9375</v>
          </cell>
        </row>
        <row r="738">
          <cell r="B738">
            <v>36857</v>
          </cell>
          <cell r="D738">
            <v>48.0625</v>
          </cell>
        </row>
        <row r="739">
          <cell r="B739">
            <v>36858</v>
          </cell>
          <cell r="D739">
            <v>48</v>
          </cell>
        </row>
        <row r="740">
          <cell r="B740">
            <v>36859</v>
          </cell>
          <cell r="D740">
            <v>47.375</v>
          </cell>
        </row>
        <row r="741">
          <cell r="B741">
            <v>36860</v>
          </cell>
          <cell r="D741">
            <v>47.4375</v>
          </cell>
        </row>
        <row r="742">
          <cell r="B742">
            <v>36861</v>
          </cell>
          <cell r="D742">
            <v>47.125</v>
          </cell>
        </row>
        <row r="743">
          <cell r="B743">
            <v>36864</v>
          </cell>
          <cell r="D743">
            <v>46.625</v>
          </cell>
        </row>
        <row r="744">
          <cell r="B744">
            <v>36865</v>
          </cell>
          <cell r="D744">
            <v>46.875</v>
          </cell>
        </row>
        <row r="745">
          <cell r="B745">
            <v>36866</v>
          </cell>
          <cell r="D745">
            <v>45.8125</v>
          </cell>
        </row>
        <row r="746">
          <cell r="B746">
            <v>36867</v>
          </cell>
          <cell r="D746">
            <v>48.0625</v>
          </cell>
        </row>
        <row r="747">
          <cell r="B747">
            <v>36868</v>
          </cell>
          <cell r="D747">
            <v>46.1875</v>
          </cell>
        </row>
        <row r="748">
          <cell r="B748">
            <v>36871</v>
          </cell>
          <cell r="D748">
            <v>45.9375</v>
          </cell>
        </row>
        <row r="749">
          <cell r="B749">
            <v>36872</v>
          </cell>
          <cell r="D749">
            <v>46.25</v>
          </cell>
        </row>
        <row r="750">
          <cell r="B750">
            <v>36873</v>
          </cell>
          <cell r="D750">
            <v>47.5</v>
          </cell>
        </row>
        <row r="751">
          <cell r="B751">
            <v>36874</v>
          </cell>
          <cell r="D751">
            <v>47.4375</v>
          </cell>
        </row>
        <row r="752">
          <cell r="B752">
            <v>36875</v>
          </cell>
          <cell r="D752">
            <v>48.875</v>
          </cell>
        </row>
        <row r="753">
          <cell r="B753">
            <v>36878</v>
          </cell>
          <cell r="D753">
            <v>47.4375</v>
          </cell>
        </row>
        <row r="754">
          <cell r="B754">
            <v>36879</v>
          </cell>
          <cell r="D754">
            <v>47</v>
          </cell>
        </row>
        <row r="755">
          <cell r="B755">
            <v>36880</v>
          </cell>
          <cell r="D755">
            <v>45.75</v>
          </cell>
        </row>
        <row r="756">
          <cell r="B756">
            <v>36881</v>
          </cell>
          <cell r="D756">
            <v>43.6875</v>
          </cell>
        </row>
        <row r="757">
          <cell r="B757">
            <v>36882</v>
          </cell>
          <cell r="D757">
            <v>42.375</v>
          </cell>
        </row>
        <row r="758">
          <cell r="B758">
            <v>36886</v>
          </cell>
          <cell r="D758">
            <v>43.375</v>
          </cell>
        </row>
        <row r="759">
          <cell r="B759">
            <v>36887</v>
          </cell>
          <cell r="D759">
            <v>45.125</v>
          </cell>
        </row>
        <row r="760">
          <cell r="B760">
            <v>36888</v>
          </cell>
          <cell r="D760">
            <v>45.3125</v>
          </cell>
        </row>
        <row r="761">
          <cell r="B761">
            <v>36889</v>
          </cell>
          <cell r="D761">
            <v>45.5</v>
          </cell>
        </row>
        <row r="762">
          <cell r="B762">
            <v>36893</v>
          </cell>
          <cell r="D762">
            <v>44.4375</v>
          </cell>
        </row>
        <row r="763">
          <cell r="B763">
            <v>36894</v>
          </cell>
          <cell r="D763">
            <v>41.25</v>
          </cell>
        </row>
        <row r="764">
          <cell r="B764">
            <v>36895</v>
          </cell>
          <cell r="D764">
            <v>38.5</v>
          </cell>
        </row>
        <row r="765">
          <cell r="B765">
            <v>36896</v>
          </cell>
          <cell r="D765">
            <v>41.125</v>
          </cell>
        </row>
        <row r="766">
          <cell r="B766">
            <v>36899</v>
          </cell>
          <cell r="D766">
            <v>40.4375</v>
          </cell>
        </row>
        <row r="767">
          <cell r="B767">
            <v>36900</v>
          </cell>
          <cell r="D767">
            <v>40.25</v>
          </cell>
        </row>
        <row r="768">
          <cell r="B768">
            <v>36901</v>
          </cell>
          <cell r="D768">
            <v>40</v>
          </cell>
        </row>
        <row r="769">
          <cell r="B769">
            <v>36902</v>
          </cell>
          <cell r="D769">
            <v>40.0625</v>
          </cell>
        </row>
        <row r="770">
          <cell r="B770">
            <v>36903</v>
          </cell>
          <cell r="D770">
            <v>40.4375</v>
          </cell>
        </row>
        <row r="771">
          <cell r="B771">
            <v>36907</v>
          </cell>
          <cell r="D771">
            <v>42.3125</v>
          </cell>
        </row>
        <row r="772">
          <cell r="B772">
            <v>36908</v>
          </cell>
          <cell r="D772">
            <v>40</v>
          </cell>
        </row>
        <row r="773">
          <cell r="B773">
            <v>36909</v>
          </cell>
          <cell r="D773">
            <v>40.6875</v>
          </cell>
        </row>
        <row r="774">
          <cell r="B774">
            <v>36910</v>
          </cell>
          <cell r="D774">
            <v>39.9375</v>
          </cell>
        </row>
        <row r="775">
          <cell r="B775">
            <v>36913</v>
          </cell>
          <cell r="D775">
            <v>39.9375</v>
          </cell>
        </row>
        <row r="776">
          <cell r="B776">
            <v>36914</v>
          </cell>
          <cell r="D776">
            <v>40.1875</v>
          </cell>
        </row>
        <row r="777">
          <cell r="B777">
            <v>36915</v>
          </cell>
          <cell r="D777">
            <v>40.375</v>
          </cell>
        </row>
        <row r="778">
          <cell r="B778">
            <v>36916</v>
          </cell>
          <cell r="D778">
            <v>41.3125</v>
          </cell>
        </row>
        <row r="779">
          <cell r="B779">
            <v>36917</v>
          </cell>
          <cell r="D779">
            <v>41.3125</v>
          </cell>
        </row>
        <row r="780">
          <cell r="B780">
            <v>36920</v>
          </cell>
          <cell r="D780">
            <v>42.77</v>
          </cell>
        </row>
        <row r="781">
          <cell r="B781">
            <v>36921</v>
          </cell>
          <cell r="D781">
            <v>42.58</v>
          </cell>
        </row>
        <row r="782">
          <cell r="B782">
            <v>36922</v>
          </cell>
          <cell r="D782">
            <v>43.36</v>
          </cell>
        </row>
        <row r="783">
          <cell r="B783">
            <v>36923</v>
          </cell>
          <cell r="D783">
            <v>43.39</v>
          </cell>
        </row>
        <row r="784">
          <cell r="B784">
            <v>36924</v>
          </cell>
          <cell r="D784">
            <v>42.84</v>
          </cell>
        </row>
        <row r="785">
          <cell r="B785">
            <v>36927</v>
          </cell>
          <cell r="D785">
            <v>40.9</v>
          </cell>
        </row>
        <row r="786">
          <cell r="B786">
            <v>36928</v>
          </cell>
          <cell r="D786">
            <v>40.700000000000003</v>
          </cell>
        </row>
        <row r="787">
          <cell r="B787">
            <v>36929</v>
          </cell>
          <cell r="D787">
            <v>42.05</v>
          </cell>
        </row>
        <row r="788">
          <cell r="B788">
            <v>36930</v>
          </cell>
          <cell r="D788">
            <v>41.54</v>
          </cell>
        </row>
        <row r="789">
          <cell r="B789">
            <v>36931</v>
          </cell>
          <cell r="D789">
            <v>43</v>
          </cell>
        </row>
        <row r="790">
          <cell r="B790">
            <v>36934</v>
          </cell>
          <cell r="D790">
            <v>42.81</v>
          </cell>
        </row>
        <row r="791">
          <cell r="B791">
            <v>36935</v>
          </cell>
          <cell r="D791">
            <v>44.29</v>
          </cell>
        </row>
        <row r="792">
          <cell r="B792">
            <v>36936</v>
          </cell>
          <cell r="D792">
            <v>43</v>
          </cell>
        </row>
        <row r="793">
          <cell r="B793">
            <v>36937</v>
          </cell>
          <cell r="D793">
            <v>43</v>
          </cell>
        </row>
        <row r="794">
          <cell r="B794">
            <v>36938</v>
          </cell>
          <cell r="D794">
            <v>43.74</v>
          </cell>
        </row>
        <row r="795">
          <cell r="B795">
            <v>36942</v>
          </cell>
          <cell r="D795">
            <v>44.9</v>
          </cell>
        </row>
        <row r="796">
          <cell r="B796">
            <v>36943</v>
          </cell>
          <cell r="D796">
            <v>44.54</v>
          </cell>
        </row>
        <row r="797">
          <cell r="B797">
            <v>36944</v>
          </cell>
          <cell r="D797">
            <v>43.43</v>
          </cell>
        </row>
        <row r="798">
          <cell r="B798">
            <v>36945</v>
          </cell>
          <cell r="D798">
            <v>43.02</v>
          </cell>
        </row>
        <row r="799">
          <cell r="B799">
            <v>36948</v>
          </cell>
          <cell r="D799">
            <v>43.24</v>
          </cell>
        </row>
        <row r="800">
          <cell r="B800">
            <v>36949</v>
          </cell>
          <cell r="D800">
            <v>44.45</v>
          </cell>
        </row>
        <row r="801">
          <cell r="B801">
            <v>36950</v>
          </cell>
          <cell r="D801">
            <v>43.7</v>
          </cell>
        </row>
        <row r="802">
          <cell r="B802">
            <v>36951</v>
          </cell>
          <cell r="D802">
            <v>43</v>
          </cell>
        </row>
        <row r="803">
          <cell r="B803">
            <v>36952</v>
          </cell>
          <cell r="D803">
            <v>42.25</v>
          </cell>
        </row>
        <row r="804">
          <cell r="B804">
            <v>36955</v>
          </cell>
          <cell r="D804">
            <v>43.01</v>
          </cell>
        </row>
        <row r="805">
          <cell r="B805">
            <v>36956</v>
          </cell>
          <cell r="D805">
            <v>41.5</v>
          </cell>
        </row>
        <row r="806">
          <cell r="B806">
            <v>36957</v>
          </cell>
          <cell r="D806">
            <v>43</v>
          </cell>
        </row>
        <row r="807">
          <cell r="B807">
            <v>36958</v>
          </cell>
          <cell r="D807">
            <v>44.25</v>
          </cell>
        </row>
        <row r="808">
          <cell r="B808">
            <v>36959</v>
          </cell>
          <cell r="D808">
            <v>44.95</v>
          </cell>
        </row>
        <row r="809">
          <cell r="B809">
            <v>36962</v>
          </cell>
          <cell r="D809">
            <v>44.2</v>
          </cell>
        </row>
        <row r="810">
          <cell r="B810">
            <v>36963</v>
          </cell>
          <cell r="D810">
            <v>43.45</v>
          </cell>
        </row>
        <row r="811">
          <cell r="B811">
            <v>36964</v>
          </cell>
          <cell r="D811">
            <v>43.46</v>
          </cell>
        </row>
        <row r="812">
          <cell r="B812">
            <v>36965</v>
          </cell>
          <cell r="D812">
            <v>44.02</v>
          </cell>
        </row>
        <row r="813">
          <cell r="B813">
            <v>36966</v>
          </cell>
          <cell r="D813">
            <v>44.55</v>
          </cell>
        </row>
        <row r="814">
          <cell r="B814">
            <v>36969</v>
          </cell>
          <cell r="D814">
            <v>43.75</v>
          </cell>
        </row>
        <row r="815">
          <cell r="B815">
            <v>36970</v>
          </cell>
          <cell r="D815">
            <v>43.63</v>
          </cell>
        </row>
        <row r="816">
          <cell r="B816">
            <v>36971</v>
          </cell>
          <cell r="D816">
            <v>44.29</v>
          </cell>
        </row>
        <row r="817">
          <cell r="B817">
            <v>36972</v>
          </cell>
          <cell r="D817">
            <v>42.85</v>
          </cell>
        </row>
        <row r="818">
          <cell r="B818">
            <v>36973</v>
          </cell>
          <cell r="D818">
            <v>44.55</v>
          </cell>
        </row>
        <row r="819">
          <cell r="B819">
            <v>36976</v>
          </cell>
          <cell r="D819">
            <v>44.47</v>
          </cell>
        </row>
        <row r="820">
          <cell r="B820">
            <v>36977</v>
          </cell>
          <cell r="D820">
            <v>45.06</v>
          </cell>
        </row>
        <row r="821">
          <cell r="B821">
            <v>36978</v>
          </cell>
          <cell r="D821">
            <v>46.46</v>
          </cell>
        </row>
        <row r="822">
          <cell r="B822">
            <v>36979</v>
          </cell>
          <cell r="D822">
            <v>45.47</v>
          </cell>
        </row>
        <row r="823">
          <cell r="B823">
            <v>36980</v>
          </cell>
          <cell r="D823">
            <v>45.93</v>
          </cell>
        </row>
        <row r="824">
          <cell r="B824">
            <v>36983</v>
          </cell>
          <cell r="D824">
            <v>46.45</v>
          </cell>
        </row>
        <row r="825">
          <cell r="B825">
            <v>36984</v>
          </cell>
          <cell r="D825">
            <v>45.25</v>
          </cell>
        </row>
        <row r="826">
          <cell r="B826">
            <v>36985</v>
          </cell>
          <cell r="D826">
            <v>44</v>
          </cell>
        </row>
        <row r="827">
          <cell r="B827">
            <v>36986</v>
          </cell>
          <cell r="D827">
            <v>42.88</v>
          </cell>
        </row>
        <row r="828">
          <cell r="B828">
            <v>36987</v>
          </cell>
          <cell r="D828">
            <v>42.22</v>
          </cell>
        </row>
        <row r="829">
          <cell r="B829">
            <v>36990</v>
          </cell>
          <cell r="D829">
            <v>41.74</v>
          </cell>
        </row>
        <row r="830">
          <cell r="B830">
            <v>36991</v>
          </cell>
          <cell r="D830">
            <v>41.7</v>
          </cell>
        </row>
        <row r="831">
          <cell r="B831">
            <v>36992</v>
          </cell>
          <cell r="D831">
            <v>38.880000000000003</v>
          </cell>
        </row>
        <row r="832">
          <cell r="B832">
            <v>36993</v>
          </cell>
          <cell r="D832">
            <v>40.75</v>
          </cell>
        </row>
        <row r="833">
          <cell r="B833">
            <v>36997</v>
          </cell>
          <cell r="D833">
            <v>41.57</v>
          </cell>
        </row>
        <row r="834">
          <cell r="B834">
            <v>36998</v>
          </cell>
          <cell r="D834">
            <v>41.57</v>
          </cell>
        </row>
        <row r="835">
          <cell r="B835">
            <v>36999</v>
          </cell>
          <cell r="D835">
            <v>39.99</v>
          </cell>
        </row>
        <row r="836">
          <cell r="B836">
            <v>37000</v>
          </cell>
          <cell r="D836">
            <v>40.549999999999997</v>
          </cell>
        </row>
        <row r="837">
          <cell r="B837">
            <v>37001</v>
          </cell>
          <cell r="D837">
            <v>40.799999999999997</v>
          </cell>
        </row>
        <row r="838">
          <cell r="B838">
            <v>37004</v>
          </cell>
          <cell r="D838">
            <v>40.46</v>
          </cell>
        </row>
        <row r="839">
          <cell r="B839">
            <v>37005</v>
          </cell>
          <cell r="D839">
            <v>39.770000000000003</v>
          </cell>
        </row>
        <row r="840">
          <cell r="B840">
            <v>37006</v>
          </cell>
          <cell r="D840">
            <v>40.78</v>
          </cell>
        </row>
        <row r="841">
          <cell r="B841">
            <v>37007</v>
          </cell>
          <cell r="D841">
            <v>40</v>
          </cell>
        </row>
        <row r="842">
          <cell r="B842">
            <v>37008</v>
          </cell>
          <cell r="D842">
            <v>40.799999999999997</v>
          </cell>
        </row>
        <row r="843">
          <cell r="B843">
            <v>37011</v>
          </cell>
          <cell r="D843">
            <v>39.99</v>
          </cell>
        </row>
        <row r="844">
          <cell r="B844">
            <v>37012</v>
          </cell>
          <cell r="D844">
            <v>39.950000000000003</v>
          </cell>
        </row>
        <row r="845">
          <cell r="B845">
            <v>37013</v>
          </cell>
          <cell r="D845">
            <v>39.81</v>
          </cell>
        </row>
        <row r="846">
          <cell r="B846">
            <v>37014</v>
          </cell>
          <cell r="D846">
            <v>40.450000000000003</v>
          </cell>
        </row>
        <row r="847">
          <cell r="B847">
            <v>37015</v>
          </cell>
          <cell r="D847">
            <v>40.869999999999997</v>
          </cell>
        </row>
        <row r="848">
          <cell r="B848">
            <v>37018</v>
          </cell>
          <cell r="D848">
            <v>40.79</v>
          </cell>
        </row>
        <row r="849">
          <cell r="B849">
            <v>37019</v>
          </cell>
          <cell r="D849">
            <v>40.65</v>
          </cell>
        </row>
        <row r="850">
          <cell r="B850">
            <v>37020</v>
          </cell>
          <cell r="D850">
            <v>40.97</v>
          </cell>
        </row>
        <row r="851">
          <cell r="B851">
            <v>37021</v>
          </cell>
          <cell r="D851">
            <v>40.799999999999997</v>
          </cell>
        </row>
        <row r="852">
          <cell r="B852">
            <v>37022</v>
          </cell>
          <cell r="D852">
            <v>41.2</v>
          </cell>
        </row>
        <row r="853">
          <cell r="B853">
            <v>37025</v>
          </cell>
          <cell r="D853">
            <v>42</v>
          </cell>
        </row>
        <row r="854">
          <cell r="B854">
            <v>37026</v>
          </cell>
          <cell r="D854">
            <v>42.5</v>
          </cell>
        </row>
        <row r="855">
          <cell r="B855">
            <v>37027</v>
          </cell>
          <cell r="D855">
            <v>44.05</v>
          </cell>
        </row>
        <row r="856">
          <cell r="B856">
            <v>37028</v>
          </cell>
          <cell r="D856">
            <v>43.9</v>
          </cell>
        </row>
        <row r="857">
          <cell r="B857">
            <v>37029</v>
          </cell>
          <cell r="D857">
            <v>43.67</v>
          </cell>
        </row>
        <row r="858">
          <cell r="B858">
            <v>37032</v>
          </cell>
          <cell r="D858">
            <v>43.95</v>
          </cell>
        </row>
        <row r="859">
          <cell r="B859">
            <v>37033</v>
          </cell>
          <cell r="D859">
            <v>43.46</v>
          </cell>
        </row>
        <row r="860">
          <cell r="B860">
            <v>37034</v>
          </cell>
          <cell r="D860">
            <v>43.7</v>
          </cell>
        </row>
        <row r="861">
          <cell r="B861">
            <v>37035</v>
          </cell>
          <cell r="D861">
            <v>43.2</v>
          </cell>
        </row>
        <row r="862">
          <cell r="B862">
            <v>37036</v>
          </cell>
          <cell r="D862">
            <v>43.03</v>
          </cell>
        </row>
        <row r="863">
          <cell r="B863">
            <v>37040</v>
          </cell>
          <cell r="D863">
            <v>43.6</v>
          </cell>
        </row>
        <row r="864">
          <cell r="B864">
            <v>37041</v>
          </cell>
          <cell r="D864">
            <v>43.82</v>
          </cell>
        </row>
        <row r="865">
          <cell r="B865">
            <v>37042</v>
          </cell>
          <cell r="D865">
            <v>44</v>
          </cell>
        </row>
        <row r="866">
          <cell r="B866">
            <v>37043</v>
          </cell>
          <cell r="D866">
            <v>43.74</v>
          </cell>
        </row>
        <row r="867">
          <cell r="B867">
            <v>37046</v>
          </cell>
          <cell r="D867">
            <v>42.95</v>
          </cell>
        </row>
        <row r="868">
          <cell r="B868">
            <v>37047</v>
          </cell>
          <cell r="D868">
            <v>43</v>
          </cell>
        </row>
        <row r="869">
          <cell r="B869">
            <v>37048</v>
          </cell>
          <cell r="D869">
            <v>42.55</v>
          </cell>
        </row>
        <row r="870">
          <cell r="B870">
            <v>37049</v>
          </cell>
          <cell r="D870">
            <v>43.25</v>
          </cell>
        </row>
        <row r="871">
          <cell r="B871">
            <v>37050</v>
          </cell>
          <cell r="D871">
            <v>42.89</v>
          </cell>
        </row>
        <row r="872">
          <cell r="B872">
            <v>37053</v>
          </cell>
          <cell r="D872">
            <v>41.96</v>
          </cell>
        </row>
        <row r="873">
          <cell r="B873">
            <v>37054</v>
          </cell>
          <cell r="D873">
            <v>42.54</v>
          </cell>
        </row>
        <row r="874">
          <cell r="B874">
            <v>37055</v>
          </cell>
          <cell r="D874">
            <v>41.99</v>
          </cell>
        </row>
        <row r="875">
          <cell r="B875">
            <v>37056</v>
          </cell>
          <cell r="D875">
            <v>42.35</v>
          </cell>
        </row>
        <row r="876">
          <cell r="B876">
            <v>37057</v>
          </cell>
          <cell r="D876">
            <v>41.7</v>
          </cell>
        </row>
        <row r="877">
          <cell r="B877">
            <v>37060</v>
          </cell>
          <cell r="D877">
            <v>41.51</v>
          </cell>
        </row>
        <row r="878">
          <cell r="B878">
            <v>37061</v>
          </cell>
          <cell r="D878">
            <v>41.36</v>
          </cell>
        </row>
        <row r="879">
          <cell r="B879">
            <v>37062</v>
          </cell>
          <cell r="D879">
            <v>41.65</v>
          </cell>
        </row>
        <row r="880">
          <cell r="B880">
            <v>37063</v>
          </cell>
          <cell r="D880">
            <v>42.36</v>
          </cell>
        </row>
        <row r="881">
          <cell r="B881">
            <v>37064</v>
          </cell>
          <cell r="D881">
            <v>42.7</v>
          </cell>
        </row>
        <row r="882">
          <cell r="B882">
            <v>37067</v>
          </cell>
          <cell r="D882">
            <v>42.92</v>
          </cell>
        </row>
        <row r="883">
          <cell r="B883">
            <v>37068</v>
          </cell>
          <cell r="D883">
            <v>42.93</v>
          </cell>
        </row>
        <row r="884">
          <cell r="B884">
            <v>37069</v>
          </cell>
          <cell r="D884">
            <v>41.95</v>
          </cell>
        </row>
        <row r="885">
          <cell r="B885">
            <v>37070</v>
          </cell>
          <cell r="D885">
            <v>42.75</v>
          </cell>
        </row>
        <row r="886">
          <cell r="B886">
            <v>37071</v>
          </cell>
          <cell r="D886">
            <v>41.2</v>
          </cell>
        </row>
        <row r="887">
          <cell r="B887">
            <v>37074</v>
          </cell>
          <cell r="D887">
            <v>43.25</v>
          </cell>
        </row>
        <row r="888">
          <cell r="B888">
            <v>37075</v>
          </cell>
          <cell r="D888">
            <v>42.4</v>
          </cell>
        </row>
        <row r="889">
          <cell r="B889">
            <v>37077</v>
          </cell>
          <cell r="D889">
            <v>41.62</v>
          </cell>
        </row>
        <row r="890">
          <cell r="B890">
            <v>37078</v>
          </cell>
          <cell r="D890">
            <v>41.87</v>
          </cell>
        </row>
        <row r="891">
          <cell r="B891">
            <v>37081</v>
          </cell>
          <cell r="D891">
            <v>42</v>
          </cell>
        </row>
        <row r="892">
          <cell r="B892">
            <v>37082</v>
          </cell>
          <cell r="D892">
            <v>41.7</v>
          </cell>
        </row>
        <row r="893">
          <cell r="B893">
            <v>37083</v>
          </cell>
          <cell r="D893">
            <v>43.03</v>
          </cell>
        </row>
        <row r="894">
          <cell r="B894">
            <v>37084</v>
          </cell>
          <cell r="D894">
            <v>42.65</v>
          </cell>
        </row>
        <row r="895">
          <cell r="B895">
            <v>37085</v>
          </cell>
          <cell r="D895">
            <v>43.34</v>
          </cell>
        </row>
        <row r="896">
          <cell r="B896">
            <v>37088</v>
          </cell>
          <cell r="D896">
            <v>43.05</v>
          </cell>
        </row>
        <row r="897">
          <cell r="B897">
            <v>37089</v>
          </cell>
          <cell r="D897">
            <v>43.34</v>
          </cell>
        </row>
        <row r="898">
          <cell r="B898">
            <v>37090</v>
          </cell>
          <cell r="D898">
            <v>44.49</v>
          </cell>
        </row>
        <row r="899">
          <cell r="B899">
            <v>37091</v>
          </cell>
          <cell r="D899">
            <v>44.34</v>
          </cell>
        </row>
        <row r="900">
          <cell r="B900">
            <v>37092</v>
          </cell>
          <cell r="D900">
            <v>43.73</v>
          </cell>
        </row>
        <row r="901">
          <cell r="B901">
            <v>37095</v>
          </cell>
          <cell r="D901">
            <v>43.13</v>
          </cell>
        </row>
        <row r="902">
          <cell r="B902">
            <v>37096</v>
          </cell>
          <cell r="D902">
            <v>43.04</v>
          </cell>
        </row>
        <row r="903">
          <cell r="B903">
            <v>37097</v>
          </cell>
          <cell r="D903">
            <v>43.2</v>
          </cell>
        </row>
        <row r="904">
          <cell r="B904">
            <v>37098</v>
          </cell>
          <cell r="D904">
            <v>43.43</v>
          </cell>
        </row>
        <row r="905">
          <cell r="B905">
            <v>37099</v>
          </cell>
          <cell r="D905">
            <v>43</v>
          </cell>
        </row>
        <row r="906">
          <cell r="B906">
            <v>37102</v>
          </cell>
          <cell r="D906">
            <v>42.7</v>
          </cell>
        </row>
        <row r="907">
          <cell r="B907">
            <v>37103</v>
          </cell>
          <cell r="D907">
            <v>43.31</v>
          </cell>
        </row>
        <row r="908">
          <cell r="B908">
            <v>37104</v>
          </cell>
          <cell r="D908">
            <v>43.63</v>
          </cell>
        </row>
        <row r="909">
          <cell r="B909">
            <v>37105</v>
          </cell>
          <cell r="D909">
            <v>44.05</v>
          </cell>
        </row>
        <row r="910">
          <cell r="B910">
            <v>37106</v>
          </cell>
          <cell r="D910">
            <v>43.37</v>
          </cell>
        </row>
        <row r="911">
          <cell r="B911">
            <v>37109</v>
          </cell>
          <cell r="D911">
            <v>42.96</v>
          </cell>
        </row>
        <row r="912">
          <cell r="B912">
            <v>37110</v>
          </cell>
          <cell r="D912">
            <v>42.3</v>
          </cell>
        </row>
        <row r="913">
          <cell r="B913">
            <v>37111</v>
          </cell>
          <cell r="D913">
            <v>42.3</v>
          </cell>
        </row>
        <row r="914">
          <cell r="B914">
            <v>37112</v>
          </cell>
          <cell r="D914">
            <v>41.9</v>
          </cell>
        </row>
        <row r="915">
          <cell r="B915">
            <v>37113</v>
          </cell>
          <cell r="D915">
            <v>42.05</v>
          </cell>
        </row>
        <row r="916">
          <cell r="B916">
            <v>37116</v>
          </cell>
          <cell r="D916">
            <v>42.57</v>
          </cell>
        </row>
        <row r="917">
          <cell r="B917">
            <v>37117</v>
          </cell>
          <cell r="D917">
            <v>41.95</v>
          </cell>
        </row>
        <row r="918">
          <cell r="B918">
            <v>37118</v>
          </cell>
          <cell r="D918">
            <v>42.65</v>
          </cell>
        </row>
        <row r="919">
          <cell r="B919">
            <v>37119</v>
          </cell>
          <cell r="D919">
            <v>43.13</v>
          </cell>
        </row>
        <row r="920">
          <cell r="B920">
            <v>37120</v>
          </cell>
          <cell r="D920">
            <v>43</v>
          </cell>
        </row>
        <row r="921">
          <cell r="B921">
            <v>37123</v>
          </cell>
          <cell r="D921">
            <v>43.6</v>
          </cell>
        </row>
        <row r="922">
          <cell r="B922">
            <v>37124</v>
          </cell>
          <cell r="D922">
            <v>43.05</v>
          </cell>
        </row>
        <row r="923">
          <cell r="B923">
            <v>37125</v>
          </cell>
          <cell r="D923">
            <v>43.26</v>
          </cell>
        </row>
        <row r="924">
          <cell r="B924">
            <v>37126</v>
          </cell>
          <cell r="D924">
            <v>43.35</v>
          </cell>
        </row>
        <row r="925">
          <cell r="B925">
            <v>37127</v>
          </cell>
          <cell r="D925">
            <v>43.83</v>
          </cell>
        </row>
        <row r="926">
          <cell r="B926">
            <v>37130</v>
          </cell>
          <cell r="D926">
            <v>43.8</v>
          </cell>
        </row>
        <row r="927">
          <cell r="B927">
            <v>37131</v>
          </cell>
          <cell r="D927">
            <v>43.86</v>
          </cell>
        </row>
        <row r="928">
          <cell r="B928">
            <v>37132</v>
          </cell>
          <cell r="D928">
            <v>43.65</v>
          </cell>
        </row>
        <row r="929">
          <cell r="B929">
            <v>37133</v>
          </cell>
          <cell r="D929">
            <v>43.87</v>
          </cell>
        </row>
        <row r="930">
          <cell r="B930">
            <v>37134</v>
          </cell>
          <cell r="D930">
            <v>43.04</v>
          </cell>
        </row>
        <row r="931">
          <cell r="B931">
            <v>37138</v>
          </cell>
          <cell r="D931">
            <v>43.65</v>
          </cell>
        </row>
        <row r="932">
          <cell r="B932">
            <v>37139</v>
          </cell>
          <cell r="D932">
            <v>44.18</v>
          </cell>
        </row>
        <row r="933">
          <cell r="B933">
            <v>37140</v>
          </cell>
          <cell r="D933">
            <v>43.3</v>
          </cell>
        </row>
        <row r="934">
          <cell r="B934">
            <v>37141</v>
          </cell>
          <cell r="D934">
            <v>43.9</v>
          </cell>
        </row>
        <row r="935">
          <cell r="B935">
            <v>37144</v>
          </cell>
          <cell r="D935">
            <v>43.95</v>
          </cell>
        </row>
        <row r="936">
          <cell r="B936">
            <v>37151</v>
          </cell>
          <cell r="D936">
            <v>44.06</v>
          </cell>
        </row>
        <row r="937">
          <cell r="B937">
            <v>37152</v>
          </cell>
          <cell r="D937">
            <v>43.43</v>
          </cell>
        </row>
        <row r="938">
          <cell r="B938">
            <v>37153</v>
          </cell>
          <cell r="D938">
            <v>41.58</v>
          </cell>
        </row>
        <row r="939">
          <cell r="B939">
            <v>37154</v>
          </cell>
          <cell r="D939">
            <v>41.46</v>
          </cell>
        </row>
        <row r="940">
          <cell r="B940">
            <v>37155</v>
          </cell>
          <cell r="D940">
            <v>40.4</v>
          </cell>
        </row>
        <row r="941">
          <cell r="B941">
            <v>37158</v>
          </cell>
          <cell r="D941">
            <v>39.75</v>
          </cell>
        </row>
        <row r="942">
          <cell r="B942">
            <v>37159</v>
          </cell>
          <cell r="D942">
            <v>41.15</v>
          </cell>
        </row>
        <row r="943">
          <cell r="B943">
            <v>37160</v>
          </cell>
          <cell r="D943">
            <v>41.04</v>
          </cell>
        </row>
        <row r="944">
          <cell r="B944">
            <v>37161</v>
          </cell>
          <cell r="D944">
            <v>41.43</v>
          </cell>
        </row>
        <row r="945">
          <cell r="B945">
            <v>37162</v>
          </cell>
          <cell r="D945">
            <v>41.88</v>
          </cell>
        </row>
        <row r="946">
          <cell r="B946">
            <v>37165</v>
          </cell>
          <cell r="D946">
            <v>41.85</v>
          </cell>
        </row>
        <row r="947">
          <cell r="B947">
            <v>37166</v>
          </cell>
          <cell r="D947">
            <v>41.8</v>
          </cell>
        </row>
        <row r="948">
          <cell r="B948">
            <v>37167</v>
          </cell>
          <cell r="D948">
            <v>41.25</v>
          </cell>
        </row>
        <row r="949">
          <cell r="B949">
            <v>37168</v>
          </cell>
          <cell r="D949">
            <v>40.5</v>
          </cell>
        </row>
        <row r="950">
          <cell r="B950">
            <v>37169</v>
          </cell>
          <cell r="D950">
            <v>41.1</v>
          </cell>
        </row>
        <row r="951">
          <cell r="B951">
            <v>37172</v>
          </cell>
          <cell r="D951">
            <v>39.700000000000003</v>
          </cell>
        </row>
        <row r="952">
          <cell r="B952">
            <v>37173</v>
          </cell>
          <cell r="D952">
            <v>40.19</v>
          </cell>
        </row>
        <row r="953">
          <cell r="B953">
            <v>37174</v>
          </cell>
          <cell r="D953">
            <v>40.520000000000003</v>
          </cell>
        </row>
        <row r="954">
          <cell r="B954">
            <v>37175</v>
          </cell>
          <cell r="D954">
            <v>40.06</v>
          </cell>
        </row>
        <row r="955">
          <cell r="B955">
            <v>37176</v>
          </cell>
          <cell r="D955">
            <v>40.6</v>
          </cell>
        </row>
        <row r="956">
          <cell r="B956">
            <v>37179</v>
          </cell>
          <cell r="D956">
            <v>41.07</v>
          </cell>
        </row>
        <row r="957">
          <cell r="B957">
            <v>37180</v>
          </cell>
          <cell r="D957">
            <v>40.4</v>
          </cell>
        </row>
        <row r="958">
          <cell r="B958">
            <v>37181</v>
          </cell>
          <cell r="D958">
            <v>41</v>
          </cell>
        </row>
        <row r="959">
          <cell r="B959">
            <v>37182</v>
          </cell>
          <cell r="D959">
            <v>41.91</v>
          </cell>
        </row>
        <row r="960">
          <cell r="B960">
            <v>37183</v>
          </cell>
          <cell r="D960">
            <v>41.9</v>
          </cell>
        </row>
        <row r="961">
          <cell r="B961">
            <v>37186</v>
          </cell>
          <cell r="D961">
            <v>42.15</v>
          </cell>
        </row>
        <row r="962">
          <cell r="B962">
            <v>37187</v>
          </cell>
          <cell r="D962">
            <v>42.45</v>
          </cell>
        </row>
        <row r="963">
          <cell r="B963">
            <v>37188</v>
          </cell>
          <cell r="D963">
            <v>41.8</v>
          </cell>
        </row>
        <row r="964">
          <cell r="B964">
            <v>37189</v>
          </cell>
          <cell r="D964">
            <v>42.4</v>
          </cell>
        </row>
        <row r="965">
          <cell r="B965">
            <v>37190</v>
          </cell>
          <cell r="D965">
            <v>42.29</v>
          </cell>
        </row>
        <row r="966">
          <cell r="B966">
            <v>37193</v>
          </cell>
          <cell r="D966">
            <v>42.4</v>
          </cell>
        </row>
        <row r="967">
          <cell r="B967">
            <v>37194</v>
          </cell>
          <cell r="D967">
            <v>41.77</v>
          </cell>
        </row>
        <row r="968">
          <cell r="B968">
            <v>37195</v>
          </cell>
          <cell r="D968">
            <v>41.66</v>
          </cell>
        </row>
        <row r="969">
          <cell r="B969">
            <v>37196</v>
          </cell>
          <cell r="D969">
            <v>42.49</v>
          </cell>
        </row>
        <row r="970">
          <cell r="B970">
            <v>37197</v>
          </cell>
          <cell r="D970">
            <v>42.9</v>
          </cell>
        </row>
        <row r="971">
          <cell r="B971">
            <v>37200</v>
          </cell>
          <cell r="D971">
            <v>42.97</v>
          </cell>
        </row>
        <row r="972">
          <cell r="B972">
            <v>37201</v>
          </cell>
          <cell r="D972">
            <v>42.75</v>
          </cell>
        </row>
        <row r="973">
          <cell r="B973">
            <v>37202</v>
          </cell>
          <cell r="D973">
            <v>42.1</v>
          </cell>
        </row>
        <row r="974">
          <cell r="B974">
            <v>37203</v>
          </cell>
          <cell r="D974">
            <v>42.27</v>
          </cell>
        </row>
        <row r="975">
          <cell r="B975">
            <v>37204</v>
          </cell>
          <cell r="D975">
            <v>42.69</v>
          </cell>
        </row>
        <row r="976">
          <cell r="B976">
            <v>37207</v>
          </cell>
          <cell r="D976">
            <v>43.05</v>
          </cell>
        </row>
        <row r="977">
          <cell r="B977">
            <v>37208</v>
          </cell>
          <cell r="D977">
            <v>43.4</v>
          </cell>
        </row>
        <row r="978">
          <cell r="B978">
            <v>37209</v>
          </cell>
          <cell r="D978">
            <v>43.1</v>
          </cell>
        </row>
        <row r="979">
          <cell r="B979">
            <v>37210</v>
          </cell>
          <cell r="D979">
            <v>43.7</v>
          </cell>
        </row>
        <row r="980">
          <cell r="B980">
            <v>37211</v>
          </cell>
          <cell r="D980">
            <v>43.64</v>
          </cell>
        </row>
        <row r="981">
          <cell r="B981">
            <v>37214</v>
          </cell>
          <cell r="D981">
            <v>43.28</v>
          </cell>
        </row>
        <row r="982">
          <cell r="B982">
            <v>37215</v>
          </cell>
          <cell r="D982">
            <v>43.12</v>
          </cell>
        </row>
        <row r="983">
          <cell r="B983">
            <v>37216</v>
          </cell>
          <cell r="D983">
            <v>43.02</v>
          </cell>
        </row>
        <row r="984">
          <cell r="B984">
            <v>37218</v>
          </cell>
          <cell r="D984">
            <v>43.48</v>
          </cell>
        </row>
        <row r="985">
          <cell r="B985">
            <v>37221</v>
          </cell>
          <cell r="D985">
            <v>43.2</v>
          </cell>
        </row>
        <row r="986">
          <cell r="B986">
            <v>37222</v>
          </cell>
          <cell r="D986">
            <v>42.85</v>
          </cell>
        </row>
        <row r="987">
          <cell r="B987">
            <v>37223</v>
          </cell>
          <cell r="D987">
            <v>42.8</v>
          </cell>
        </row>
        <row r="988">
          <cell r="B988">
            <v>37224</v>
          </cell>
          <cell r="D988">
            <v>43.23</v>
          </cell>
        </row>
        <row r="989">
          <cell r="B989">
            <v>37225</v>
          </cell>
          <cell r="D989">
            <v>43.1</v>
          </cell>
        </row>
        <row r="990">
          <cell r="B990">
            <v>37228</v>
          </cell>
          <cell r="D990">
            <v>42.8</v>
          </cell>
        </row>
        <row r="991">
          <cell r="B991">
            <v>37229</v>
          </cell>
          <cell r="D991">
            <v>42.75</v>
          </cell>
        </row>
        <row r="992">
          <cell r="B992">
            <v>37230</v>
          </cell>
          <cell r="D992">
            <v>42.35</v>
          </cell>
        </row>
        <row r="993">
          <cell r="B993">
            <v>37231</v>
          </cell>
          <cell r="D993">
            <v>42.75</v>
          </cell>
        </row>
        <row r="994">
          <cell r="B994">
            <v>37232</v>
          </cell>
          <cell r="D994">
            <v>42.69</v>
          </cell>
        </row>
        <row r="995">
          <cell r="B995">
            <v>37235</v>
          </cell>
          <cell r="D995">
            <v>42.95</v>
          </cell>
        </row>
        <row r="996">
          <cell r="B996">
            <v>37236</v>
          </cell>
          <cell r="D996">
            <v>42.7</v>
          </cell>
        </row>
        <row r="997">
          <cell r="B997">
            <v>37237</v>
          </cell>
          <cell r="D997">
            <v>43.05</v>
          </cell>
        </row>
        <row r="998">
          <cell r="B998">
            <v>37238</v>
          </cell>
          <cell r="D998">
            <v>43.15</v>
          </cell>
        </row>
        <row r="999">
          <cell r="B999">
            <v>37239</v>
          </cell>
          <cell r="D999">
            <v>42.92</v>
          </cell>
        </row>
        <row r="1000">
          <cell r="B1000">
            <v>37242</v>
          </cell>
          <cell r="D1000">
            <v>42.91</v>
          </cell>
        </row>
        <row r="1001">
          <cell r="B1001">
            <v>37243</v>
          </cell>
          <cell r="D1001">
            <v>43.45</v>
          </cell>
        </row>
        <row r="1002">
          <cell r="B1002">
            <v>37244</v>
          </cell>
          <cell r="D1002">
            <v>43.78</v>
          </cell>
        </row>
        <row r="1003">
          <cell r="B1003">
            <v>37245</v>
          </cell>
          <cell r="D1003">
            <v>44.9</v>
          </cell>
        </row>
        <row r="1004">
          <cell r="B1004">
            <v>37246</v>
          </cell>
          <cell r="D1004">
            <v>46.51</v>
          </cell>
        </row>
        <row r="1005">
          <cell r="B1005">
            <v>37249</v>
          </cell>
          <cell r="D1005">
            <v>46.08</v>
          </cell>
        </row>
        <row r="1006">
          <cell r="B1006">
            <v>37251</v>
          </cell>
          <cell r="D1006">
            <v>45.9</v>
          </cell>
        </row>
        <row r="1007">
          <cell r="B1007">
            <v>37252</v>
          </cell>
          <cell r="D1007">
            <v>45.46</v>
          </cell>
        </row>
        <row r="1008">
          <cell r="B1008">
            <v>37253</v>
          </cell>
          <cell r="D1008">
            <v>45.22</v>
          </cell>
        </row>
        <row r="1009">
          <cell r="B1009">
            <v>37256</v>
          </cell>
          <cell r="D1009">
            <v>45.21</v>
          </cell>
        </row>
        <row r="1010">
          <cell r="B1010">
            <v>37258</v>
          </cell>
          <cell r="D1010">
            <v>45.6</v>
          </cell>
        </row>
        <row r="1011">
          <cell r="B1011">
            <v>37259</v>
          </cell>
          <cell r="D1011">
            <v>45.72</v>
          </cell>
        </row>
        <row r="1012">
          <cell r="B1012">
            <v>37260</v>
          </cell>
          <cell r="D1012">
            <v>46.26</v>
          </cell>
        </row>
        <row r="1013">
          <cell r="B1013">
            <v>37263</v>
          </cell>
          <cell r="D1013">
            <v>46</v>
          </cell>
        </row>
        <row r="1014">
          <cell r="B1014">
            <v>37264</v>
          </cell>
          <cell r="D1014">
            <v>45.9</v>
          </cell>
        </row>
        <row r="1015">
          <cell r="B1015">
            <v>37265</v>
          </cell>
          <cell r="D1015">
            <v>45.55</v>
          </cell>
        </row>
        <row r="1016">
          <cell r="B1016">
            <v>37266</v>
          </cell>
          <cell r="D1016">
            <v>45.52</v>
          </cell>
        </row>
        <row r="1017">
          <cell r="B1017">
            <v>37267</v>
          </cell>
          <cell r="D1017">
            <v>45.82</v>
          </cell>
        </row>
        <row r="1018">
          <cell r="B1018">
            <v>37270</v>
          </cell>
          <cell r="D1018">
            <v>46.64</v>
          </cell>
        </row>
        <row r="1019">
          <cell r="B1019">
            <v>37271</v>
          </cell>
          <cell r="D1019">
            <v>46.17</v>
          </cell>
        </row>
        <row r="1020">
          <cell r="B1020">
            <v>37272</v>
          </cell>
          <cell r="D1020">
            <v>45.97</v>
          </cell>
        </row>
        <row r="1021">
          <cell r="B1021">
            <v>37273</v>
          </cell>
          <cell r="D1021">
            <v>46.25</v>
          </cell>
        </row>
        <row r="1022">
          <cell r="B1022">
            <v>37274</v>
          </cell>
          <cell r="D1022">
            <v>46.39</v>
          </cell>
        </row>
        <row r="1023">
          <cell r="B1023">
            <v>37278</v>
          </cell>
          <cell r="D1023">
            <v>46.15</v>
          </cell>
        </row>
        <row r="1024">
          <cell r="B1024">
            <v>37279</v>
          </cell>
          <cell r="D1024">
            <v>45.96</v>
          </cell>
        </row>
        <row r="1025">
          <cell r="B1025">
            <v>37280</v>
          </cell>
          <cell r="D1025">
            <v>45.24</v>
          </cell>
        </row>
        <row r="1026">
          <cell r="B1026">
            <v>37281</v>
          </cell>
          <cell r="D1026">
            <v>46.03</v>
          </cell>
        </row>
        <row r="1027">
          <cell r="B1027">
            <v>37284</v>
          </cell>
          <cell r="D1027">
            <v>46.18</v>
          </cell>
        </row>
        <row r="1028">
          <cell r="B1028">
            <v>37285</v>
          </cell>
          <cell r="D1028">
            <v>46.07</v>
          </cell>
        </row>
        <row r="1029">
          <cell r="B1029">
            <v>37286</v>
          </cell>
          <cell r="D1029">
            <v>46.6</v>
          </cell>
        </row>
        <row r="1030">
          <cell r="B1030">
            <v>37287</v>
          </cell>
          <cell r="D1030">
            <v>47.27</v>
          </cell>
        </row>
        <row r="1031">
          <cell r="B1031">
            <v>37288</v>
          </cell>
          <cell r="D1031">
            <v>47.7</v>
          </cell>
        </row>
        <row r="1032">
          <cell r="B1032">
            <v>37291</v>
          </cell>
          <cell r="D1032">
            <v>47.8</v>
          </cell>
        </row>
        <row r="1033">
          <cell r="B1033">
            <v>37292</v>
          </cell>
          <cell r="D1033">
            <v>48.25</v>
          </cell>
        </row>
        <row r="1034">
          <cell r="B1034">
            <v>37293</v>
          </cell>
          <cell r="D1034">
            <v>48.2</v>
          </cell>
        </row>
        <row r="1035">
          <cell r="B1035">
            <v>37294</v>
          </cell>
          <cell r="D1035">
            <v>48.59</v>
          </cell>
        </row>
        <row r="1036">
          <cell r="B1036">
            <v>37295</v>
          </cell>
          <cell r="D1036">
            <v>47.97</v>
          </cell>
        </row>
        <row r="1037">
          <cell r="B1037">
            <v>37298</v>
          </cell>
          <cell r="D1037">
            <v>48.14</v>
          </cell>
        </row>
        <row r="1038">
          <cell r="B1038">
            <v>37299</v>
          </cell>
          <cell r="D1038">
            <v>48.21</v>
          </cell>
        </row>
        <row r="1039">
          <cell r="B1039">
            <v>37300</v>
          </cell>
          <cell r="D1039">
            <v>48.1</v>
          </cell>
        </row>
        <row r="1040">
          <cell r="B1040">
            <v>37301</v>
          </cell>
          <cell r="D1040">
            <v>47.58</v>
          </cell>
        </row>
        <row r="1041">
          <cell r="B1041">
            <v>37302</v>
          </cell>
          <cell r="D1041">
            <v>48.28</v>
          </cell>
        </row>
        <row r="1042">
          <cell r="B1042">
            <v>37306</v>
          </cell>
          <cell r="D1042">
            <v>48</v>
          </cell>
        </row>
        <row r="1043">
          <cell r="B1043">
            <v>37307</v>
          </cell>
          <cell r="D1043">
            <v>48.26</v>
          </cell>
        </row>
        <row r="1044">
          <cell r="B1044">
            <v>37308</v>
          </cell>
          <cell r="D1044">
            <v>48.56</v>
          </cell>
        </row>
        <row r="1045">
          <cell r="B1045">
            <v>37309</v>
          </cell>
          <cell r="D1045">
            <v>50.01</v>
          </cell>
        </row>
        <row r="1046">
          <cell r="B1046">
            <v>37312</v>
          </cell>
          <cell r="D1046">
            <v>50</v>
          </cell>
        </row>
        <row r="1047">
          <cell r="B1047">
            <v>37313</v>
          </cell>
          <cell r="D1047">
            <v>49.88</v>
          </cell>
        </row>
        <row r="1048">
          <cell r="B1048">
            <v>37314</v>
          </cell>
          <cell r="D1048">
            <v>50.17</v>
          </cell>
        </row>
        <row r="1049">
          <cell r="B1049">
            <v>37315</v>
          </cell>
          <cell r="D1049">
            <v>50.85</v>
          </cell>
        </row>
        <row r="1050">
          <cell r="B1050">
            <v>37316</v>
          </cell>
          <cell r="D1050">
            <v>50.79</v>
          </cell>
        </row>
        <row r="1051">
          <cell r="B1051">
            <v>37319</v>
          </cell>
          <cell r="D1051">
            <v>49.9</v>
          </cell>
        </row>
        <row r="1052">
          <cell r="B1052">
            <v>37320</v>
          </cell>
          <cell r="D1052">
            <v>49.46</v>
          </cell>
        </row>
        <row r="1053">
          <cell r="B1053">
            <v>37321</v>
          </cell>
          <cell r="D1053">
            <v>49.9</v>
          </cell>
        </row>
        <row r="1054">
          <cell r="B1054">
            <v>37322</v>
          </cell>
          <cell r="D1054">
            <v>49.28</v>
          </cell>
        </row>
        <row r="1055">
          <cell r="B1055">
            <v>37323</v>
          </cell>
          <cell r="D1055">
            <v>49.77</v>
          </cell>
        </row>
        <row r="1056">
          <cell r="B1056">
            <v>37326</v>
          </cell>
          <cell r="D1056">
            <v>49.68</v>
          </cell>
        </row>
        <row r="1057">
          <cell r="B1057">
            <v>37327</v>
          </cell>
          <cell r="D1057">
            <v>50.38</v>
          </cell>
        </row>
        <row r="1058">
          <cell r="B1058">
            <v>37328</v>
          </cell>
          <cell r="D1058">
            <v>50.04</v>
          </cell>
        </row>
        <row r="1059">
          <cell r="B1059">
            <v>37329</v>
          </cell>
          <cell r="D1059">
            <v>50.16</v>
          </cell>
        </row>
        <row r="1060">
          <cell r="B1060">
            <v>37330</v>
          </cell>
          <cell r="D1060">
            <v>50.6</v>
          </cell>
        </row>
        <row r="1061">
          <cell r="B1061">
            <v>37333</v>
          </cell>
          <cell r="D1061">
            <v>50.86</v>
          </cell>
        </row>
        <row r="1062">
          <cell r="B1062">
            <v>37334</v>
          </cell>
          <cell r="D1062">
            <v>51.3</v>
          </cell>
        </row>
        <row r="1063">
          <cell r="B1063">
            <v>37335</v>
          </cell>
          <cell r="D1063">
            <v>51.7</v>
          </cell>
        </row>
        <row r="1064">
          <cell r="B1064">
            <v>37336</v>
          </cell>
          <cell r="D1064">
            <v>51.3</v>
          </cell>
        </row>
        <row r="1065">
          <cell r="B1065">
            <v>37337</v>
          </cell>
          <cell r="D1065">
            <v>51.97</v>
          </cell>
        </row>
        <row r="1066">
          <cell r="B1066">
            <v>37340</v>
          </cell>
          <cell r="D1066">
            <v>52.04</v>
          </cell>
        </row>
        <row r="1067">
          <cell r="B1067">
            <v>37341</v>
          </cell>
          <cell r="D1067">
            <v>52.08</v>
          </cell>
        </row>
        <row r="1068">
          <cell r="B1068">
            <v>37342</v>
          </cell>
          <cell r="D1068">
            <v>52.73</v>
          </cell>
        </row>
        <row r="1069">
          <cell r="B1069">
            <v>37343</v>
          </cell>
          <cell r="D1069">
            <v>52.2</v>
          </cell>
        </row>
        <row r="1070">
          <cell r="B1070">
            <v>37347</v>
          </cell>
          <cell r="D1070">
            <v>52.14</v>
          </cell>
        </row>
        <row r="1071">
          <cell r="B1071">
            <v>37348</v>
          </cell>
          <cell r="D1071">
            <v>52.15</v>
          </cell>
        </row>
        <row r="1072">
          <cell r="B1072">
            <v>37349</v>
          </cell>
          <cell r="D1072">
            <v>51.44</v>
          </cell>
        </row>
        <row r="1073">
          <cell r="B1073">
            <v>37350</v>
          </cell>
          <cell r="D1073">
            <v>52.37</v>
          </cell>
        </row>
        <row r="1074">
          <cell r="B1074">
            <v>37351</v>
          </cell>
          <cell r="D1074">
            <v>52.17</v>
          </cell>
        </row>
        <row r="1075">
          <cell r="B1075">
            <v>37354</v>
          </cell>
          <cell r="D1075">
            <v>51.84</v>
          </cell>
        </row>
        <row r="1076">
          <cell r="B1076">
            <v>37355</v>
          </cell>
          <cell r="D1076">
            <v>51.88</v>
          </cell>
        </row>
        <row r="1077">
          <cell r="B1077">
            <v>37356</v>
          </cell>
          <cell r="D1077">
            <v>52.77</v>
          </cell>
        </row>
        <row r="1078">
          <cell r="B1078">
            <v>37357</v>
          </cell>
          <cell r="D1078">
            <v>52.42</v>
          </cell>
        </row>
        <row r="1079">
          <cell r="B1079">
            <v>37358</v>
          </cell>
          <cell r="D1079">
            <v>52.49</v>
          </cell>
        </row>
        <row r="1080">
          <cell r="B1080">
            <v>37361</v>
          </cell>
          <cell r="D1080">
            <v>51.7</v>
          </cell>
        </row>
        <row r="1081">
          <cell r="B1081">
            <v>37362</v>
          </cell>
          <cell r="D1081">
            <v>51.76</v>
          </cell>
        </row>
        <row r="1082">
          <cell r="B1082">
            <v>37363</v>
          </cell>
          <cell r="D1082">
            <v>51.55</v>
          </cell>
        </row>
        <row r="1083">
          <cell r="B1083">
            <v>37364</v>
          </cell>
          <cell r="D1083">
            <v>51.58</v>
          </cell>
        </row>
        <row r="1084">
          <cell r="B1084">
            <v>37365</v>
          </cell>
          <cell r="D1084">
            <v>52.2</v>
          </cell>
        </row>
        <row r="1085">
          <cell r="B1085">
            <v>37368</v>
          </cell>
          <cell r="D1085">
            <v>52.63</v>
          </cell>
        </row>
        <row r="1086">
          <cell r="B1086">
            <v>37369</v>
          </cell>
          <cell r="D1086">
            <v>53.02</v>
          </cell>
        </row>
        <row r="1087">
          <cell r="B1087">
            <v>37370</v>
          </cell>
          <cell r="D1087">
            <v>51.7</v>
          </cell>
        </row>
        <row r="1088">
          <cell r="B1088">
            <v>37371</v>
          </cell>
          <cell r="D1088">
            <v>52.64</v>
          </cell>
        </row>
        <row r="1089">
          <cell r="B1089">
            <v>37372</v>
          </cell>
          <cell r="D1089">
            <v>52.39</v>
          </cell>
        </row>
        <row r="1090">
          <cell r="B1090">
            <v>37375</v>
          </cell>
          <cell r="D1090">
            <v>52.61</v>
          </cell>
        </row>
        <row r="1091">
          <cell r="B1091">
            <v>37376</v>
          </cell>
          <cell r="D1091">
            <v>53</v>
          </cell>
        </row>
        <row r="1092">
          <cell r="B1092">
            <v>37377</v>
          </cell>
          <cell r="D1092">
            <v>53.95</v>
          </cell>
        </row>
        <row r="1093">
          <cell r="B1093">
            <v>37378</v>
          </cell>
          <cell r="D1093">
            <v>53.89</v>
          </cell>
        </row>
        <row r="1094">
          <cell r="B1094">
            <v>37379</v>
          </cell>
          <cell r="D1094">
            <v>53.89</v>
          </cell>
        </row>
        <row r="1095">
          <cell r="B1095">
            <v>37382</v>
          </cell>
          <cell r="D1095">
            <v>53.6</v>
          </cell>
        </row>
        <row r="1096">
          <cell r="B1096">
            <v>37383</v>
          </cell>
          <cell r="D1096">
            <v>53.09</v>
          </cell>
        </row>
        <row r="1097">
          <cell r="B1097">
            <v>37384</v>
          </cell>
          <cell r="D1097">
            <v>51.63</v>
          </cell>
        </row>
        <row r="1098">
          <cell r="B1098">
            <v>37385</v>
          </cell>
          <cell r="D1098">
            <v>51.62</v>
          </cell>
        </row>
        <row r="1099">
          <cell r="B1099">
            <v>37386</v>
          </cell>
          <cell r="D1099">
            <v>51.12</v>
          </cell>
        </row>
        <row r="1100">
          <cell r="B1100">
            <v>37389</v>
          </cell>
          <cell r="D1100">
            <v>50.64</v>
          </cell>
        </row>
        <row r="1101">
          <cell r="B1101">
            <v>37390</v>
          </cell>
          <cell r="D1101">
            <v>49.1</v>
          </cell>
        </row>
        <row r="1102">
          <cell r="B1102">
            <v>37391</v>
          </cell>
          <cell r="D1102">
            <v>50.25</v>
          </cell>
        </row>
        <row r="1103">
          <cell r="B1103">
            <v>37392</v>
          </cell>
          <cell r="D1103">
            <v>50.9</v>
          </cell>
        </row>
        <row r="1104">
          <cell r="B1104">
            <v>37393</v>
          </cell>
          <cell r="D1104">
            <v>50.95</v>
          </cell>
        </row>
        <row r="1105">
          <cell r="B1105">
            <v>37396</v>
          </cell>
          <cell r="D1105">
            <v>50.44</v>
          </cell>
        </row>
        <row r="1106">
          <cell r="B1106">
            <v>37397</v>
          </cell>
          <cell r="D1106">
            <v>50.58</v>
          </cell>
        </row>
        <row r="1107">
          <cell r="B1107">
            <v>37398</v>
          </cell>
          <cell r="D1107">
            <v>50.93</v>
          </cell>
        </row>
        <row r="1108">
          <cell r="B1108">
            <v>37399</v>
          </cell>
          <cell r="D1108">
            <v>50.56</v>
          </cell>
        </row>
        <row r="1109">
          <cell r="B1109">
            <v>37400</v>
          </cell>
          <cell r="D1109">
            <v>50.62</v>
          </cell>
        </row>
        <row r="1110">
          <cell r="B1110">
            <v>37404</v>
          </cell>
          <cell r="D1110">
            <v>50.65</v>
          </cell>
        </row>
        <row r="1111">
          <cell r="B1111">
            <v>37405</v>
          </cell>
          <cell r="D1111">
            <v>50.63</v>
          </cell>
        </row>
        <row r="1112">
          <cell r="B1112">
            <v>37406</v>
          </cell>
          <cell r="D1112">
            <v>51</v>
          </cell>
        </row>
        <row r="1113">
          <cell r="B1113">
            <v>37407</v>
          </cell>
          <cell r="D1113">
            <v>51.61</v>
          </cell>
        </row>
        <row r="1114">
          <cell r="B1114">
            <v>37410</v>
          </cell>
          <cell r="D1114">
            <v>50.65</v>
          </cell>
        </row>
        <row r="1115">
          <cell r="B1115">
            <v>37411</v>
          </cell>
          <cell r="D1115">
            <v>50.97</v>
          </cell>
        </row>
        <row r="1116">
          <cell r="B1116">
            <v>37412</v>
          </cell>
          <cell r="D1116">
            <v>52</v>
          </cell>
        </row>
        <row r="1117">
          <cell r="B1117">
            <v>37413</v>
          </cell>
          <cell r="D1117">
            <v>51.88</v>
          </cell>
        </row>
        <row r="1118">
          <cell r="B1118">
            <v>37414</v>
          </cell>
          <cell r="D1118">
            <v>51.5</v>
          </cell>
        </row>
        <row r="1119">
          <cell r="B1119">
            <v>37417</v>
          </cell>
          <cell r="D1119">
            <v>51.5</v>
          </cell>
        </row>
        <row r="1120">
          <cell r="B1120">
            <v>37418</v>
          </cell>
          <cell r="D1120">
            <v>51.8</v>
          </cell>
        </row>
        <row r="1121">
          <cell r="B1121">
            <v>37419</v>
          </cell>
          <cell r="D1121">
            <v>52.05</v>
          </cell>
        </row>
        <row r="1122">
          <cell r="B1122">
            <v>37420</v>
          </cell>
          <cell r="D1122">
            <v>52.81</v>
          </cell>
        </row>
        <row r="1123">
          <cell r="B1123">
            <v>37421</v>
          </cell>
          <cell r="D1123">
            <v>52.14</v>
          </cell>
        </row>
        <row r="1124">
          <cell r="B1124">
            <v>37424</v>
          </cell>
          <cell r="D1124">
            <v>52.71</v>
          </cell>
        </row>
        <row r="1125">
          <cell r="B1125">
            <v>37425</v>
          </cell>
          <cell r="D1125">
            <v>52.61</v>
          </cell>
        </row>
        <row r="1126">
          <cell r="B1126">
            <v>37426</v>
          </cell>
          <cell r="D1126">
            <v>50.55</v>
          </cell>
        </row>
        <row r="1127">
          <cell r="B1127">
            <v>37427</v>
          </cell>
          <cell r="D1127">
            <v>50.95</v>
          </cell>
        </row>
        <row r="1128">
          <cell r="B1128">
            <v>37428</v>
          </cell>
          <cell r="D1128">
            <v>50.7</v>
          </cell>
        </row>
        <row r="1129">
          <cell r="B1129">
            <v>37431</v>
          </cell>
          <cell r="D1129">
            <v>50.7</v>
          </cell>
        </row>
        <row r="1130">
          <cell r="B1130">
            <v>37432</v>
          </cell>
          <cell r="D1130">
            <v>49.76</v>
          </cell>
        </row>
        <row r="1131">
          <cell r="B1131">
            <v>37433</v>
          </cell>
          <cell r="D1131">
            <v>50.26</v>
          </cell>
        </row>
        <row r="1132">
          <cell r="B1132">
            <v>37434</v>
          </cell>
          <cell r="D1132">
            <v>50.72</v>
          </cell>
        </row>
        <row r="1133">
          <cell r="B1133">
            <v>37435</v>
          </cell>
          <cell r="D1133">
            <v>50</v>
          </cell>
        </row>
        <row r="1134">
          <cell r="B1134">
            <v>37438</v>
          </cell>
          <cell r="D1134">
            <v>50.3</v>
          </cell>
        </row>
        <row r="1135">
          <cell r="B1135">
            <v>37439</v>
          </cell>
          <cell r="D1135">
            <v>51.2</v>
          </cell>
        </row>
        <row r="1136">
          <cell r="B1136">
            <v>37440</v>
          </cell>
          <cell r="D1136">
            <v>50.55</v>
          </cell>
        </row>
        <row r="1137">
          <cell r="B1137">
            <v>37442</v>
          </cell>
          <cell r="D1137">
            <v>51.16</v>
          </cell>
        </row>
        <row r="1138">
          <cell r="B1138">
            <v>37445</v>
          </cell>
          <cell r="D1138">
            <v>51.05</v>
          </cell>
        </row>
        <row r="1139">
          <cell r="B1139">
            <v>37446</v>
          </cell>
          <cell r="D1139">
            <v>50.75</v>
          </cell>
        </row>
        <row r="1140">
          <cell r="B1140">
            <v>37447</v>
          </cell>
          <cell r="D1140">
            <v>50.15</v>
          </cell>
        </row>
        <row r="1141">
          <cell r="B1141">
            <v>37448</v>
          </cell>
          <cell r="D1141">
            <v>49.56</v>
          </cell>
        </row>
        <row r="1142">
          <cell r="B1142">
            <v>37449</v>
          </cell>
          <cell r="D1142">
            <v>49.2</v>
          </cell>
        </row>
        <row r="1143">
          <cell r="B1143">
            <v>37452</v>
          </cell>
          <cell r="D1143">
            <v>49.57</v>
          </cell>
        </row>
        <row r="1144">
          <cell r="B1144">
            <v>37453</v>
          </cell>
          <cell r="D1144">
            <v>46.55</v>
          </cell>
        </row>
        <row r="1145">
          <cell r="B1145">
            <v>37454</v>
          </cell>
          <cell r="D1145">
            <v>47</v>
          </cell>
        </row>
        <row r="1146">
          <cell r="B1146">
            <v>37455</v>
          </cell>
          <cell r="D1146">
            <v>47.3</v>
          </cell>
        </row>
        <row r="1147">
          <cell r="B1147">
            <v>37456</v>
          </cell>
          <cell r="D1147">
            <v>44</v>
          </cell>
        </row>
        <row r="1148">
          <cell r="B1148">
            <v>37459</v>
          </cell>
          <cell r="D1148">
            <v>45.67</v>
          </cell>
        </row>
        <row r="1149">
          <cell r="B1149">
            <v>37460</v>
          </cell>
          <cell r="D1149">
            <v>44.75</v>
          </cell>
        </row>
        <row r="1150">
          <cell r="B1150">
            <v>37461</v>
          </cell>
          <cell r="D1150">
            <v>46.25</v>
          </cell>
        </row>
        <row r="1151">
          <cell r="B1151">
            <v>37462</v>
          </cell>
          <cell r="D1151">
            <v>47.45</v>
          </cell>
        </row>
        <row r="1152">
          <cell r="B1152">
            <v>37463</v>
          </cell>
          <cell r="D1152">
            <v>47.5</v>
          </cell>
        </row>
        <row r="1153">
          <cell r="B1153">
            <v>37466</v>
          </cell>
          <cell r="D1153">
            <v>49.55</v>
          </cell>
        </row>
        <row r="1154">
          <cell r="B1154">
            <v>37467</v>
          </cell>
          <cell r="D1154">
            <v>48.61</v>
          </cell>
        </row>
        <row r="1155">
          <cell r="B1155">
            <v>37468</v>
          </cell>
          <cell r="D1155">
            <v>51.71</v>
          </cell>
        </row>
        <row r="1156">
          <cell r="B1156">
            <v>37469</v>
          </cell>
          <cell r="D1156">
            <v>50.78</v>
          </cell>
        </row>
        <row r="1157">
          <cell r="B1157">
            <v>37470</v>
          </cell>
          <cell r="D1157">
            <v>50.81</v>
          </cell>
        </row>
        <row r="1158">
          <cell r="B1158">
            <v>37473</v>
          </cell>
          <cell r="D1158">
            <v>50.3</v>
          </cell>
        </row>
        <row r="1159">
          <cell r="B1159">
            <v>37474</v>
          </cell>
          <cell r="D1159">
            <v>50.63</v>
          </cell>
        </row>
        <row r="1160">
          <cell r="B1160">
            <v>37475</v>
          </cell>
          <cell r="D1160">
            <v>51.14</v>
          </cell>
        </row>
        <row r="1161">
          <cell r="B1161">
            <v>37476</v>
          </cell>
          <cell r="D1161">
            <v>51.88</v>
          </cell>
        </row>
        <row r="1162">
          <cell r="B1162">
            <v>37477</v>
          </cell>
          <cell r="D1162">
            <v>51.6</v>
          </cell>
        </row>
        <row r="1163">
          <cell r="B1163">
            <v>37480</v>
          </cell>
          <cell r="D1163">
            <v>51.78</v>
          </cell>
        </row>
        <row r="1164">
          <cell r="B1164">
            <v>37481</v>
          </cell>
          <cell r="D1164">
            <v>52.12</v>
          </cell>
        </row>
        <row r="1165">
          <cell r="B1165">
            <v>37482</v>
          </cell>
          <cell r="D1165">
            <v>52.8</v>
          </cell>
        </row>
        <row r="1166">
          <cell r="B1166">
            <v>37483</v>
          </cell>
          <cell r="D1166">
            <v>51.98</v>
          </cell>
        </row>
        <row r="1167">
          <cell r="B1167">
            <v>37484</v>
          </cell>
          <cell r="D1167">
            <v>51.48</v>
          </cell>
        </row>
        <row r="1168">
          <cell r="B1168">
            <v>37487</v>
          </cell>
          <cell r="D1168">
            <v>53.03</v>
          </cell>
        </row>
        <row r="1169">
          <cell r="B1169">
            <v>37488</v>
          </cell>
          <cell r="D1169">
            <v>52.8</v>
          </cell>
        </row>
        <row r="1170">
          <cell r="B1170">
            <v>37489</v>
          </cell>
          <cell r="D1170">
            <v>52.16</v>
          </cell>
        </row>
        <row r="1171">
          <cell r="B1171">
            <v>37490</v>
          </cell>
          <cell r="D1171">
            <v>52.75</v>
          </cell>
        </row>
        <row r="1172">
          <cell r="B1172">
            <v>37491</v>
          </cell>
          <cell r="D1172">
            <v>52.09</v>
          </cell>
        </row>
        <row r="1173">
          <cell r="B1173">
            <v>37494</v>
          </cell>
          <cell r="D1173">
            <v>53.03</v>
          </cell>
        </row>
        <row r="1174">
          <cell r="B1174">
            <v>37495</v>
          </cell>
          <cell r="D1174">
            <v>52.95</v>
          </cell>
        </row>
        <row r="1175">
          <cell r="B1175">
            <v>37496</v>
          </cell>
          <cell r="D1175">
            <v>52.5</v>
          </cell>
        </row>
        <row r="1176">
          <cell r="B1176">
            <v>37497</v>
          </cell>
          <cell r="D1176">
            <v>52.46</v>
          </cell>
        </row>
        <row r="1177">
          <cell r="B1177">
            <v>37498</v>
          </cell>
          <cell r="D1177">
            <v>53.16</v>
          </cell>
        </row>
        <row r="1178">
          <cell r="B1178">
            <v>37502</v>
          </cell>
          <cell r="D1178">
            <v>52.52</v>
          </cell>
        </row>
        <row r="1179">
          <cell r="B1179">
            <v>37503</v>
          </cell>
          <cell r="D1179">
            <v>53.16</v>
          </cell>
        </row>
        <row r="1180">
          <cell r="B1180">
            <v>37504</v>
          </cell>
          <cell r="D1180">
            <v>54.03</v>
          </cell>
        </row>
        <row r="1181">
          <cell r="B1181">
            <v>37505</v>
          </cell>
          <cell r="D1181">
            <v>53.37</v>
          </cell>
        </row>
        <row r="1182">
          <cell r="B1182">
            <v>37508</v>
          </cell>
          <cell r="D1182">
            <v>54.08</v>
          </cell>
        </row>
        <row r="1183">
          <cell r="B1183">
            <v>37509</v>
          </cell>
          <cell r="D1183">
            <v>53</v>
          </cell>
        </row>
        <row r="1184">
          <cell r="B1184">
            <v>37510</v>
          </cell>
          <cell r="D1184">
            <v>52.44</v>
          </cell>
        </row>
        <row r="1185">
          <cell r="B1185">
            <v>37511</v>
          </cell>
          <cell r="D1185">
            <v>52.5</v>
          </cell>
        </row>
        <row r="1186">
          <cell r="B1186">
            <v>37512</v>
          </cell>
          <cell r="D1186">
            <v>52.5</v>
          </cell>
        </row>
        <row r="1187">
          <cell r="B1187">
            <v>37515</v>
          </cell>
          <cell r="D1187">
            <v>53.03</v>
          </cell>
        </row>
        <row r="1188">
          <cell r="B1188">
            <v>37516</v>
          </cell>
          <cell r="D1188">
            <v>52.32</v>
          </cell>
        </row>
        <row r="1189">
          <cell r="B1189">
            <v>37517</v>
          </cell>
          <cell r="D1189">
            <v>52.13</v>
          </cell>
        </row>
        <row r="1190">
          <cell r="B1190">
            <v>37518</v>
          </cell>
          <cell r="D1190">
            <v>50.85</v>
          </cell>
        </row>
        <row r="1191">
          <cell r="B1191">
            <v>37519</v>
          </cell>
          <cell r="D1191">
            <v>51.23</v>
          </cell>
        </row>
        <row r="1192">
          <cell r="B1192">
            <v>37522</v>
          </cell>
          <cell r="D1192">
            <v>50.65</v>
          </cell>
        </row>
        <row r="1193">
          <cell r="B1193">
            <v>37523</v>
          </cell>
          <cell r="D1193">
            <v>50.2</v>
          </cell>
        </row>
        <row r="1194">
          <cell r="B1194">
            <v>37524</v>
          </cell>
          <cell r="D1194">
            <v>51.67</v>
          </cell>
        </row>
        <row r="1195">
          <cell r="B1195">
            <v>37525</v>
          </cell>
          <cell r="D1195">
            <v>52.27</v>
          </cell>
        </row>
        <row r="1196">
          <cell r="B1196">
            <v>37526</v>
          </cell>
          <cell r="D1196">
            <v>51.73</v>
          </cell>
        </row>
        <row r="1197">
          <cell r="B1197">
            <v>37529</v>
          </cell>
          <cell r="D1197">
            <v>50.6</v>
          </cell>
        </row>
        <row r="1198">
          <cell r="B1198">
            <v>37530</v>
          </cell>
          <cell r="D1198">
            <v>52.24</v>
          </cell>
        </row>
        <row r="1199">
          <cell r="B1199">
            <v>37531</v>
          </cell>
          <cell r="D1199">
            <v>52.47</v>
          </cell>
        </row>
        <row r="1200">
          <cell r="B1200">
            <v>37532</v>
          </cell>
          <cell r="D1200">
            <v>52.05</v>
          </cell>
        </row>
        <row r="1201">
          <cell r="B1201">
            <v>37533</v>
          </cell>
          <cell r="D1201">
            <v>52.94</v>
          </cell>
        </row>
        <row r="1202">
          <cell r="B1202">
            <v>37536</v>
          </cell>
          <cell r="D1202">
            <v>52.39</v>
          </cell>
        </row>
        <row r="1203">
          <cell r="B1203">
            <v>37537</v>
          </cell>
          <cell r="D1203">
            <v>53.18</v>
          </cell>
        </row>
        <row r="1204">
          <cell r="B1204">
            <v>37538</v>
          </cell>
          <cell r="D1204">
            <v>51.5</v>
          </cell>
        </row>
        <row r="1205">
          <cell r="B1205">
            <v>37539</v>
          </cell>
          <cell r="D1205">
            <v>51.65</v>
          </cell>
        </row>
        <row r="1206">
          <cell r="B1206">
            <v>37540</v>
          </cell>
          <cell r="D1206">
            <v>52.67</v>
          </cell>
        </row>
        <row r="1207">
          <cell r="B1207">
            <v>37543</v>
          </cell>
          <cell r="D1207">
            <v>53.94</v>
          </cell>
        </row>
        <row r="1208">
          <cell r="B1208">
            <v>37544</v>
          </cell>
          <cell r="D1208">
            <v>53.78</v>
          </cell>
        </row>
        <row r="1209">
          <cell r="B1209">
            <v>37545</v>
          </cell>
          <cell r="D1209">
            <v>53.9</v>
          </cell>
        </row>
        <row r="1210">
          <cell r="B1210">
            <v>37546</v>
          </cell>
          <cell r="D1210">
            <v>53.65</v>
          </cell>
        </row>
        <row r="1211">
          <cell r="B1211">
            <v>37547</v>
          </cell>
          <cell r="D1211">
            <v>54.05</v>
          </cell>
        </row>
        <row r="1212">
          <cell r="B1212">
            <v>37550</v>
          </cell>
          <cell r="D1212">
            <v>54.97</v>
          </cell>
        </row>
        <row r="1213">
          <cell r="B1213">
            <v>37551</v>
          </cell>
          <cell r="D1213">
            <v>53.97</v>
          </cell>
        </row>
        <row r="1214">
          <cell r="B1214">
            <v>37552</v>
          </cell>
          <cell r="D1214">
            <v>51.91</v>
          </cell>
        </row>
        <row r="1215">
          <cell r="B1215">
            <v>37553</v>
          </cell>
          <cell r="D1215">
            <v>53.1</v>
          </cell>
        </row>
        <row r="1216">
          <cell r="B1216">
            <v>37554</v>
          </cell>
          <cell r="D1216">
            <v>53.04</v>
          </cell>
        </row>
        <row r="1217">
          <cell r="B1217">
            <v>37557</v>
          </cell>
          <cell r="D1217">
            <v>51.94</v>
          </cell>
        </row>
        <row r="1218">
          <cell r="B1218">
            <v>37558</v>
          </cell>
          <cell r="D1218">
            <v>52.65</v>
          </cell>
        </row>
        <row r="1219">
          <cell r="B1219">
            <v>37559</v>
          </cell>
          <cell r="D1219">
            <v>52.38</v>
          </cell>
        </row>
        <row r="1220">
          <cell r="B1220">
            <v>37560</v>
          </cell>
          <cell r="D1220">
            <v>52.76</v>
          </cell>
        </row>
        <row r="1221">
          <cell r="B1221">
            <v>37561</v>
          </cell>
          <cell r="D1221">
            <v>53.22</v>
          </cell>
        </row>
        <row r="1222">
          <cell r="B1222">
            <v>37564</v>
          </cell>
          <cell r="D1222">
            <v>51.95</v>
          </cell>
        </row>
        <row r="1223">
          <cell r="B1223">
            <v>37565</v>
          </cell>
          <cell r="D1223">
            <v>53.14</v>
          </cell>
        </row>
        <row r="1224">
          <cell r="B1224">
            <v>37566</v>
          </cell>
          <cell r="D1224">
            <v>52.5</v>
          </cell>
        </row>
        <row r="1225">
          <cell r="B1225">
            <v>37567</v>
          </cell>
          <cell r="D1225">
            <v>52.43</v>
          </cell>
        </row>
        <row r="1226">
          <cell r="B1226">
            <v>37568</v>
          </cell>
          <cell r="D1226">
            <v>52.12</v>
          </cell>
        </row>
        <row r="1227">
          <cell r="B1227">
            <v>37571</v>
          </cell>
          <cell r="D1227">
            <v>51.77</v>
          </cell>
        </row>
        <row r="1228">
          <cell r="B1228">
            <v>37572</v>
          </cell>
          <cell r="D1228">
            <v>48.48</v>
          </cell>
        </row>
        <row r="1229">
          <cell r="B1229">
            <v>37573</v>
          </cell>
          <cell r="D1229">
            <v>49.48</v>
          </cell>
        </row>
        <row r="1230">
          <cell r="B1230">
            <v>37574</v>
          </cell>
          <cell r="D1230">
            <v>51.08</v>
          </cell>
        </row>
        <row r="1231">
          <cell r="B1231">
            <v>37575</v>
          </cell>
          <cell r="D1231">
            <v>51.7</v>
          </cell>
        </row>
        <row r="1232">
          <cell r="B1232">
            <v>37578</v>
          </cell>
          <cell r="D1232">
            <v>50.62</v>
          </cell>
        </row>
        <row r="1233">
          <cell r="B1233">
            <v>37579</v>
          </cell>
          <cell r="D1233">
            <v>51.15</v>
          </cell>
        </row>
        <row r="1234">
          <cell r="B1234">
            <v>37580</v>
          </cell>
          <cell r="D1234">
            <v>51.51</v>
          </cell>
        </row>
        <row r="1235">
          <cell r="B1235">
            <v>37581</v>
          </cell>
          <cell r="D1235">
            <v>50.45</v>
          </cell>
        </row>
        <row r="1236">
          <cell r="B1236">
            <v>37582</v>
          </cell>
          <cell r="D1236">
            <v>51.1</v>
          </cell>
        </row>
        <row r="1237">
          <cell r="B1237">
            <v>37585</v>
          </cell>
          <cell r="D1237">
            <v>49.31</v>
          </cell>
        </row>
        <row r="1238">
          <cell r="B1238">
            <v>37586</v>
          </cell>
          <cell r="D1238">
            <v>49.08</v>
          </cell>
        </row>
        <row r="1239">
          <cell r="B1239">
            <v>37587</v>
          </cell>
          <cell r="D1239">
            <v>49.88</v>
          </cell>
        </row>
        <row r="1240">
          <cell r="B1240">
            <v>37589</v>
          </cell>
          <cell r="D1240">
            <v>49.12</v>
          </cell>
        </row>
        <row r="1241">
          <cell r="B1241">
            <v>37592</v>
          </cell>
          <cell r="D1241">
            <v>48.29</v>
          </cell>
        </row>
        <row r="1242">
          <cell r="B1242">
            <v>37593</v>
          </cell>
          <cell r="D1242">
            <v>49.64</v>
          </cell>
        </row>
        <row r="1243">
          <cell r="B1243">
            <v>37594</v>
          </cell>
          <cell r="D1243">
            <v>49.62</v>
          </cell>
        </row>
        <row r="1244">
          <cell r="B1244">
            <v>37595</v>
          </cell>
          <cell r="D1244">
            <v>48.79</v>
          </cell>
        </row>
        <row r="1245">
          <cell r="B1245">
            <v>37596</v>
          </cell>
          <cell r="D1245">
            <v>49.51</v>
          </cell>
        </row>
        <row r="1246">
          <cell r="B1246">
            <v>37599</v>
          </cell>
          <cell r="D1246">
            <v>49.56</v>
          </cell>
        </row>
        <row r="1247">
          <cell r="B1247">
            <v>37600</v>
          </cell>
          <cell r="D1247">
            <v>49.31</v>
          </cell>
        </row>
        <row r="1248">
          <cell r="B1248">
            <v>37601</v>
          </cell>
          <cell r="D1248">
            <v>48.69</v>
          </cell>
        </row>
        <row r="1249">
          <cell r="B1249">
            <v>37602</v>
          </cell>
          <cell r="D1249">
            <v>48.23</v>
          </cell>
        </row>
        <row r="1250">
          <cell r="B1250">
            <v>37603</v>
          </cell>
          <cell r="D1250">
            <v>48</v>
          </cell>
        </row>
        <row r="1251">
          <cell r="B1251">
            <v>37606</v>
          </cell>
          <cell r="D1251">
            <v>48.76</v>
          </cell>
        </row>
        <row r="1252">
          <cell r="B1252">
            <v>37607</v>
          </cell>
          <cell r="D1252">
            <v>48</v>
          </cell>
        </row>
        <row r="1253">
          <cell r="B1253">
            <v>37608</v>
          </cell>
          <cell r="D1253">
            <v>48.04</v>
          </cell>
        </row>
        <row r="1254">
          <cell r="B1254">
            <v>37609</v>
          </cell>
          <cell r="D1254">
            <v>47.85</v>
          </cell>
        </row>
        <row r="1255">
          <cell r="B1255">
            <v>37610</v>
          </cell>
          <cell r="D1255">
            <v>47.8</v>
          </cell>
        </row>
        <row r="1256">
          <cell r="B1256">
            <v>37613</v>
          </cell>
          <cell r="D1256">
            <v>47.91</v>
          </cell>
        </row>
        <row r="1257">
          <cell r="B1257">
            <v>37614</v>
          </cell>
          <cell r="D1257">
            <v>47.8</v>
          </cell>
        </row>
        <row r="1258">
          <cell r="B1258">
            <v>37616</v>
          </cell>
          <cell r="D1258">
            <v>47.78</v>
          </cell>
        </row>
        <row r="1259">
          <cell r="B1259">
            <v>37617</v>
          </cell>
          <cell r="D1259">
            <v>47.7</v>
          </cell>
        </row>
        <row r="1260">
          <cell r="B1260">
            <v>37620</v>
          </cell>
          <cell r="D1260">
            <v>48.5</v>
          </cell>
        </row>
        <row r="1261">
          <cell r="B1261">
            <v>37621</v>
          </cell>
          <cell r="D1261">
            <v>48.4</v>
          </cell>
        </row>
        <row r="1262">
          <cell r="B1262">
            <v>37623</v>
          </cell>
          <cell r="D1262">
            <v>49.43</v>
          </cell>
        </row>
        <row r="1263">
          <cell r="B1263">
            <v>37624</v>
          </cell>
          <cell r="D1263">
            <v>48.86</v>
          </cell>
        </row>
        <row r="1264">
          <cell r="B1264">
            <v>37627</v>
          </cell>
          <cell r="D1264">
            <v>49.63</v>
          </cell>
        </row>
        <row r="1265">
          <cell r="B1265">
            <v>37628</v>
          </cell>
          <cell r="D1265">
            <v>49.11</v>
          </cell>
        </row>
        <row r="1266">
          <cell r="B1266">
            <v>37629</v>
          </cell>
          <cell r="D1266">
            <v>49.3</v>
          </cell>
        </row>
        <row r="1267">
          <cell r="B1267">
            <v>37630</v>
          </cell>
          <cell r="D1267">
            <v>50.17</v>
          </cell>
        </row>
        <row r="1268">
          <cell r="B1268">
            <v>37631</v>
          </cell>
          <cell r="D1268">
            <v>49.6</v>
          </cell>
        </row>
        <row r="1269">
          <cell r="B1269">
            <v>37634</v>
          </cell>
          <cell r="D1269">
            <v>49.82</v>
          </cell>
        </row>
        <row r="1270">
          <cell r="B1270">
            <v>37635</v>
          </cell>
          <cell r="D1270">
            <v>50.27</v>
          </cell>
        </row>
        <row r="1271">
          <cell r="B1271">
            <v>37636</v>
          </cell>
          <cell r="D1271">
            <v>49.76</v>
          </cell>
        </row>
        <row r="1272">
          <cell r="B1272">
            <v>37637</v>
          </cell>
          <cell r="D1272">
            <v>49.94</v>
          </cell>
        </row>
        <row r="1273">
          <cell r="B1273">
            <v>37638</v>
          </cell>
          <cell r="D1273">
            <v>49.98</v>
          </cell>
        </row>
        <row r="1274">
          <cell r="B1274">
            <v>37642</v>
          </cell>
          <cell r="D1274">
            <v>49.25</v>
          </cell>
        </row>
        <row r="1275">
          <cell r="B1275">
            <v>37643</v>
          </cell>
          <cell r="D1275">
            <v>49.76</v>
          </cell>
        </row>
        <row r="1276">
          <cell r="B1276">
            <v>37644</v>
          </cell>
          <cell r="D1276">
            <v>49.15</v>
          </cell>
        </row>
        <row r="1277">
          <cell r="B1277">
            <v>37645</v>
          </cell>
          <cell r="D1277">
            <v>47.95</v>
          </cell>
        </row>
        <row r="1278">
          <cell r="B1278">
            <v>37648</v>
          </cell>
          <cell r="D1278">
            <v>47.89</v>
          </cell>
        </row>
        <row r="1279">
          <cell r="B1279">
            <v>37649</v>
          </cell>
          <cell r="D1279">
            <v>48.05</v>
          </cell>
        </row>
        <row r="1280">
          <cell r="B1280">
            <v>37650</v>
          </cell>
          <cell r="D1280">
            <v>47.57</v>
          </cell>
        </row>
        <row r="1281">
          <cell r="B1281">
            <v>37651</v>
          </cell>
          <cell r="D1281">
            <v>46.17</v>
          </cell>
        </row>
        <row r="1282">
          <cell r="B1282">
            <v>37652</v>
          </cell>
          <cell r="D1282">
            <v>47.47</v>
          </cell>
        </row>
        <row r="1283">
          <cell r="B1283">
            <v>37655</v>
          </cell>
          <cell r="D1283">
            <v>48.07</v>
          </cell>
        </row>
        <row r="1284">
          <cell r="B1284">
            <v>37656</v>
          </cell>
          <cell r="D1284">
            <v>48.19</v>
          </cell>
        </row>
        <row r="1285">
          <cell r="B1285">
            <v>37657</v>
          </cell>
          <cell r="D1285">
            <v>48.15</v>
          </cell>
        </row>
        <row r="1286">
          <cell r="B1286">
            <v>37658</v>
          </cell>
          <cell r="D1286">
            <v>47.25</v>
          </cell>
        </row>
        <row r="1287">
          <cell r="B1287">
            <v>37659</v>
          </cell>
          <cell r="D1287">
            <v>47.3</v>
          </cell>
        </row>
        <row r="1288">
          <cell r="B1288">
            <v>37662</v>
          </cell>
          <cell r="D1288">
            <v>47.79</v>
          </cell>
        </row>
        <row r="1289">
          <cell r="B1289">
            <v>37663</v>
          </cell>
          <cell r="D1289">
            <v>47.58</v>
          </cell>
        </row>
        <row r="1290">
          <cell r="B1290">
            <v>37664</v>
          </cell>
          <cell r="D1290">
            <v>47.37</v>
          </cell>
        </row>
        <row r="1291">
          <cell r="B1291">
            <v>37665</v>
          </cell>
          <cell r="D1291">
            <v>47.63</v>
          </cell>
        </row>
        <row r="1292">
          <cell r="B1292">
            <v>37666</v>
          </cell>
          <cell r="D1292">
            <v>47.7</v>
          </cell>
        </row>
        <row r="1293">
          <cell r="B1293">
            <v>37670</v>
          </cell>
          <cell r="D1293">
            <v>48.25</v>
          </cell>
        </row>
        <row r="1294">
          <cell r="B1294">
            <v>37671</v>
          </cell>
          <cell r="D1294">
            <v>47.78</v>
          </cell>
        </row>
        <row r="1295">
          <cell r="B1295">
            <v>37672</v>
          </cell>
          <cell r="D1295">
            <v>47.8</v>
          </cell>
        </row>
        <row r="1296">
          <cell r="B1296">
            <v>37673</v>
          </cell>
          <cell r="D1296">
            <v>47.89</v>
          </cell>
        </row>
        <row r="1297">
          <cell r="B1297">
            <v>37676</v>
          </cell>
          <cell r="D1297">
            <v>47.3</v>
          </cell>
        </row>
        <row r="1298">
          <cell r="B1298">
            <v>37677</v>
          </cell>
          <cell r="D1298">
            <v>47.9</v>
          </cell>
        </row>
        <row r="1299">
          <cell r="B1299">
            <v>37678</v>
          </cell>
          <cell r="D1299">
            <v>47.47</v>
          </cell>
        </row>
        <row r="1300">
          <cell r="B1300">
            <v>37679</v>
          </cell>
          <cell r="D1300">
            <v>47.25</v>
          </cell>
        </row>
        <row r="1301">
          <cell r="B1301">
            <v>37680</v>
          </cell>
          <cell r="D1301">
            <v>46.5</v>
          </cell>
        </row>
        <row r="1302">
          <cell r="B1302">
            <v>37683</v>
          </cell>
          <cell r="D1302">
            <v>46.75</v>
          </cell>
        </row>
        <row r="1303">
          <cell r="B1303">
            <v>37684</v>
          </cell>
          <cell r="D1303">
            <v>45.92</v>
          </cell>
        </row>
        <row r="1304">
          <cell r="B1304">
            <v>37685</v>
          </cell>
          <cell r="D1304">
            <v>45.97</v>
          </cell>
        </row>
        <row r="1305">
          <cell r="B1305">
            <v>37686</v>
          </cell>
          <cell r="D1305">
            <v>46.5</v>
          </cell>
        </row>
        <row r="1306">
          <cell r="B1306">
            <v>37687</v>
          </cell>
          <cell r="D1306">
            <v>46.93</v>
          </cell>
        </row>
        <row r="1307">
          <cell r="B1307">
            <v>37690</v>
          </cell>
          <cell r="D1307">
            <v>46.32</v>
          </cell>
        </row>
        <row r="1308">
          <cell r="B1308">
            <v>37691</v>
          </cell>
          <cell r="D1308">
            <v>46.34</v>
          </cell>
        </row>
        <row r="1309">
          <cell r="B1309">
            <v>37692</v>
          </cell>
          <cell r="D1309">
            <v>47.08</v>
          </cell>
        </row>
        <row r="1310">
          <cell r="B1310">
            <v>37693</v>
          </cell>
          <cell r="D1310">
            <v>47.79</v>
          </cell>
        </row>
        <row r="1311">
          <cell r="B1311">
            <v>37694</v>
          </cell>
          <cell r="D1311">
            <v>47.7</v>
          </cell>
        </row>
        <row r="1312">
          <cell r="B1312">
            <v>37697</v>
          </cell>
          <cell r="D1312">
            <v>48.83</v>
          </cell>
        </row>
        <row r="1313">
          <cell r="B1313">
            <v>37698</v>
          </cell>
          <cell r="D1313">
            <v>48.43</v>
          </cell>
        </row>
        <row r="1314">
          <cell r="B1314">
            <v>37699</v>
          </cell>
          <cell r="D1314">
            <v>48.78</v>
          </cell>
        </row>
        <row r="1315">
          <cell r="B1315">
            <v>37700</v>
          </cell>
          <cell r="D1315">
            <v>47.97</v>
          </cell>
        </row>
        <row r="1316">
          <cell r="B1316">
            <v>37701</v>
          </cell>
          <cell r="D1316">
            <v>48.4</v>
          </cell>
        </row>
        <row r="1317">
          <cell r="B1317">
            <v>37704</v>
          </cell>
          <cell r="D1317">
            <v>47.56</v>
          </cell>
        </row>
        <row r="1318">
          <cell r="B1318">
            <v>37705</v>
          </cell>
          <cell r="D1318">
            <v>47.58</v>
          </cell>
        </row>
        <row r="1319">
          <cell r="B1319">
            <v>37706</v>
          </cell>
          <cell r="D1319">
            <v>47.08</v>
          </cell>
        </row>
        <row r="1320">
          <cell r="B1320">
            <v>37707</v>
          </cell>
          <cell r="D1320">
            <v>46.98</v>
          </cell>
        </row>
        <row r="1321">
          <cell r="B1321">
            <v>37708</v>
          </cell>
          <cell r="D1321">
            <v>46.81</v>
          </cell>
        </row>
        <row r="1322">
          <cell r="B1322">
            <v>37711</v>
          </cell>
          <cell r="D1322">
            <v>46.61</v>
          </cell>
        </row>
        <row r="1323">
          <cell r="B1323">
            <v>37712</v>
          </cell>
          <cell r="D1323">
            <v>46.97</v>
          </cell>
        </row>
        <row r="1324">
          <cell r="B1324">
            <v>37713</v>
          </cell>
          <cell r="D1324">
            <v>47.45</v>
          </cell>
        </row>
        <row r="1325">
          <cell r="B1325">
            <v>37714</v>
          </cell>
          <cell r="D1325">
            <v>47.51</v>
          </cell>
        </row>
        <row r="1326">
          <cell r="B1326">
            <v>37715</v>
          </cell>
          <cell r="D1326">
            <v>48.1</v>
          </cell>
        </row>
        <row r="1327">
          <cell r="B1327">
            <v>37718</v>
          </cell>
          <cell r="D1327">
            <v>47.67</v>
          </cell>
        </row>
        <row r="1328">
          <cell r="B1328">
            <v>37719</v>
          </cell>
          <cell r="D1328">
            <v>48.15</v>
          </cell>
        </row>
        <row r="1329">
          <cell r="B1329">
            <v>37720</v>
          </cell>
          <cell r="D1329">
            <v>46.45</v>
          </cell>
        </row>
        <row r="1330">
          <cell r="B1330">
            <v>37721</v>
          </cell>
          <cell r="D1330">
            <v>47.26</v>
          </cell>
        </row>
        <row r="1331">
          <cell r="B1331">
            <v>37722</v>
          </cell>
          <cell r="D1331">
            <v>47.43</v>
          </cell>
        </row>
        <row r="1332">
          <cell r="B1332">
            <v>37725</v>
          </cell>
          <cell r="D1332">
            <v>48.04</v>
          </cell>
        </row>
        <row r="1333">
          <cell r="B1333">
            <v>37726</v>
          </cell>
          <cell r="D1333">
            <v>47.92</v>
          </cell>
        </row>
        <row r="1334">
          <cell r="B1334">
            <v>37727</v>
          </cell>
          <cell r="D1334">
            <v>47.23</v>
          </cell>
        </row>
        <row r="1335">
          <cell r="B1335">
            <v>37728</v>
          </cell>
          <cell r="D1335">
            <v>48.11</v>
          </cell>
        </row>
        <row r="1336">
          <cell r="B1336">
            <v>37732</v>
          </cell>
          <cell r="D1336">
            <v>47.82</v>
          </cell>
        </row>
        <row r="1337">
          <cell r="B1337">
            <v>37733</v>
          </cell>
          <cell r="D1337">
            <v>48.09</v>
          </cell>
        </row>
        <row r="1338">
          <cell r="B1338">
            <v>37734</v>
          </cell>
          <cell r="D1338">
            <v>48.85</v>
          </cell>
        </row>
        <row r="1339">
          <cell r="B1339">
            <v>37735</v>
          </cell>
          <cell r="D1339">
            <v>48.01</v>
          </cell>
        </row>
        <row r="1340">
          <cell r="B1340">
            <v>37736</v>
          </cell>
          <cell r="D1340">
            <v>48.25</v>
          </cell>
        </row>
        <row r="1341">
          <cell r="B1341">
            <v>37739</v>
          </cell>
          <cell r="D1341">
            <v>49.06</v>
          </cell>
        </row>
        <row r="1342">
          <cell r="B1342">
            <v>37740</v>
          </cell>
          <cell r="D1342">
            <v>50.25</v>
          </cell>
        </row>
        <row r="1343">
          <cell r="B1343">
            <v>37741</v>
          </cell>
          <cell r="D1343">
            <v>49.88</v>
          </cell>
        </row>
        <row r="1344">
          <cell r="B1344">
            <v>37742</v>
          </cell>
          <cell r="D1344">
            <v>49.97</v>
          </cell>
        </row>
        <row r="1345">
          <cell r="B1345">
            <v>37743</v>
          </cell>
          <cell r="D1345">
            <v>50</v>
          </cell>
        </row>
        <row r="1346">
          <cell r="B1346">
            <v>37746</v>
          </cell>
          <cell r="D1346">
            <v>49.84</v>
          </cell>
        </row>
        <row r="1347">
          <cell r="B1347">
            <v>37747</v>
          </cell>
          <cell r="D1347">
            <v>50.01</v>
          </cell>
        </row>
        <row r="1348">
          <cell r="B1348">
            <v>37748</v>
          </cell>
          <cell r="D1348">
            <v>49.86</v>
          </cell>
        </row>
        <row r="1349">
          <cell r="B1349">
            <v>37749</v>
          </cell>
          <cell r="D1349">
            <v>49.9</v>
          </cell>
        </row>
        <row r="1350">
          <cell r="B1350">
            <v>37750</v>
          </cell>
          <cell r="D1350">
            <v>50.61</v>
          </cell>
        </row>
        <row r="1351">
          <cell r="B1351">
            <v>37753</v>
          </cell>
          <cell r="D1351">
            <v>51.2</v>
          </cell>
        </row>
        <row r="1352">
          <cell r="B1352">
            <v>37754</v>
          </cell>
          <cell r="D1352">
            <v>50.85</v>
          </cell>
        </row>
        <row r="1353">
          <cell r="B1353">
            <v>37755</v>
          </cell>
          <cell r="D1353">
            <v>51.16</v>
          </cell>
        </row>
        <row r="1354">
          <cell r="B1354">
            <v>37756</v>
          </cell>
          <cell r="D1354">
            <v>51.51</v>
          </cell>
        </row>
        <row r="1355">
          <cell r="B1355">
            <v>37757</v>
          </cell>
          <cell r="D1355">
            <v>51.74</v>
          </cell>
        </row>
        <row r="1356">
          <cell r="B1356">
            <v>37760</v>
          </cell>
          <cell r="D1356">
            <v>51.76</v>
          </cell>
        </row>
        <row r="1357">
          <cell r="B1357">
            <v>37761</v>
          </cell>
          <cell r="D1357">
            <v>51.82</v>
          </cell>
        </row>
        <row r="1358">
          <cell r="B1358">
            <v>37762</v>
          </cell>
          <cell r="D1358">
            <v>51.49</v>
          </cell>
        </row>
        <row r="1359">
          <cell r="B1359">
            <v>37763</v>
          </cell>
          <cell r="D1359">
            <v>51.87</v>
          </cell>
        </row>
        <row r="1360">
          <cell r="B1360">
            <v>37764</v>
          </cell>
          <cell r="D1360">
            <v>52.47</v>
          </cell>
        </row>
        <row r="1361">
          <cell r="B1361">
            <v>37768</v>
          </cell>
          <cell r="D1361">
            <v>52.3</v>
          </cell>
        </row>
        <row r="1362">
          <cell r="B1362">
            <v>37769</v>
          </cell>
          <cell r="D1362">
            <v>52.3</v>
          </cell>
        </row>
        <row r="1363">
          <cell r="B1363">
            <v>37770</v>
          </cell>
          <cell r="D1363">
            <v>52.64</v>
          </cell>
        </row>
        <row r="1364">
          <cell r="B1364">
            <v>37771</v>
          </cell>
          <cell r="D1364">
            <v>52.63</v>
          </cell>
        </row>
        <row r="1365">
          <cell r="B1365">
            <v>37774</v>
          </cell>
          <cell r="D1365">
            <v>52.99</v>
          </cell>
        </row>
        <row r="1366">
          <cell r="B1366">
            <v>37775</v>
          </cell>
          <cell r="D1366">
            <v>52.99</v>
          </cell>
        </row>
        <row r="1367">
          <cell r="B1367">
            <v>37776</v>
          </cell>
          <cell r="D1367">
            <v>53.08</v>
          </cell>
        </row>
        <row r="1368">
          <cell r="B1368">
            <v>37777</v>
          </cell>
          <cell r="D1368">
            <v>52.69</v>
          </cell>
        </row>
        <row r="1369">
          <cell r="B1369">
            <v>37778</v>
          </cell>
          <cell r="D1369">
            <v>52.63</v>
          </cell>
        </row>
        <row r="1370">
          <cell r="B1370">
            <v>37781</v>
          </cell>
          <cell r="D1370">
            <v>52.51</v>
          </cell>
        </row>
        <row r="1371">
          <cell r="B1371">
            <v>37782</v>
          </cell>
          <cell r="D1371">
            <v>53</v>
          </cell>
        </row>
        <row r="1372">
          <cell r="B1372">
            <v>37783</v>
          </cell>
          <cell r="D1372">
            <v>53.25</v>
          </cell>
        </row>
        <row r="1373">
          <cell r="B1373">
            <v>37784</v>
          </cell>
          <cell r="D1373">
            <v>52.99</v>
          </cell>
        </row>
        <row r="1374">
          <cell r="B1374">
            <v>37785</v>
          </cell>
          <cell r="D1374">
            <v>53.31</v>
          </cell>
        </row>
        <row r="1375">
          <cell r="B1375">
            <v>37788</v>
          </cell>
          <cell r="D1375">
            <v>53.69</v>
          </cell>
        </row>
        <row r="1376">
          <cell r="B1376">
            <v>37789</v>
          </cell>
          <cell r="D1376">
            <v>53.39</v>
          </cell>
        </row>
        <row r="1377">
          <cell r="B1377">
            <v>37790</v>
          </cell>
          <cell r="D1377">
            <v>53.54</v>
          </cell>
        </row>
        <row r="1378">
          <cell r="B1378">
            <v>37791</v>
          </cell>
          <cell r="D1378">
            <v>52.4</v>
          </cell>
        </row>
        <row r="1379">
          <cell r="B1379">
            <v>37792</v>
          </cell>
          <cell r="D1379">
            <v>51.35</v>
          </cell>
        </row>
        <row r="1380">
          <cell r="B1380">
            <v>37795</v>
          </cell>
          <cell r="D1380">
            <v>50.69</v>
          </cell>
        </row>
        <row r="1381">
          <cell r="B1381">
            <v>37796</v>
          </cell>
          <cell r="D1381">
            <v>50.85</v>
          </cell>
        </row>
        <row r="1382">
          <cell r="B1382">
            <v>37797</v>
          </cell>
          <cell r="D1382">
            <v>50.4</v>
          </cell>
        </row>
        <row r="1383">
          <cell r="B1383">
            <v>37798</v>
          </cell>
          <cell r="D1383">
            <v>51.12</v>
          </cell>
        </row>
        <row r="1384">
          <cell r="B1384">
            <v>37799</v>
          </cell>
          <cell r="D1384">
            <v>50.98</v>
          </cell>
        </row>
        <row r="1385">
          <cell r="B1385">
            <v>37802</v>
          </cell>
          <cell r="D1385">
            <v>51.05</v>
          </cell>
        </row>
        <row r="1386">
          <cell r="B1386">
            <v>37803</v>
          </cell>
          <cell r="D1386">
            <v>51.24</v>
          </cell>
        </row>
        <row r="1387">
          <cell r="B1387">
            <v>37804</v>
          </cell>
          <cell r="D1387">
            <v>51.6</v>
          </cell>
        </row>
        <row r="1388">
          <cell r="B1388">
            <v>37805</v>
          </cell>
          <cell r="D1388">
            <v>51.4</v>
          </cell>
        </row>
        <row r="1389">
          <cell r="B1389">
            <v>37809</v>
          </cell>
          <cell r="D1389">
            <v>51.47</v>
          </cell>
        </row>
        <row r="1390">
          <cell r="B1390">
            <v>37810</v>
          </cell>
          <cell r="D1390">
            <v>51</v>
          </cell>
        </row>
        <row r="1391">
          <cell r="B1391">
            <v>37811</v>
          </cell>
          <cell r="D1391">
            <v>51.07</v>
          </cell>
        </row>
        <row r="1392">
          <cell r="B1392">
            <v>37812</v>
          </cell>
          <cell r="D1392">
            <v>51.34</v>
          </cell>
        </row>
        <row r="1393">
          <cell r="B1393">
            <v>37813</v>
          </cell>
          <cell r="D1393">
            <v>51.3</v>
          </cell>
        </row>
        <row r="1394">
          <cell r="B1394">
            <v>37816</v>
          </cell>
          <cell r="D1394">
            <v>50.33</v>
          </cell>
        </row>
        <row r="1395">
          <cell r="B1395">
            <v>37817</v>
          </cell>
          <cell r="D1395">
            <v>50.81</v>
          </cell>
        </row>
        <row r="1396">
          <cell r="B1396">
            <v>37818</v>
          </cell>
          <cell r="D1396">
            <v>51.28</v>
          </cell>
        </row>
        <row r="1397">
          <cell r="B1397">
            <v>37819</v>
          </cell>
          <cell r="D1397">
            <v>50.93</v>
          </cell>
        </row>
        <row r="1398">
          <cell r="B1398">
            <v>37820</v>
          </cell>
          <cell r="D1398">
            <v>51.47</v>
          </cell>
        </row>
        <row r="1399">
          <cell r="B1399">
            <v>37823</v>
          </cell>
          <cell r="D1399">
            <v>51.2</v>
          </cell>
        </row>
        <row r="1400">
          <cell r="B1400">
            <v>37824</v>
          </cell>
          <cell r="D1400">
            <v>51.54</v>
          </cell>
        </row>
        <row r="1401">
          <cell r="B1401">
            <v>37825</v>
          </cell>
          <cell r="D1401">
            <v>51.1</v>
          </cell>
        </row>
        <row r="1402">
          <cell r="B1402">
            <v>37826</v>
          </cell>
          <cell r="D1402">
            <v>51.08</v>
          </cell>
        </row>
        <row r="1403">
          <cell r="B1403">
            <v>37827</v>
          </cell>
          <cell r="D1403">
            <v>52.19</v>
          </cell>
        </row>
        <row r="1404">
          <cell r="B1404">
            <v>37830</v>
          </cell>
          <cell r="D1404">
            <v>52.16</v>
          </cell>
        </row>
        <row r="1405">
          <cell r="B1405">
            <v>37831</v>
          </cell>
          <cell r="D1405">
            <v>51.68</v>
          </cell>
        </row>
        <row r="1406">
          <cell r="B1406">
            <v>37832</v>
          </cell>
          <cell r="D1406">
            <v>52</v>
          </cell>
        </row>
        <row r="1407">
          <cell r="B1407">
            <v>37833</v>
          </cell>
          <cell r="D1407">
            <v>51.82</v>
          </cell>
        </row>
        <row r="1408">
          <cell r="B1408">
            <v>37834</v>
          </cell>
          <cell r="D1408">
            <v>51.34</v>
          </cell>
        </row>
        <row r="1409">
          <cell r="B1409">
            <v>37837</v>
          </cell>
          <cell r="D1409">
            <v>51.88</v>
          </cell>
        </row>
        <row r="1410">
          <cell r="B1410">
            <v>37838</v>
          </cell>
          <cell r="D1410">
            <v>51</v>
          </cell>
        </row>
        <row r="1411">
          <cell r="B1411">
            <v>37839</v>
          </cell>
          <cell r="D1411">
            <v>51.23</v>
          </cell>
        </row>
        <row r="1412">
          <cell r="B1412">
            <v>37840</v>
          </cell>
          <cell r="D1412">
            <v>51.65</v>
          </cell>
        </row>
        <row r="1413">
          <cell r="B1413">
            <v>37841</v>
          </cell>
          <cell r="D1413">
            <v>52</v>
          </cell>
        </row>
        <row r="1414">
          <cell r="B1414">
            <v>37844</v>
          </cell>
          <cell r="D1414">
            <v>52.13</v>
          </cell>
        </row>
        <row r="1415">
          <cell r="B1415">
            <v>37845</v>
          </cell>
          <cell r="D1415">
            <v>52.11</v>
          </cell>
        </row>
        <row r="1416">
          <cell r="B1416">
            <v>37846</v>
          </cell>
          <cell r="D1416">
            <v>51.91</v>
          </cell>
        </row>
        <row r="1417">
          <cell r="B1417">
            <v>37847</v>
          </cell>
          <cell r="D1417">
            <v>51.87</v>
          </cell>
        </row>
        <row r="1418">
          <cell r="B1418">
            <v>37848</v>
          </cell>
          <cell r="D1418">
            <v>51.83</v>
          </cell>
        </row>
        <row r="1419">
          <cell r="B1419">
            <v>37851</v>
          </cell>
          <cell r="D1419">
            <v>52.13</v>
          </cell>
        </row>
        <row r="1420">
          <cell r="B1420">
            <v>37852</v>
          </cell>
          <cell r="D1420">
            <v>51.49</v>
          </cell>
        </row>
        <row r="1421">
          <cell r="B1421">
            <v>37853</v>
          </cell>
          <cell r="D1421">
            <v>51.01</v>
          </cell>
        </row>
        <row r="1422">
          <cell r="B1422">
            <v>37854</v>
          </cell>
          <cell r="D1422">
            <v>50.83</v>
          </cell>
        </row>
        <row r="1423">
          <cell r="B1423">
            <v>37855</v>
          </cell>
          <cell r="D1423">
            <v>50.48</v>
          </cell>
        </row>
        <row r="1424">
          <cell r="B1424">
            <v>37858</v>
          </cell>
          <cell r="D1424">
            <v>50.68</v>
          </cell>
        </row>
        <row r="1425">
          <cell r="B1425">
            <v>37859</v>
          </cell>
          <cell r="D1425">
            <v>50.58</v>
          </cell>
        </row>
        <row r="1426">
          <cell r="B1426">
            <v>37860</v>
          </cell>
          <cell r="D1426">
            <v>50.85</v>
          </cell>
        </row>
        <row r="1427">
          <cell r="B1427">
            <v>37861</v>
          </cell>
          <cell r="D1427">
            <v>50.98</v>
          </cell>
        </row>
        <row r="1428">
          <cell r="B1428">
            <v>37862</v>
          </cell>
          <cell r="D1428">
            <v>51.54</v>
          </cell>
        </row>
        <row r="1429">
          <cell r="B1429">
            <v>37866</v>
          </cell>
          <cell r="D1429">
            <v>52.26</v>
          </cell>
        </row>
        <row r="1430">
          <cell r="B1430">
            <v>37867</v>
          </cell>
          <cell r="D1430">
            <v>52.29</v>
          </cell>
        </row>
        <row r="1431">
          <cell r="B1431">
            <v>37868</v>
          </cell>
          <cell r="D1431">
            <v>52.15</v>
          </cell>
        </row>
        <row r="1432">
          <cell r="B1432">
            <v>37869</v>
          </cell>
          <cell r="D1432">
            <v>51.63</v>
          </cell>
        </row>
        <row r="1433">
          <cell r="B1433">
            <v>37872</v>
          </cell>
          <cell r="D1433">
            <v>51.37</v>
          </cell>
        </row>
        <row r="1434">
          <cell r="B1434">
            <v>37873</v>
          </cell>
          <cell r="D1434">
            <v>50.71</v>
          </cell>
        </row>
        <row r="1435">
          <cell r="B1435">
            <v>37874</v>
          </cell>
          <cell r="D1435">
            <v>51.02</v>
          </cell>
        </row>
        <row r="1436">
          <cell r="B1436">
            <v>37875</v>
          </cell>
          <cell r="D1436">
            <v>50.93</v>
          </cell>
        </row>
        <row r="1437">
          <cell r="B1437">
            <v>37876</v>
          </cell>
          <cell r="D1437">
            <v>51.15</v>
          </cell>
        </row>
        <row r="1438">
          <cell r="B1438">
            <v>37879</v>
          </cell>
          <cell r="D1438">
            <v>51.49</v>
          </cell>
        </row>
        <row r="1439">
          <cell r="B1439">
            <v>37880</v>
          </cell>
          <cell r="D1439">
            <v>51.61</v>
          </cell>
        </row>
        <row r="1440">
          <cell r="B1440">
            <v>37881</v>
          </cell>
          <cell r="D1440">
            <v>51.11</v>
          </cell>
        </row>
        <row r="1441">
          <cell r="B1441">
            <v>37882</v>
          </cell>
          <cell r="D1441">
            <v>51.4</v>
          </cell>
        </row>
        <row r="1442">
          <cell r="B1442">
            <v>37883</v>
          </cell>
          <cell r="D1442">
            <v>51.1</v>
          </cell>
        </row>
        <row r="1443">
          <cell r="B1443">
            <v>37886</v>
          </cell>
          <cell r="D1443">
            <v>50.5</v>
          </cell>
        </row>
        <row r="1444">
          <cell r="B1444">
            <v>37887</v>
          </cell>
          <cell r="D1444">
            <v>50.8</v>
          </cell>
        </row>
        <row r="1445">
          <cell r="B1445">
            <v>37888</v>
          </cell>
          <cell r="D1445">
            <v>50.72</v>
          </cell>
        </row>
        <row r="1446">
          <cell r="B1446">
            <v>37889</v>
          </cell>
          <cell r="D1446">
            <v>50.94</v>
          </cell>
        </row>
        <row r="1447">
          <cell r="B1447">
            <v>37890</v>
          </cell>
          <cell r="D1447">
            <v>49.92</v>
          </cell>
        </row>
        <row r="1448">
          <cell r="B1448">
            <v>37893</v>
          </cell>
          <cell r="D1448">
            <v>50.27</v>
          </cell>
        </row>
        <row r="1449">
          <cell r="B1449">
            <v>37894</v>
          </cell>
          <cell r="D1449">
            <v>49.34</v>
          </cell>
        </row>
        <row r="1450">
          <cell r="B1450">
            <v>37895</v>
          </cell>
          <cell r="D1450">
            <v>51</v>
          </cell>
        </row>
        <row r="1451">
          <cell r="B1451">
            <v>37896</v>
          </cell>
          <cell r="D1451">
            <v>50.56</v>
          </cell>
        </row>
        <row r="1452">
          <cell r="B1452">
            <v>37897</v>
          </cell>
          <cell r="D1452">
            <v>50.4</v>
          </cell>
        </row>
        <row r="1453">
          <cell r="B1453">
            <v>37900</v>
          </cell>
          <cell r="D1453">
            <v>50.96</v>
          </cell>
        </row>
        <row r="1454">
          <cell r="B1454">
            <v>37901</v>
          </cell>
          <cell r="D1454">
            <v>50.95</v>
          </cell>
        </row>
        <row r="1455">
          <cell r="B1455">
            <v>37902</v>
          </cell>
          <cell r="D1455">
            <v>50.55</v>
          </cell>
        </row>
        <row r="1456">
          <cell r="B1456">
            <v>37903</v>
          </cell>
          <cell r="D1456">
            <v>50.4</v>
          </cell>
        </row>
        <row r="1457">
          <cell r="B1457">
            <v>37904</v>
          </cell>
          <cell r="D1457">
            <v>50.56</v>
          </cell>
        </row>
        <row r="1458">
          <cell r="B1458">
            <v>37907</v>
          </cell>
          <cell r="D1458">
            <v>50.21</v>
          </cell>
        </row>
        <row r="1459">
          <cell r="B1459">
            <v>37908</v>
          </cell>
          <cell r="D1459">
            <v>49.8</v>
          </cell>
        </row>
        <row r="1460">
          <cell r="B1460">
            <v>37909</v>
          </cell>
          <cell r="D1460">
            <v>48.89</v>
          </cell>
        </row>
        <row r="1461">
          <cell r="B1461">
            <v>37910</v>
          </cell>
          <cell r="D1461">
            <v>49.17</v>
          </cell>
        </row>
        <row r="1462">
          <cell r="B1462">
            <v>37911</v>
          </cell>
          <cell r="D1462">
            <v>48.77</v>
          </cell>
        </row>
        <row r="1463">
          <cell r="B1463">
            <v>37914</v>
          </cell>
          <cell r="D1463">
            <v>48.69</v>
          </cell>
        </row>
        <row r="1464">
          <cell r="B1464">
            <v>37915</v>
          </cell>
          <cell r="D1464">
            <v>49.2</v>
          </cell>
        </row>
        <row r="1465">
          <cell r="B1465">
            <v>37916</v>
          </cell>
          <cell r="D1465">
            <v>49.5</v>
          </cell>
        </row>
        <row r="1466">
          <cell r="B1466">
            <v>37917</v>
          </cell>
          <cell r="D1466">
            <v>49.6</v>
          </cell>
        </row>
        <row r="1467">
          <cell r="B1467">
            <v>37918</v>
          </cell>
          <cell r="D1467">
            <v>49.77</v>
          </cell>
        </row>
        <row r="1468">
          <cell r="B1468">
            <v>37921</v>
          </cell>
          <cell r="D1468">
            <v>49.52</v>
          </cell>
        </row>
        <row r="1469">
          <cell r="B1469">
            <v>37922</v>
          </cell>
          <cell r="D1469">
            <v>49.2</v>
          </cell>
        </row>
        <row r="1470">
          <cell r="B1470">
            <v>37923</v>
          </cell>
          <cell r="D1470">
            <v>48.95</v>
          </cell>
        </row>
        <row r="1471">
          <cell r="B1471">
            <v>37924</v>
          </cell>
          <cell r="D1471">
            <v>48.79</v>
          </cell>
        </row>
        <row r="1472">
          <cell r="B1472">
            <v>37925</v>
          </cell>
          <cell r="D1472">
            <v>49.26</v>
          </cell>
        </row>
        <row r="1473">
          <cell r="B1473">
            <v>37928</v>
          </cell>
          <cell r="D1473">
            <v>49.65</v>
          </cell>
        </row>
        <row r="1474">
          <cell r="B1474">
            <v>37929</v>
          </cell>
          <cell r="D1474">
            <v>49.02</v>
          </cell>
        </row>
        <row r="1475">
          <cell r="B1475">
            <v>37930</v>
          </cell>
          <cell r="D1475">
            <v>49.22</v>
          </cell>
        </row>
        <row r="1476">
          <cell r="B1476">
            <v>37931</v>
          </cell>
          <cell r="D1476">
            <v>50.49</v>
          </cell>
        </row>
        <row r="1477">
          <cell r="B1477">
            <v>37932</v>
          </cell>
          <cell r="D1477">
            <v>51.3</v>
          </cell>
        </row>
        <row r="1478">
          <cell r="B1478">
            <v>37935</v>
          </cell>
          <cell r="D1478">
            <v>51.72</v>
          </cell>
        </row>
        <row r="1479">
          <cell r="B1479">
            <v>37936</v>
          </cell>
          <cell r="D1479">
            <v>52.19</v>
          </cell>
        </row>
        <row r="1480">
          <cell r="B1480">
            <v>37937</v>
          </cell>
          <cell r="D1480">
            <v>52.76</v>
          </cell>
        </row>
        <row r="1481">
          <cell r="B1481">
            <v>37938</v>
          </cell>
          <cell r="D1481">
            <v>52.41</v>
          </cell>
        </row>
        <row r="1482">
          <cell r="B1482">
            <v>37939</v>
          </cell>
          <cell r="D1482">
            <v>52.4</v>
          </cell>
        </row>
        <row r="1483">
          <cell r="B1483">
            <v>37942</v>
          </cell>
          <cell r="D1483">
            <v>52.5</v>
          </cell>
        </row>
        <row r="1484">
          <cell r="B1484">
            <v>37943</v>
          </cell>
          <cell r="D1484">
            <v>52.73</v>
          </cell>
        </row>
        <row r="1485">
          <cell r="B1485">
            <v>37944</v>
          </cell>
          <cell r="D1485">
            <v>52.48</v>
          </cell>
        </row>
        <row r="1486">
          <cell r="B1486">
            <v>37945</v>
          </cell>
          <cell r="D1486">
            <v>51.85</v>
          </cell>
        </row>
        <row r="1487">
          <cell r="B1487">
            <v>37946</v>
          </cell>
          <cell r="D1487">
            <v>51.95</v>
          </cell>
        </row>
        <row r="1488">
          <cell r="B1488">
            <v>37949</v>
          </cell>
          <cell r="D1488">
            <v>52.2</v>
          </cell>
        </row>
        <row r="1489">
          <cell r="B1489">
            <v>37950</v>
          </cell>
          <cell r="D1489">
            <v>52.52</v>
          </cell>
        </row>
        <row r="1490">
          <cell r="B1490">
            <v>37951</v>
          </cell>
          <cell r="D1490">
            <v>52.4</v>
          </cell>
        </row>
        <row r="1491">
          <cell r="B1491">
            <v>37953</v>
          </cell>
          <cell r="D1491">
            <v>51.82</v>
          </cell>
        </row>
        <row r="1492">
          <cell r="B1492">
            <v>37956</v>
          </cell>
          <cell r="D1492">
            <v>52.31</v>
          </cell>
        </row>
        <row r="1493">
          <cell r="B1493">
            <v>37957</v>
          </cell>
          <cell r="D1493">
            <v>52.2</v>
          </cell>
        </row>
        <row r="1494">
          <cell r="B1494">
            <v>37958</v>
          </cell>
          <cell r="D1494">
            <v>52.61</v>
          </cell>
        </row>
        <row r="1495">
          <cell r="B1495">
            <v>37959</v>
          </cell>
          <cell r="D1495">
            <v>52.9</v>
          </cell>
        </row>
        <row r="1496">
          <cell r="B1496">
            <v>37960</v>
          </cell>
          <cell r="D1496">
            <v>52.61</v>
          </cell>
        </row>
        <row r="1497">
          <cell r="B1497">
            <v>37963</v>
          </cell>
          <cell r="D1497">
            <v>52.52</v>
          </cell>
        </row>
        <row r="1498">
          <cell r="B1498">
            <v>37964</v>
          </cell>
          <cell r="D1498">
            <v>52.42</v>
          </cell>
        </row>
        <row r="1499">
          <cell r="B1499">
            <v>37965</v>
          </cell>
          <cell r="D1499">
            <v>52.23</v>
          </cell>
        </row>
        <row r="1500">
          <cell r="B1500">
            <v>37966</v>
          </cell>
          <cell r="D1500">
            <v>52.4</v>
          </cell>
        </row>
        <row r="1501">
          <cell r="B1501">
            <v>37967</v>
          </cell>
          <cell r="D1501">
            <v>52.17</v>
          </cell>
        </row>
        <row r="1502">
          <cell r="B1502">
            <v>37970</v>
          </cell>
          <cell r="D1502">
            <v>52.26</v>
          </cell>
        </row>
        <row r="1503">
          <cell r="B1503">
            <v>37971</v>
          </cell>
          <cell r="D1503">
            <v>52.16</v>
          </cell>
        </row>
        <row r="1504">
          <cell r="B1504">
            <v>37972</v>
          </cell>
          <cell r="D1504">
            <v>52.38</v>
          </cell>
        </row>
        <row r="1505">
          <cell r="B1505">
            <v>37973</v>
          </cell>
          <cell r="D1505">
            <v>52.38</v>
          </cell>
        </row>
        <row r="1506">
          <cell r="B1506">
            <v>37974</v>
          </cell>
          <cell r="D1506">
            <v>52.1</v>
          </cell>
        </row>
        <row r="1507">
          <cell r="B1507">
            <v>37977</v>
          </cell>
          <cell r="D1507">
            <v>52.2</v>
          </cell>
        </row>
        <row r="1508">
          <cell r="B1508">
            <v>37978</v>
          </cell>
          <cell r="D1508">
            <v>52.55</v>
          </cell>
        </row>
        <row r="1509">
          <cell r="B1509">
            <v>37979</v>
          </cell>
          <cell r="D1509">
            <v>52.48</v>
          </cell>
        </row>
        <row r="1510">
          <cell r="B1510">
            <v>37981</v>
          </cell>
          <cell r="D1510">
            <v>52.44</v>
          </cell>
        </row>
        <row r="1511">
          <cell r="B1511">
            <v>37984</v>
          </cell>
          <cell r="D1511">
            <v>52.4</v>
          </cell>
        </row>
        <row r="1512">
          <cell r="B1512">
            <v>37985</v>
          </cell>
          <cell r="D1512">
            <v>52.33</v>
          </cell>
        </row>
        <row r="1513">
          <cell r="B1513">
            <v>37986</v>
          </cell>
          <cell r="D1513">
            <v>52.68</v>
          </cell>
        </row>
        <row r="1514">
          <cell r="B1514">
            <v>37988</v>
          </cell>
          <cell r="D1514">
            <v>52.44</v>
          </cell>
        </row>
        <row r="1515">
          <cell r="B1515">
            <v>37991</v>
          </cell>
          <cell r="D1515">
            <v>52.55</v>
          </cell>
        </row>
        <row r="1516">
          <cell r="B1516">
            <v>37992</v>
          </cell>
          <cell r="D1516">
            <v>51.9</v>
          </cell>
        </row>
        <row r="1517">
          <cell r="B1517">
            <v>37993</v>
          </cell>
          <cell r="D1517">
            <v>51.38</v>
          </cell>
        </row>
        <row r="1518">
          <cell r="B1518">
            <v>37994</v>
          </cell>
          <cell r="D1518">
            <v>50.71</v>
          </cell>
        </row>
        <row r="1519">
          <cell r="B1519">
            <v>37995</v>
          </cell>
          <cell r="D1519">
            <v>50.15</v>
          </cell>
        </row>
        <row r="1520">
          <cell r="B1520">
            <v>37998</v>
          </cell>
          <cell r="D1520">
            <v>50.82</v>
          </cell>
        </row>
        <row r="1521">
          <cell r="B1521">
            <v>37999</v>
          </cell>
          <cell r="D1521">
            <v>50.77</v>
          </cell>
        </row>
        <row r="1522">
          <cell r="B1522">
            <v>38000</v>
          </cell>
          <cell r="D1522">
            <v>51</v>
          </cell>
        </row>
        <row r="1523">
          <cell r="B1523">
            <v>38001</v>
          </cell>
          <cell r="D1523">
            <v>50.63</v>
          </cell>
        </row>
        <row r="1524">
          <cell r="B1524">
            <v>38002</v>
          </cell>
          <cell r="D1524">
            <v>50.35</v>
          </cell>
        </row>
        <row r="1525">
          <cell r="B1525">
            <v>38006</v>
          </cell>
          <cell r="D1525">
            <v>50.26</v>
          </cell>
        </row>
        <row r="1526">
          <cell r="B1526">
            <v>38007</v>
          </cell>
          <cell r="D1526">
            <v>50.14</v>
          </cell>
        </row>
        <row r="1527">
          <cell r="B1527">
            <v>38008</v>
          </cell>
          <cell r="D1527">
            <v>50.69</v>
          </cell>
        </row>
        <row r="1528">
          <cell r="B1528">
            <v>38009</v>
          </cell>
          <cell r="D1528">
            <v>51.4</v>
          </cell>
        </row>
        <row r="1529">
          <cell r="B1529">
            <v>38012</v>
          </cell>
          <cell r="D1529">
            <v>51.39</v>
          </cell>
        </row>
        <row r="1530">
          <cell r="B1530">
            <v>38013</v>
          </cell>
          <cell r="D1530">
            <v>51.33</v>
          </cell>
        </row>
        <row r="1531">
          <cell r="B1531">
            <v>38014</v>
          </cell>
          <cell r="D1531">
            <v>50.9</v>
          </cell>
        </row>
        <row r="1532">
          <cell r="B1532">
            <v>38015</v>
          </cell>
          <cell r="D1532">
            <v>51.1</v>
          </cell>
        </row>
        <row r="1533">
          <cell r="B1533">
            <v>38016</v>
          </cell>
          <cell r="D1533">
            <v>50.72</v>
          </cell>
        </row>
        <row r="1534">
          <cell r="B1534">
            <v>38019</v>
          </cell>
          <cell r="D1534">
            <v>51.01</v>
          </cell>
        </row>
        <row r="1535">
          <cell r="B1535">
            <v>38020</v>
          </cell>
          <cell r="D1535">
            <v>51.65</v>
          </cell>
        </row>
        <row r="1536">
          <cell r="B1536">
            <v>38021</v>
          </cell>
          <cell r="D1536">
            <v>51.88</v>
          </cell>
        </row>
        <row r="1537">
          <cell r="B1537">
            <v>38022</v>
          </cell>
          <cell r="D1537">
            <v>51.71</v>
          </cell>
        </row>
        <row r="1538">
          <cell r="B1538">
            <v>38023</v>
          </cell>
          <cell r="D1538">
            <v>52</v>
          </cell>
        </row>
        <row r="1539">
          <cell r="B1539">
            <v>38026</v>
          </cell>
          <cell r="D1539">
            <v>51.74</v>
          </cell>
        </row>
        <row r="1540">
          <cell r="B1540">
            <v>38027</v>
          </cell>
          <cell r="D1540">
            <v>51.8</v>
          </cell>
        </row>
        <row r="1541">
          <cell r="B1541">
            <v>38028</v>
          </cell>
          <cell r="D1541">
            <v>51.86</v>
          </cell>
        </row>
        <row r="1542">
          <cell r="B1542">
            <v>38029</v>
          </cell>
          <cell r="D1542">
            <v>51.95</v>
          </cell>
        </row>
        <row r="1543">
          <cell r="B1543">
            <v>38030</v>
          </cell>
          <cell r="D1543">
            <v>51.97</v>
          </cell>
        </row>
        <row r="1544">
          <cell r="B1544">
            <v>38034</v>
          </cell>
          <cell r="D1544">
            <v>51.95</v>
          </cell>
        </row>
        <row r="1545">
          <cell r="B1545">
            <v>38035</v>
          </cell>
          <cell r="D1545">
            <v>51.71</v>
          </cell>
        </row>
        <row r="1546">
          <cell r="B1546">
            <v>38036</v>
          </cell>
          <cell r="D1546">
            <v>51.9</v>
          </cell>
        </row>
        <row r="1547">
          <cell r="B1547">
            <v>38037</v>
          </cell>
          <cell r="D1547">
            <v>52.94</v>
          </cell>
        </row>
        <row r="1548">
          <cell r="B1548">
            <v>38040</v>
          </cell>
          <cell r="D1548">
            <v>54.01</v>
          </cell>
        </row>
        <row r="1549">
          <cell r="B1549">
            <v>38041</v>
          </cell>
          <cell r="D1549">
            <v>53.26</v>
          </cell>
        </row>
        <row r="1550">
          <cell r="B1550">
            <v>38042</v>
          </cell>
          <cell r="D1550">
            <v>53.5</v>
          </cell>
        </row>
        <row r="1551">
          <cell r="B1551">
            <v>38043</v>
          </cell>
          <cell r="D1551">
            <v>53.17</v>
          </cell>
        </row>
        <row r="1552">
          <cell r="B1552">
            <v>38044</v>
          </cell>
          <cell r="D1552">
            <v>53.22</v>
          </cell>
        </row>
        <row r="1553">
          <cell r="B1553">
            <v>38047</v>
          </cell>
          <cell r="D1553">
            <v>53.79</v>
          </cell>
        </row>
        <row r="1554">
          <cell r="B1554">
            <v>38048</v>
          </cell>
          <cell r="D1554">
            <v>53.21</v>
          </cell>
        </row>
        <row r="1555">
          <cell r="B1555">
            <v>38049</v>
          </cell>
          <cell r="D1555">
            <v>53.74</v>
          </cell>
        </row>
        <row r="1556">
          <cell r="B1556">
            <v>38050</v>
          </cell>
          <cell r="D1556">
            <v>53.05</v>
          </cell>
        </row>
        <row r="1557">
          <cell r="B1557">
            <v>38051</v>
          </cell>
          <cell r="D1557">
            <v>52.5</v>
          </cell>
        </row>
        <row r="1558">
          <cell r="B1558">
            <v>38054</v>
          </cell>
          <cell r="D1558">
            <v>52.21</v>
          </cell>
        </row>
        <row r="1559">
          <cell r="B1559">
            <v>38055</v>
          </cell>
          <cell r="D1559">
            <v>52.7</v>
          </cell>
        </row>
        <row r="1560">
          <cell r="B1560">
            <v>38056</v>
          </cell>
          <cell r="D1560">
            <v>53.07</v>
          </cell>
        </row>
        <row r="1561">
          <cell r="B1561">
            <v>38057</v>
          </cell>
          <cell r="D1561">
            <v>52.85</v>
          </cell>
        </row>
        <row r="1562">
          <cell r="B1562">
            <v>38058</v>
          </cell>
          <cell r="D1562">
            <v>52.88</v>
          </cell>
        </row>
        <row r="1563">
          <cell r="B1563">
            <v>38061</v>
          </cell>
          <cell r="D1563">
            <v>52.02</v>
          </cell>
        </row>
        <row r="1564">
          <cell r="B1564">
            <v>38062</v>
          </cell>
          <cell r="D1564">
            <v>51.77</v>
          </cell>
        </row>
        <row r="1565">
          <cell r="B1565">
            <v>38063</v>
          </cell>
          <cell r="D1565">
            <v>51.92</v>
          </cell>
        </row>
        <row r="1566">
          <cell r="B1566">
            <v>38064</v>
          </cell>
          <cell r="D1566">
            <v>51.57</v>
          </cell>
        </row>
        <row r="1567">
          <cell r="B1567">
            <v>38065</v>
          </cell>
          <cell r="D1567">
            <v>51.85</v>
          </cell>
        </row>
        <row r="1568">
          <cell r="B1568">
            <v>38068</v>
          </cell>
          <cell r="D1568">
            <v>51.02</v>
          </cell>
        </row>
        <row r="1569">
          <cell r="B1569">
            <v>38069</v>
          </cell>
          <cell r="D1569">
            <v>50.32</v>
          </cell>
        </row>
        <row r="1570">
          <cell r="B1570">
            <v>38070</v>
          </cell>
          <cell r="D1570">
            <v>49.99</v>
          </cell>
        </row>
        <row r="1571">
          <cell r="B1571">
            <v>38071</v>
          </cell>
          <cell r="D1571">
            <v>49.94</v>
          </cell>
        </row>
        <row r="1572">
          <cell r="B1572">
            <v>38072</v>
          </cell>
          <cell r="D1572">
            <v>50.19</v>
          </cell>
        </row>
        <row r="1573">
          <cell r="B1573">
            <v>38075</v>
          </cell>
          <cell r="D1573">
            <v>51.11</v>
          </cell>
        </row>
        <row r="1574">
          <cell r="B1574">
            <v>38076</v>
          </cell>
          <cell r="D1574">
            <v>51.15</v>
          </cell>
        </row>
        <row r="1575">
          <cell r="B1575">
            <v>38077</v>
          </cell>
          <cell r="D1575">
            <v>51</v>
          </cell>
        </row>
        <row r="1576">
          <cell r="B1576">
            <v>38078</v>
          </cell>
          <cell r="D1576">
            <v>51.41</v>
          </cell>
        </row>
        <row r="1577">
          <cell r="B1577">
            <v>38079</v>
          </cell>
          <cell r="D1577">
            <v>51</v>
          </cell>
        </row>
        <row r="1578">
          <cell r="B1578">
            <v>38082</v>
          </cell>
          <cell r="D1578">
            <v>50.62</v>
          </cell>
        </row>
        <row r="1579">
          <cell r="B1579">
            <v>38083</v>
          </cell>
          <cell r="D1579">
            <v>51.03</v>
          </cell>
        </row>
        <row r="1580">
          <cell r="B1580">
            <v>38084</v>
          </cell>
          <cell r="D1580">
            <v>50.64</v>
          </cell>
        </row>
        <row r="1581">
          <cell r="B1581">
            <v>38085</v>
          </cell>
          <cell r="D1581">
            <v>51.03</v>
          </cell>
        </row>
        <row r="1582">
          <cell r="B1582">
            <v>38089</v>
          </cell>
          <cell r="D1582">
            <v>50.95</v>
          </cell>
        </row>
        <row r="1583">
          <cell r="B1583">
            <v>38090</v>
          </cell>
          <cell r="D1583">
            <v>50.76</v>
          </cell>
        </row>
        <row r="1584">
          <cell r="B1584">
            <v>38091</v>
          </cell>
          <cell r="D1584">
            <v>50.69</v>
          </cell>
        </row>
        <row r="1585">
          <cell r="B1585">
            <v>38092</v>
          </cell>
          <cell r="D1585">
            <v>50.61</v>
          </cell>
        </row>
        <row r="1586">
          <cell r="B1586">
            <v>38093</v>
          </cell>
          <cell r="D1586">
            <v>50.52</v>
          </cell>
        </row>
        <row r="1587">
          <cell r="B1587">
            <v>38096</v>
          </cell>
          <cell r="D1587">
            <v>51.19</v>
          </cell>
        </row>
        <row r="1588">
          <cell r="B1588">
            <v>38097</v>
          </cell>
          <cell r="D1588">
            <v>51.07</v>
          </cell>
        </row>
        <row r="1589">
          <cell r="B1589">
            <v>38098</v>
          </cell>
          <cell r="D1589">
            <v>51</v>
          </cell>
        </row>
        <row r="1590">
          <cell r="B1590">
            <v>38099</v>
          </cell>
          <cell r="D1590">
            <v>51.4</v>
          </cell>
        </row>
        <row r="1591">
          <cell r="B1591">
            <v>38100</v>
          </cell>
          <cell r="D1591">
            <v>52.26</v>
          </cell>
        </row>
        <row r="1592">
          <cell r="B1592">
            <v>38103</v>
          </cell>
          <cell r="D1592">
            <v>51.95</v>
          </cell>
        </row>
        <row r="1593">
          <cell r="B1593">
            <v>38104</v>
          </cell>
          <cell r="D1593">
            <v>51.98</v>
          </cell>
        </row>
        <row r="1594">
          <cell r="B1594">
            <v>38105</v>
          </cell>
          <cell r="D1594">
            <v>51.28</v>
          </cell>
        </row>
        <row r="1595">
          <cell r="B1595">
            <v>38106</v>
          </cell>
          <cell r="D1595">
            <v>51.38</v>
          </cell>
        </row>
        <row r="1596">
          <cell r="B1596">
            <v>38107</v>
          </cell>
          <cell r="D1596">
            <v>51.24</v>
          </cell>
        </row>
        <row r="1597">
          <cell r="B1597">
            <v>38110</v>
          </cell>
          <cell r="D1597">
            <v>51.29</v>
          </cell>
        </row>
        <row r="1598">
          <cell r="B1598">
            <v>38111</v>
          </cell>
          <cell r="D1598">
            <v>51.09</v>
          </cell>
        </row>
        <row r="1599">
          <cell r="B1599">
            <v>38112</v>
          </cell>
          <cell r="D1599">
            <v>51.1</v>
          </cell>
        </row>
        <row r="1600">
          <cell r="B1600">
            <v>38113</v>
          </cell>
          <cell r="D1600">
            <v>50.9</v>
          </cell>
        </row>
        <row r="1601">
          <cell r="B1601">
            <v>38114</v>
          </cell>
          <cell r="D1601">
            <v>51.69</v>
          </cell>
        </row>
        <row r="1602">
          <cell r="B1602">
            <v>38117</v>
          </cell>
          <cell r="D1602">
            <v>51.65</v>
          </cell>
        </row>
        <row r="1603">
          <cell r="B1603">
            <v>38118</v>
          </cell>
          <cell r="D1603">
            <v>51.95</v>
          </cell>
        </row>
        <row r="1604">
          <cell r="B1604">
            <v>38119</v>
          </cell>
          <cell r="D1604">
            <v>51.64</v>
          </cell>
        </row>
        <row r="1605">
          <cell r="B1605">
            <v>38120</v>
          </cell>
          <cell r="D1605">
            <v>51.25</v>
          </cell>
        </row>
        <row r="1606">
          <cell r="B1606">
            <v>38121</v>
          </cell>
          <cell r="D1606">
            <v>51.22</v>
          </cell>
        </row>
        <row r="1607">
          <cell r="B1607">
            <v>38124</v>
          </cell>
          <cell r="D1607">
            <v>51.82</v>
          </cell>
        </row>
        <row r="1608">
          <cell r="B1608">
            <v>38125</v>
          </cell>
          <cell r="D1608">
            <v>51.75</v>
          </cell>
        </row>
        <row r="1609">
          <cell r="B1609">
            <v>38126</v>
          </cell>
          <cell r="D1609">
            <v>51.81</v>
          </cell>
        </row>
        <row r="1610">
          <cell r="B1610">
            <v>38127</v>
          </cell>
          <cell r="D1610">
            <v>52.11</v>
          </cell>
        </row>
        <row r="1611">
          <cell r="B1611">
            <v>38128</v>
          </cell>
          <cell r="D1611">
            <v>51.55</v>
          </cell>
        </row>
        <row r="1612">
          <cell r="B1612">
            <v>38131</v>
          </cell>
          <cell r="D1612">
            <v>51.65</v>
          </cell>
        </row>
        <row r="1613">
          <cell r="B1613">
            <v>38132</v>
          </cell>
          <cell r="D1613">
            <v>52.73</v>
          </cell>
        </row>
        <row r="1614">
          <cell r="B1614">
            <v>38133</v>
          </cell>
          <cell r="D1614">
            <v>52.99</v>
          </cell>
        </row>
        <row r="1615">
          <cell r="B1615">
            <v>38134</v>
          </cell>
          <cell r="D1615">
            <v>53.27</v>
          </cell>
        </row>
        <row r="1616">
          <cell r="B1616">
            <v>38135</v>
          </cell>
          <cell r="D1616">
            <v>53.27</v>
          </cell>
        </row>
        <row r="1617">
          <cell r="B1617">
            <v>38139</v>
          </cell>
          <cell r="D1617">
            <v>53.44</v>
          </cell>
        </row>
        <row r="1618">
          <cell r="B1618">
            <v>38140</v>
          </cell>
          <cell r="D1618">
            <v>53.87</v>
          </cell>
        </row>
        <row r="1619">
          <cell r="B1619">
            <v>38141</v>
          </cell>
          <cell r="D1619">
            <v>53.92</v>
          </cell>
        </row>
        <row r="1620">
          <cell r="B1620">
            <v>38142</v>
          </cell>
          <cell r="D1620">
            <v>54.08</v>
          </cell>
        </row>
        <row r="1621">
          <cell r="B1621">
            <v>38145</v>
          </cell>
          <cell r="D1621">
            <v>53.75</v>
          </cell>
        </row>
        <row r="1622">
          <cell r="B1622">
            <v>38146</v>
          </cell>
          <cell r="D1622">
            <v>54.12</v>
          </cell>
        </row>
        <row r="1623">
          <cell r="B1623">
            <v>38147</v>
          </cell>
          <cell r="D1623">
            <v>54.08</v>
          </cell>
        </row>
        <row r="1624">
          <cell r="B1624">
            <v>38148</v>
          </cell>
          <cell r="D1624">
            <v>53.66</v>
          </cell>
        </row>
        <row r="1625">
          <cell r="B1625">
            <v>38152</v>
          </cell>
          <cell r="D1625">
            <v>53.92</v>
          </cell>
        </row>
        <row r="1626">
          <cell r="B1626">
            <v>38153</v>
          </cell>
          <cell r="D1626">
            <v>54.22</v>
          </cell>
        </row>
        <row r="1627">
          <cell r="B1627">
            <v>38154</v>
          </cell>
          <cell r="D1627">
            <v>54.11</v>
          </cell>
        </row>
        <row r="1628">
          <cell r="B1628">
            <v>38155</v>
          </cell>
          <cell r="D1628">
            <v>53.83</v>
          </cell>
        </row>
        <row r="1629">
          <cell r="B1629">
            <v>38156</v>
          </cell>
          <cell r="D1629">
            <v>54</v>
          </cell>
        </row>
        <row r="1630">
          <cell r="B1630">
            <v>38159</v>
          </cell>
          <cell r="D1630">
            <v>53.98</v>
          </cell>
        </row>
        <row r="1631">
          <cell r="B1631">
            <v>38160</v>
          </cell>
          <cell r="D1631">
            <v>53.93</v>
          </cell>
        </row>
        <row r="1632">
          <cell r="B1632">
            <v>38161</v>
          </cell>
          <cell r="D1632">
            <v>54.04</v>
          </cell>
        </row>
        <row r="1633">
          <cell r="B1633">
            <v>38162</v>
          </cell>
          <cell r="D1633">
            <v>54</v>
          </cell>
        </row>
        <row r="1634">
          <cell r="B1634">
            <v>38163</v>
          </cell>
          <cell r="D1634">
            <v>53.72</v>
          </cell>
        </row>
        <row r="1635">
          <cell r="B1635">
            <v>38166</v>
          </cell>
          <cell r="D1635">
            <v>53.89</v>
          </cell>
        </row>
        <row r="1636">
          <cell r="B1636">
            <v>38167</v>
          </cell>
          <cell r="D1636">
            <v>54.22</v>
          </cell>
        </row>
        <row r="1637">
          <cell r="B1637">
            <v>38168</v>
          </cell>
          <cell r="D1637">
            <v>54</v>
          </cell>
        </row>
        <row r="1638">
          <cell r="B1638">
            <v>38169</v>
          </cell>
          <cell r="D1638">
            <v>53.93</v>
          </cell>
        </row>
        <row r="1639">
          <cell r="B1639">
            <v>38170</v>
          </cell>
          <cell r="D1639">
            <v>53.87</v>
          </cell>
        </row>
        <row r="1640">
          <cell r="B1640">
            <v>38174</v>
          </cell>
          <cell r="D1640">
            <v>54.11</v>
          </cell>
        </row>
        <row r="1641">
          <cell r="B1641">
            <v>38175</v>
          </cell>
          <cell r="D1641">
            <v>54.09</v>
          </cell>
        </row>
        <row r="1642">
          <cell r="B1642">
            <v>38176</v>
          </cell>
          <cell r="D1642">
            <v>53.87</v>
          </cell>
        </row>
        <row r="1643">
          <cell r="B1643">
            <v>38177</v>
          </cell>
          <cell r="D1643">
            <v>53.64</v>
          </cell>
        </row>
        <row r="1644">
          <cell r="B1644">
            <v>38180</v>
          </cell>
          <cell r="D1644">
            <v>54.14</v>
          </cell>
        </row>
        <row r="1645">
          <cell r="B1645">
            <v>38181</v>
          </cell>
          <cell r="D1645">
            <v>54.07</v>
          </cell>
        </row>
        <row r="1646">
          <cell r="B1646">
            <v>38182</v>
          </cell>
          <cell r="D1646">
            <v>54.29</v>
          </cell>
        </row>
        <row r="1647">
          <cell r="B1647">
            <v>38183</v>
          </cell>
          <cell r="D1647">
            <v>54.17</v>
          </cell>
        </row>
        <row r="1648">
          <cell r="B1648">
            <v>38184</v>
          </cell>
          <cell r="D1648">
            <v>53.65</v>
          </cell>
        </row>
        <row r="1649">
          <cell r="B1649">
            <v>38187</v>
          </cell>
          <cell r="D1649">
            <v>53.3</v>
          </cell>
        </row>
        <row r="1650">
          <cell r="B1650">
            <v>38188</v>
          </cell>
          <cell r="D1650">
            <v>53.2</v>
          </cell>
        </row>
        <row r="1651">
          <cell r="B1651">
            <v>38189</v>
          </cell>
          <cell r="D1651">
            <v>52.19</v>
          </cell>
        </row>
        <row r="1652">
          <cell r="B1652">
            <v>38190</v>
          </cell>
          <cell r="D1652">
            <v>51.83</v>
          </cell>
        </row>
        <row r="1653">
          <cell r="B1653">
            <v>38191</v>
          </cell>
          <cell r="D1653">
            <v>51.44</v>
          </cell>
        </row>
        <row r="1654">
          <cell r="B1654">
            <v>38194</v>
          </cell>
          <cell r="D1654">
            <v>51.65</v>
          </cell>
        </row>
        <row r="1655">
          <cell r="B1655">
            <v>38195</v>
          </cell>
          <cell r="D1655">
            <v>51.9</v>
          </cell>
        </row>
        <row r="1656">
          <cell r="B1656">
            <v>38196</v>
          </cell>
          <cell r="D1656">
            <v>52.33</v>
          </cell>
        </row>
        <row r="1657">
          <cell r="B1657">
            <v>38197</v>
          </cell>
          <cell r="D1657">
            <v>51.18</v>
          </cell>
        </row>
        <row r="1658">
          <cell r="B1658">
            <v>38198</v>
          </cell>
          <cell r="D1658">
            <v>51.9</v>
          </cell>
        </row>
        <row r="1659">
          <cell r="B1659">
            <v>38201</v>
          </cell>
          <cell r="D1659">
            <v>52.76</v>
          </cell>
        </row>
        <row r="1660">
          <cell r="B1660">
            <v>38202</v>
          </cell>
          <cell r="D1660">
            <v>52.36</v>
          </cell>
        </row>
        <row r="1661">
          <cell r="B1661">
            <v>38203</v>
          </cell>
          <cell r="D1661">
            <v>52.78</v>
          </cell>
        </row>
        <row r="1662">
          <cell r="B1662">
            <v>38204</v>
          </cell>
          <cell r="D1662">
            <v>52.18</v>
          </cell>
        </row>
        <row r="1663">
          <cell r="B1663">
            <v>38205</v>
          </cell>
          <cell r="D1663">
            <v>51.88</v>
          </cell>
        </row>
        <row r="1664">
          <cell r="B1664">
            <v>38208</v>
          </cell>
          <cell r="D1664">
            <v>51.97</v>
          </cell>
        </row>
        <row r="1665">
          <cell r="B1665">
            <v>38209</v>
          </cell>
          <cell r="D1665">
            <v>52.29</v>
          </cell>
        </row>
        <row r="1666">
          <cell r="B1666">
            <v>38210</v>
          </cell>
          <cell r="D1666">
            <v>52.79</v>
          </cell>
        </row>
        <row r="1667">
          <cell r="B1667">
            <v>38211</v>
          </cell>
          <cell r="D1667">
            <v>52.79</v>
          </cell>
        </row>
        <row r="1668">
          <cell r="B1668">
            <v>38212</v>
          </cell>
          <cell r="D1668">
            <v>52.57</v>
          </cell>
        </row>
        <row r="1669">
          <cell r="B1669">
            <v>38215</v>
          </cell>
          <cell r="D1669">
            <v>52.52</v>
          </cell>
        </row>
        <row r="1670">
          <cell r="B1670">
            <v>38216</v>
          </cell>
          <cell r="D1670">
            <v>52.96</v>
          </cell>
        </row>
        <row r="1671">
          <cell r="B1671">
            <v>38217</v>
          </cell>
          <cell r="D1671">
            <v>53.07</v>
          </cell>
        </row>
        <row r="1672">
          <cell r="B1672">
            <v>38218</v>
          </cell>
          <cell r="D1672">
            <v>52.55</v>
          </cell>
        </row>
        <row r="1673">
          <cell r="B1673">
            <v>38219</v>
          </cell>
          <cell r="D1673">
            <v>52.58</v>
          </cell>
        </row>
        <row r="1674">
          <cell r="B1674">
            <v>38222</v>
          </cell>
          <cell r="D1674">
            <v>52.75</v>
          </cell>
        </row>
        <row r="1675">
          <cell r="B1675">
            <v>38223</v>
          </cell>
          <cell r="D1675">
            <v>52.52</v>
          </cell>
        </row>
        <row r="1676">
          <cell r="B1676">
            <v>38224</v>
          </cell>
          <cell r="D1676">
            <v>52.78</v>
          </cell>
        </row>
        <row r="1677">
          <cell r="B1677">
            <v>38225</v>
          </cell>
          <cell r="D1677">
            <v>52.66</v>
          </cell>
        </row>
        <row r="1678">
          <cell r="B1678">
            <v>38226</v>
          </cell>
          <cell r="D1678">
            <v>52.47</v>
          </cell>
        </row>
        <row r="1679">
          <cell r="B1679">
            <v>38229</v>
          </cell>
          <cell r="D1679">
            <v>52.56</v>
          </cell>
        </row>
        <row r="1680">
          <cell r="B1680">
            <v>38230</v>
          </cell>
          <cell r="D1680">
            <v>52.8</v>
          </cell>
        </row>
        <row r="1681">
          <cell r="B1681">
            <v>38231</v>
          </cell>
          <cell r="D1681">
            <v>52.46</v>
          </cell>
        </row>
        <row r="1682">
          <cell r="B1682">
            <v>38232</v>
          </cell>
          <cell r="D1682">
            <v>52.37</v>
          </cell>
        </row>
        <row r="1683">
          <cell r="B1683">
            <v>38233</v>
          </cell>
          <cell r="D1683">
            <v>52.53</v>
          </cell>
        </row>
        <row r="1684">
          <cell r="B1684">
            <v>38237</v>
          </cell>
          <cell r="D1684">
            <v>52.57</v>
          </cell>
        </row>
        <row r="1685">
          <cell r="B1685">
            <v>38238</v>
          </cell>
          <cell r="D1685">
            <v>51.88</v>
          </cell>
        </row>
        <row r="1686">
          <cell r="B1686">
            <v>38239</v>
          </cell>
          <cell r="D1686">
            <v>50.89</v>
          </cell>
        </row>
        <row r="1687">
          <cell r="B1687">
            <v>38240</v>
          </cell>
          <cell r="D1687">
            <v>51.17</v>
          </cell>
        </row>
        <row r="1688">
          <cell r="B1688">
            <v>38243</v>
          </cell>
          <cell r="D1688">
            <v>50.9</v>
          </cell>
        </row>
        <row r="1689">
          <cell r="B1689">
            <v>38244</v>
          </cell>
          <cell r="D1689">
            <v>50.75</v>
          </cell>
        </row>
        <row r="1690">
          <cell r="B1690">
            <v>38245</v>
          </cell>
          <cell r="D1690">
            <v>51.09</v>
          </cell>
        </row>
        <row r="1691">
          <cell r="B1691">
            <v>38246</v>
          </cell>
          <cell r="D1691">
            <v>51.31</v>
          </cell>
        </row>
        <row r="1692">
          <cell r="B1692">
            <v>38247</v>
          </cell>
          <cell r="D1692">
            <v>51.3</v>
          </cell>
        </row>
        <row r="1693">
          <cell r="B1693">
            <v>38250</v>
          </cell>
          <cell r="D1693">
            <v>50.3</v>
          </cell>
        </row>
        <row r="1694">
          <cell r="B1694">
            <v>38251</v>
          </cell>
          <cell r="D1694">
            <v>49.64</v>
          </cell>
        </row>
        <row r="1695">
          <cell r="B1695">
            <v>38252</v>
          </cell>
          <cell r="D1695">
            <v>49.45</v>
          </cell>
        </row>
        <row r="1696">
          <cell r="B1696">
            <v>38253</v>
          </cell>
          <cell r="D1696">
            <v>49.86</v>
          </cell>
        </row>
        <row r="1697">
          <cell r="B1697">
            <v>38254</v>
          </cell>
          <cell r="D1697">
            <v>49.71</v>
          </cell>
        </row>
        <row r="1698">
          <cell r="B1698">
            <v>38257</v>
          </cell>
          <cell r="D1698">
            <v>49.88</v>
          </cell>
        </row>
        <row r="1699">
          <cell r="B1699">
            <v>38258</v>
          </cell>
          <cell r="D1699">
            <v>50.44</v>
          </cell>
        </row>
        <row r="1700">
          <cell r="B1700">
            <v>38259</v>
          </cell>
          <cell r="D1700">
            <v>50.22</v>
          </cell>
        </row>
        <row r="1701">
          <cell r="B1701">
            <v>38260</v>
          </cell>
          <cell r="D1701">
            <v>49.95</v>
          </cell>
        </row>
        <row r="1702">
          <cell r="B1702">
            <v>38261</v>
          </cell>
          <cell r="D1702">
            <v>50.48</v>
          </cell>
        </row>
        <row r="1703">
          <cell r="B1703">
            <v>38264</v>
          </cell>
          <cell r="D1703">
            <v>50.2</v>
          </cell>
        </row>
        <row r="1704">
          <cell r="B1704">
            <v>38265</v>
          </cell>
          <cell r="D1704">
            <v>50.74</v>
          </cell>
        </row>
        <row r="1705">
          <cell r="B1705">
            <v>38266</v>
          </cell>
          <cell r="D1705">
            <v>51.02</v>
          </cell>
        </row>
        <row r="1706">
          <cell r="B1706">
            <v>38267</v>
          </cell>
          <cell r="D1706">
            <v>50.47</v>
          </cell>
        </row>
        <row r="1707">
          <cell r="B1707">
            <v>38268</v>
          </cell>
          <cell r="D1707">
            <v>50.67</v>
          </cell>
        </row>
        <row r="1708">
          <cell r="B1708">
            <v>38271</v>
          </cell>
          <cell r="D1708">
            <v>50.85</v>
          </cell>
        </row>
        <row r="1709">
          <cell r="B1709">
            <v>38272</v>
          </cell>
          <cell r="D1709">
            <v>50.48</v>
          </cell>
        </row>
        <row r="1710">
          <cell r="B1710">
            <v>38273</v>
          </cell>
          <cell r="D1710">
            <v>50.38</v>
          </cell>
        </row>
        <row r="1711">
          <cell r="B1711">
            <v>38274</v>
          </cell>
          <cell r="D1711">
            <v>50.43</v>
          </cell>
        </row>
        <row r="1712">
          <cell r="B1712">
            <v>38275</v>
          </cell>
          <cell r="D1712">
            <v>50.5</v>
          </cell>
        </row>
        <row r="1713">
          <cell r="B1713">
            <v>38278</v>
          </cell>
          <cell r="D1713">
            <v>50.79</v>
          </cell>
        </row>
        <row r="1714">
          <cell r="B1714">
            <v>38279</v>
          </cell>
          <cell r="D1714">
            <v>50.14</v>
          </cell>
        </row>
        <row r="1715">
          <cell r="B1715">
            <v>38280</v>
          </cell>
          <cell r="D1715">
            <v>50.14</v>
          </cell>
        </row>
        <row r="1716">
          <cell r="B1716">
            <v>38281</v>
          </cell>
          <cell r="D1716">
            <v>50.25</v>
          </cell>
        </row>
        <row r="1717">
          <cell r="B1717">
            <v>38282</v>
          </cell>
          <cell r="D1717">
            <v>50.12</v>
          </cell>
        </row>
        <row r="1718">
          <cell r="B1718">
            <v>38285</v>
          </cell>
          <cell r="D1718">
            <v>50.19</v>
          </cell>
        </row>
        <row r="1719">
          <cell r="B1719">
            <v>38286</v>
          </cell>
          <cell r="D1719">
            <v>50.3</v>
          </cell>
        </row>
        <row r="1720">
          <cell r="B1720">
            <v>38287</v>
          </cell>
          <cell r="D1720">
            <v>49.91</v>
          </cell>
        </row>
        <row r="1721">
          <cell r="B1721">
            <v>38288</v>
          </cell>
          <cell r="D1721">
            <v>49.9</v>
          </cell>
        </row>
        <row r="1722">
          <cell r="B1722">
            <v>38289</v>
          </cell>
          <cell r="D1722">
            <v>49.95</v>
          </cell>
        </row>
        <row r="1723">
          <cell r="B1723">
            <v>38292</v>
          </cell>
          <cell r="D1723">
            <v>49.83</v>
          </cell>
        </row>
        <row r="1724">
          <cell r="B1724">
            <v>38293</v>
          </cell>
          <cell r="D1724">
            <v>50.22</v>
          </cell>
        </row>
        <row r="1725">
          <cell r="B1725">
            <v>38294</v>
          </cell>
          <cell r="D1725">
            <v>50.37</v>
          </cell>
        </row>
        <row r="1726">
          <cell r="B1726">
            <v>38295</v>
          </cell>
          <cell r="D1726">
            <v>50.7</v>
          </cell>
        </row>
        <row r="1727">
          <cell r="B1727">
            <v>38296</v>
          </cell>
          <cell r="D1727">
            <v>50.56</v>
          </cell>
        </row>
        <row r="1728">
          <cell r="B1728">
            <v>38299</v>
          </cell>
          <cell r="D1728">
            <v>50.26</v>
          </cell>
        </row>
        <row r="1729">
          <cell r="B1729">
            <v>38300</v>
          </cell>
          <cell r="D1729">
            <v>51.07</v>
          </cell>
        </row>
        <row r="1730">
          <cell r="B1730">
            <v>38301</v>
          </cell>
          <cell r="D1730">
            <v>50.65</v>
          </cell>
        </row>
        <row r="1731">
          <cell r="B1731">
            <v>38302</v>
          </cell>
          <cell r="D1731">
            <v>50.71</v>
          </cell>
        </row>
        <row r="1732">
          <cell r="B1732">
            <v>38303</v>
          </cell>
          <cell r="D1732">
            <v>51.06</v>
          </cell>
        </row>
        <row r="1733">
          <cell r="B1733">
            <v>38306</v>
          </cell>
          <cell r="D1733">
            <v>50.94</v>
          </cell>
        </row>
        <row r="1734">
          <cell r="B1734">
            <v>38307</v>
          </cell>
          <cell r="D1734">
            <v>50.73</v>
          </cell>
        </row>
        <row r="1735">
          <cell r="B1735">
            <v>38308</v>
          </cell>
          <cell r="D1735">
            <v>50.95</v>
          </cell>
        </row>
        <row r="1736">
          <cell r="B1736">
            <v>38309</v>
          </cell>
          <cell r="D1736">
            <v>50.88</v>
          </cell>
        </row>
        <row r="1737">
          <cell r="B1737">
            <v>38310</v>
          </cell>
          <cell r="D1737">
            <v>50.26</v>
          </cell>
        </row>
        <row r="1738">
          <cell r="B1738">
            <v>38313</v>
          </cell>
          <cell r="D1738">
            <v>50.27</v>
          </cell>
        </row>
        <row r="1739">
          <cell r="B1739">
            <v>38314</v>
          </cell>
          <cell r="D1739">
            <v>50.21</v>
          </cell>
        </row>
        <row r="1740">
          <cell r="B1740">
            <v>38315</v>
          </cell>
          <cell r="D1740">
            <v>50.2</v>
          </cell>
        </row>
        <row r="1741">
          <cell r="B1741">
            <v>38317</v>
          </cell>
          <cell r="D1741">
            <v>50.2</v>
          </cell>
        </row>
        <row r="1742">
          <cell r="B1742">
            <v>38320</v>
          </cell>
          <cell r="D1742">
            <v>50.03</v>
          </cell>
        </row>
        <row r="1743">
          <cell r="B1743">
            <v>38321</v>
          </cell>
          <cell r="D1743">
            <v>50.09</v>
          </cell>
        </row>
        <row r="1744">
          <cell r="B1744">
            <v>38322</v>
          </cell>
          <cell r="D1744">
            <v>50.68</v>
          </cell>
        </row>
        <row r="1745">
          <cell r="B1745">
            <v>38323</v>
          </cell>
          <cell r="D1745">
            <v>50.57</v>
          </cell>
        </row>
        <row r="1746">
          <cell r="B1746">
            <v>38324</v>
          </cell>
          <cell r="D1746">
            <v>50.79</v>
          </cell>
        </row>
        <row r="1747">
          <cell r="B1747">
            <v>38327</v>
          </cell>
          <cell r="D1747">
            <v>50.25</v>
          </cell>
        </row>
        <row r="1748">
          <cell r="B1748">
            <v>38328</v>
          </cell>
          <cell r="D1748">
            <v>50.19</v>
          </cell>
        </row>
        <row r="1749">
          <cell r="B1749">
            <v>38329</v>
          </cell>
          <cell r="D1749">
            <v>50.4</v>
          </cell>
        </row>
        <row r="1750">
          <cell r="B1750">
            <v>38330</v>
          </cell>
          <cell r="D1750">
            <v>50.67</v>
          </cell>
        </row>
        <row r="1751">
          <cell r="B1751">
            <v>38331</v>
          </cell>
          <cell r="D1751">
            <v>50.3</v>
          </cell>
        </row>
        <row r="1752">
          <cell r="B1752">
            <v>38334</v>
          </cell>
          <cell r="D1752">
            <v>50.45</v>
          </cell>
        </row>
        <row r="1753">
          <cell r="B1753">
            <v>38335</v>
          </cell>
          <cell r="D1753">
            <v>50.55</v>
          </cell>
        </row>
        <row r="1754">
          <cell r="B1754">
            <v>38336</v>
          </cell>
          <cell r="D1754">
            <v>50.3</v>
          </cell>
        </row>
        <row r="1755">
          <cell r="B1755">
            <v>38337</v>
          </cell>
          <cell r="D1755">
            <v>50.57</v>
          </cell>
        </row>
        <row r="1756">
          <cell r="B1756">
            <v>38338</v>
          </cell>
          <cell r="D1756">
            <v>50.6</v>
          </cell>
        </row>
        <row r="1757">
          <cell r="B1757">
            <v>38341</v>
          </cell>
          <cell r="D1757">
            <v>50.67</v>
          </cell>
        </row>
        <row r="1758">
          <cell r="B1758">
            <v>38342</v>
          </cell>
          <cell r="D1758">
            <v>50.65</v>
          </cell>
        </row>
        <row r="1759">
          <cell r="B1759">
            <v>38343</v>
          </cell>
          <cell r="D1759">
            <v>50.64</v>
          </cell>
        </row>
        <row r="1760">
          <cell r="B1760">
            <v>38344</v>
          </cell>
          <cell r="D1760">
            <v>50.81</v>
          </cell>
        </row>
        <row r="1761">
          <cell r="B1761">
            <v>38348</v>
          </cell>
          <cell r="D1761">
            <v>50.5</v>
          </cell>
        </row>
        <row r="1762">
          <cell r="B1762">
            <v>38349</v>
          </cell>
          <cell r="D1762">
            <v>50.78</v>
          </cell>
        </row>
        <row r="1763">
          <cell r="B1763">
            <v>38350</v>
          </cell>
          <cell r="D1763">
            <v>50.66</v>
          </cell>
        </row>
        <row r="1764">
          <cell r="B1764">
            <v>38351</v>
          </cell>
          <cell r="D1764">
            <v>50.87</v>
          </cell>
        </row>
        <row r="1765">
          <cell r="B1765">
            <v>38352</v>
          </cell>
          <cell r="D1765">
            <v>50.73</v>
          </cell>
        </row>
        <row r="1766">
          <cell r="B1766">
            <v>38355</v>
          </cell>
          <cell r="D1766">
            <v>50.52</v>
          </cell>
        </row>
        <row r="1767">
          <cell r="B1767">
            <v>38356</v>
          </cell>
          <cell r="D1767">
            <v>50.48</v>
          </cell>
        </row>
        <row r="1768">
          <cell r="B1768">
            <v>38357</v>
          </cell>
          <cell r="D1768">
            <v>49.95</v>
          </cell>
        </row>
        <row r="1769">
          <cell r="B1769">
            <v>38358</v>
          </cell>
          <cell r="D1769">
            <v>49.2</v>
          </cell>
        </row>
        <row r="1770">
          <cell r="B1770">
            <v>38359</v>
          </cell>
          <cell r="D1770">
            <v>49.23</v>
          </cell>
        </row>
        <row r="1771">
          <cell r="B1771">
            <v>38362</v>
          </cell>
          <cell r="D1771">
            <v>49.28</v>
          </cell>
        </row>
        <row r="1772">
          <cell r="B1772">
            <v>38363</v>
          </cell>
          <cell r="D1772">
            <v>49.15</v>
          </cell>
        </row>
        <row r="1773">
          <cell r="B1773">
            <v>38364</v>
          </cell>
          <cell r="D1773">
            <v>49.17</v>
          </cell>
        </row>
        <row r="1774">
          <cell r="B1774">
            <v>38365</v>
          </cell>
          <cell r="D1774">
            <v>49.11</v>
          </cell>
        </row>
        <row r="1775">
          <cell r="B1775">
            <v>38366</v>
          </cell>
          <cell r="D1775">
            <v>49.06</v>
          </cell>
        </row>
        <row r="1776">
          <cell r="B1776">
            <v>38370</v>
          </cell>
          <cell r="D1776">
            <v>49.09</v>
          </cell>
        </row>
        <row r="1777">
          <cell r="B1777">
            <v>38371</v>
          </cell>
          <cell r="D1777">
            <v>49.1</v>
          </cell>
        </row>
        <row r="1778">
          <cell r="B1778">
            <v>38372</v>
          </cell>
          <cell r="D1778">
            <v>48.86</v>
          </cell>
        </row>
        <row r="1779">
          <cell r="B1779">
            <v>38373</v>
          </cell>
          <cell r="D1779">
            <v>48.76</v>
          </cell>
        </row>
        <row r="1780">
          <cell r="B1780">
            <v>38376</v>
          </cell>
          <cell r="D1780">
            <v>49.02</v>
          </cell>
        </row>
        <row r="1781">
          <cell r="B1781">
            <v>38377</v>
          </cell>
          <cell r="D1781">
            <v>49.1</v>
          </cell>
        </row>
        <row r="1782">
          <cell r="B1782">
            <v>38378</v>
          </cell>
          <cell r="D1782">
            <v>48.71</v>
          </cell>
        </row>
        <row r="1783">
          <cell r="B1783">
            <v>38379</v>
          </cell>
          <cell r="D1783">
            <v>49.07</v>
          </cell>
        </row>
        <row r="1784">
          <cell r="B1784">
            <v>38380</v>
          </cell>
          <cell r="D1784">
            <v>49.03</v>
          </cell>
        </row>
        <row r="1785">
          <cell r="B1785">
            <v>38383</v>
          </cell>
          <cell r="D1785">
            <v>49.18</v>
          </cell>
        </row>
        <row r="1786">
          <cell r="B1786">
            <v>38384</v>
          </cell>
          <cell r="D1786">
            <v>49.46</v>
          </cell>
        </row>
        <row r="1787">
          <cell r="B1787">
            <v>38385</v>
          </cell>
          <cell r="D1787">
            <v>49.37</v>
          </cell>
        </row>
        <row r="1788">
          <cell r="B1788">
            <v>38386</v>
          </cell>
          <cell r="D1788">
            <v>48.54</v>
          </cell>
        </row>
        <row r="1789">
          <cell r="B1789">
            <v>38387</v>
          </cell>
          <cell r="D1789">
            <v>48.53</v>
          </cell>
        </row>
        <row r="1790">
          <cell r="B1790">
            <v>38390</v>
          </cell>
          <cell r="D1790">
            <v>48.32</v>
          </cell>
        </row>
        <row r="1791">
          <cell r="B1791">
            <v>38391</v>
          </cell>
          <cell r="D1791">
            <v>48.3</v>
          </cell>
        </row>
        <row r="1792">
          <cell r="B1792">
            <v>38392</v>
          </cell>
          <cell r="D1792">
            <v>48.55</v>
          </cell>
        </row>
        <row r="1793">
          <cell r="B1793">
            <v>38393</v>
          </cell>
          <cell r="D1793">
            <v>48.27</v>
          </cell>
        </row>
        <row r="1794">
          <cell r="B1794">
            <v>38394</v>
          </cell>
          <cell r="D1794">
            <v>48.38</v>
          </cell>
        </row>
        <row r="1795">
          <cell r="B1795">
            <v>38397</v>
          </cell>
          <cell r="D1795">
            <v>48.3</v>
          </cell>
        </row>
        <row r="1796">
          <cell r="B1796">
            <v>38398</v>
          </cell>
          <cell r="D1796">
            <v>48.32</v>
          </cell>
        </row>
        <row r="1797">
          <cell r="B1797">
            <v>38399</v>
          </cell>
          <cell r="D1797">
            <v>48.38</v>
          </cell>
        </row>
        <row r="1798">
          <cell r="B1798">
            <v>38400</v>
          </cell>
          <cell r="D1798">
            <v>48</v>
          </cell>
        </row>
        <row r="1799">
          <cell r="B1799">
            <v>38401</v>
          </cell>
          <cell r="D1799">
            <v>47.95</v>
          </cell>
        </row>
        <row r="1800">
          <cell r="B1800">
            <v>38405</v>
          </cell>
          <cell r="D1800">
            <v>47.35</v>
          </cell>
        </row>
        <row r="1801">
          <cell r="B1801">
            <v>38406</v>
          </cell>
          <cell r="D1801">
            <v>47.42</v>
          </cell>
        </row>
        <row r="1802">
          <cell r="B1802">
            <v>38407</v>
          </cell>
          <cell r="D1802">
            <v>47.57</v>
          </cell>
        </row>
        <row r="1803">
          <cell r="B1803">
            <v>38408</v>
          </cell>
          <cell r="D1803">
            <v>47.52</v>
          </cell>
        </row>
        <row r="1804">
          <cell r="B1804">
            <v>38411</v>
          </cell>
          <cell r="D1804">
            <v>47.45</v>
          </cell>
        </row>
        <row r="1805">
          <cell r="B1805">
            <v>38412</v>
          </cell>
          <cell r="D1805">
            <v>47.48</v>
          </cell>
        </row>
        <row r="1806">
          <cell r="B1806">
            <v>38413</v>
          </cell>
          <cell r="D1806">
            <v>47.58</v>
          </cell>
        </row>
        <row r="1807">
          <cell r="B1807">
            <v>38414</v>
          </cell>
          <cell r="D1807">
            <v>47.4</v>
          </cell>
        </row>
        <row r="1808">
          <cell r="B1808">
            <v>38415</v>
          </cell>
          <cell r="D1808">
            <v>47.95</v>
          </cell>
        </row>
        <row r="1809">
          <cell r="B1809">
            <v>38418</v>
          </cell>
          <cell r="D1809">
            <v>48.13</v>
          </cell>
        </row>
        <row r="1810">
          <cell r="B1810">
            <v>38419</v>
          </cell>
          <cell r="D1810">
            <v>47.93</v>
          </cell>
        </row>
        <row r="1811">
          <cell r="B1811">
            <v>38420</v>
          </cell>
          <cell r="D1811">
            <v>47.76</v>
          </cell>
        </row>
        <row r="1812">
          <cell r="B1812">
            <v>38421</v>
          </cell>
          <cell r="D1812">
            <v>48.01</v>
          </cell>
        </row>
        <row r="1813">
          <cell r="B1813">
            <v>38422</v>
          </cell>
          <cell r="D1813">
            <v>47.54</v>
          </cell>
        </row>
        <row r="1814">
          <cell r="B1814">
            <v>38425</v>
          </cell>
          <cell r="D1814">
            <v>47.93</v>
          </cell>
        </row>
        <row r="1815">
          <cell r="B1815">
            <v>38426</v>
          </cell>
          <cell r="D1815">
            <v>47.47</v>
          </cell>
        </row>
        <row r="1816">
          <cell r="B1816">
            <v>38427</v>
          </cell>
          <cell r="D1816">
            <v>47.34</v>
          </cell>
        </row>
        <row r="1817">
          <cell r="B1817">
            <v>38428</v>
          </cell>
          <cell r="D1817">
            <v>47.4</v>
          </cell>
        </row>
        <row r="1818">
          <cell r="B1818">
            <v>38429</v>
          </cell>
          <cell r="D1818">
            <v>47.6</v>
          </cell>
        </row>
        <row r="1819">
          <cell r="B1819">
            <v>38432</v>
          </cell>
          <cell r="D1819">
            <v>47.47</v>
          </cell>
        </row>
        <row r="1820">
          <cell r="B1820">
            <v>38433</v>
          </cell>
          <cell r="D1820">
            <v>47.26</v>
          </cell>
        </row>
        <row r="1821">
          <cell r="B1821">
            <v>38434</v>
          </cell>
          <cell r="D1821">
            <v>47.39</v>
          </cell>
        </row>
        <row r="1822">
          <cell r="B1822">
            <v>38435</v>
          </cell>
          <cell r="D1822">
            <v>47.28</v>
          </cell>
        </row>
        <row r="1823">
          <cell r="B1823">
            <v>38439</v>
          </cell>
          <cell r="D1823">
            <v>47.45</v>
          </cell>
        </row>
        <row r="1824">
          <cell r="B1824">
            <v>38440</v>
          </cell>
          <cell r="D1824">
            <v>47.26</v>
          </cell>
        </row>
        <row r="1825">
          <cell r="B1825">
            <v>38441</v>
          </cell>
          <cell r="D1825">
            <v>47.5</v>
          </cell>
        </row>
        <row r="1826">
          <cell r="B1826">
            <v>38442</v>
          </cell>
          <cell r="D1826">
            <v>47.39</v>
          </cell>
        </row>
        <row r="1827">
          <cell r="B1827">
            <v>38443</v>
          </cell>
          <cell r="D1827">
            <v>47.13</v>
          </cell>
        </row>
        <row r="1828">
          <cell r="B1828">
            <v>38446</v>
          </cell>
          <cell r="D1828">
            <v>47.16</v>
          </cell>
        </row>
        <row r="1829">
          <cell r="B1829">
            <v>38447</v>
          </cell>
          <cell r="D1829">
            <v>47.44</v>
          </cell>
        </row>
        <row r="1830">
          <cell r="B1830">
            <v>38448</v>
          </cell>
          <cell r="D1830">
            <v>45.65</v>
          </cell>
        </row>
        <row r="1831">
          <cell r="B1831">
            <v>38449</v>
          </cell>
          <cell r="D1831">
            <v>46.1</v>
          </cell>
        </row>
        <row r="1832">
          <cell r="B1832">
            <v>38450</v>
          </cell>
          <cell r="D1832">
            <v>46</v>
          </cell>
        </row>
        <row r="1833">
          <cell r="B1833">
            <v>38453</v>
          </cell>
          <cell r="D1833">
            <v>46.05</v>
          </cell>
        </row>
        <row r="1834">
          <cell r="B1834">
            <v>38454</v>
          </cell>
          <cell r="D1834">
            <v>46.71</v>
          </cell>
        </row>
        <row r="1835">
          <cell r="B1835">
            <v>38455</v>
          </cell>
          <cell r="D1835">
            <v>46.06</v>
          </cell>
        </row>
        <row r="1836">
          <cell r="B1836">
            <v>38456</v>
          </cell>
          <cell r="D1836">
            <v>45.99</v>
          </cell>
        </row>
        <row r="1837">
          <cell r="B1837">
            <v>38457</v>
          </cell>
          <cell r="D1837">
            <v>45.72</v>
          </cell>
        </row>
        <row r="1838">
          <cell r="B1838">
            <v>38460</v>
          </cell>
          <cell r="D1838">
            <v>45.7</v>
          </cell>
        </row>
        <row r="1839">
          <cell r="B1839">
            <v>38461</v>
          </cell>
          <cell r="D1839">
            <v>45.27</v>
          </cell>
        </row>
        <row r="1840">
          <cell r="B1840">
            <v>38462</v>
          </cell>
          <cell r="D1840">
            <v>45.1</v>
          </cell>
        </row>
        <row r="1841">
          <cell r="B1841">
            <v>38463</v>
          </cell>
          <cell r="D1841">
            <v>48.04</v>
          </cell>
        </row>
        <row r="1842">
          <cell r="B1842">
            <v>38464</v>
          </cell>
          <cell r="D1842">
            <v>47</v>
          </cell>
        </row>
        <row r="1843">
          <cell r="B1843">
            <v>38467</v>
          </cell>
          <cell r="D1843">
            <v>47.28</v>
          </cell>
        </row>
        <row r="1844">
          <cell r="B1844">
            <v>38468</v>
          </cell>
          <cell r="D1844">
            <v>46.55</v>
          </cell>
        </row>
        <row r="1845">
          <cell r="B1845">
            <v>38469</v>
          </cell>
          <cell r="D1845">
            <v>46.96</v>
          </cell>
        </row>
        <row r="1846">
          <cell r="B1846">
            <v>38470</v>
          </cell>
          <cell r="D1846">
            <v>46.47</v>
          </cell>
        </row>
        <row r="1847">
          <cell r="B1847">
            <v>38471</v>
          </cell>
          <cell r="D1847">
            <v>46.87</v>
          </cell>
        </row>
        <row r="1848">
          <cell r="B1848">
            <v>38474</v>
          </cell>
          <cell r="D1848">
            <v>47.63</v>
          </cell>
        </row>
        <row r="1849">
          <cell r="B1849">
            <v>38475</v>
          </cell>
          <cell r="D1849">
            <v>47.93</v>
          </cell>
        </row>
        <row r="1850">
          <cell r="B1850">
            <v>38476</v>
          </cell>
          <cell r="D1850">
            <v>48.1</v>
          </cell>
        </row>
        <row r="1851">
          <cell r="B1851">
            <v>38477</v>
          </cell>
          <cell r="D1851">
            <v>47.7</v>
          </cell>
        </row>
        <row r="1852">
          <cell r="B1852">
            <v>38478</v>
          </cell>
          <cell r="D1852">
            <v>47.43</v>
          </cell>
        </row>
        <row r="1853">
          <cell r="B1853">
            <v>38481</v>
          </cell>
          <cell r="D1853">
            <v>47.7</v>
          </cell>
        </row>
        <row r="1854">
          <cell r="B1854">
            <v>38482</v>
          </cell>
          <cell r="D1854">
            <v>46.91</v>
          </cell>
        </row>
        <row r="1855">
          <cell r="B1855">
            <v>38483</v>
          </cell>
          <cell r="D1855">
            <v>47.08</v>
          </cell>
        </row>
        <row r="1856">
          <cell r="B1856">
            <v>38484</v>
          </cell>
          <cell r="D1856">
            <v>46.46</v>
          </cell>
        </row>
        <row r="1857">
          <cell r="B1857">
            <v>38485</v>
          </cell>
          <cell r="D1857">
            <v>46.02</v>
          </cell>
        </row>
        <row r="1858">
          <cell r="B1858">
            <v>38488</v>
          </cell>
          <cell r="D1858">
            <v>46.83</v>
          </cell>
        </row>
        <row r="1859">
          <cell r="B1859">
            <v>38489</v>
          </cell>
          <cell r="D1859">
            <v>46.44</v>
          </cell>
        </row>
        <row r="1860">
          <cell r="B1860">
            <v>38490</v>
          </cell>
          <cell r="D1860">
            <v>47.04</v>
          </cell>
        </row>
        <row r="1861">
          <cell r="B1861">
            <v>38491</v>
          </cell>
          <cell r="D1861">
            <v>47.21</v>
          </cell>
        </row>
        <row r="1862">
          <cell r="B1862">
            <v>38492</v>
          </cell>
          <cell r="D1862">
            <v>47.21</v>
          </cell>
        </row>
        <row r="1863">
          <cell r="B1863">
            <v>38495</v>
          </cell>
          <cell r="D1863">
            <v>46.91</v>
          </cell>
        </row>
        <row r="1864">
          <cell r="B1864">
            <v>38496</v>
          </cell>
          <cell r="D1864">
            <v>47.18</v>
          </cell>
        </row>
        <row r="1865">
          <cell r="B1865">
            <v>38497</v>
          </cell>
          <cell r="D1865">
            <v>47.4</v>
          </cell>
        </row>
        <row r="1866">
          <cell r="B1866">
            <v>38498</v>
          </cell>
          <cell r="D1866">
            <v>47.67</v>
          </cell>
        </row>
        <row r="1867">
          <cell r="B1867">
            <v>38499</v>
          </cell>
          <cell r="D1867">
            <v>47.6</v>
          </cell>
        </row>
        <row r="1868">
          <cell r="B1868">
            <v>38503</v>
          </cell>
          <cell r="D1868">
            <v>46.85</v>
          </cell>
        </row>
        <row r="1869">
          <cell r="B1869">
            <v>38504</v>
          </cell>
          <cell r="D1869">
            <v>47.29</v>
          </cell>
        </row>
        <row r="1870">
          <cell r="B1870">
            <v>38505</v>
          </cell>
          <cell r="D1870">
            <v>47.59</v>
          </cell>
        </row>
        <row r="1871">
          <cell r="B1871">
            <v>38506</v>
          </cell>
          <cell r="D1871">
            <v>47.29</v>
          </cell>
        </row>
        <row r="1872">
          <cell r="B1872">
            <v>38509</v>
          </cell>
          <cell r="D1872">
            <v>47.35</v>
          </cell>
        </row>
        <row r="1873">
          <cell r="B1873">
            <v>38510</v>
          </cell>
          <cell r="D1873">
            <v>47.59</v>
          </cell>
        </row>
        <row r="1874">
          <cell r="B1874">
            <v>38511</v>
          </cell>
          <cell r="D1874">
            <v>47.55</v>
          </cell>
        </row>
        <row r="1875">
          <cell r="B1875">
            <v>38512</v>
          </cell>
          <cell r="D1875">
            <v>47.76</v>
          </cell>
        </row>
        <row r="1876">
          <cell r="B1876">
            <v>38513</v>
          </cell>
          <cell r="D1876">
            <v>47.3</v>
          </cell>
        </row>
        <row r="1877">
          <cell r="B1877">
            <v>38516</v>
          </cell>
          <cell r="D1877">
            <v>47.34</v>
          </cell>
        </row>
        <row r="1878">
          <cell r="B1878">
            <v>38517</v>
          </cell>
          <cell r="D1878">
            <v>47.24</v>
          </cell>
        </row>
        <row r="1879">
          <cell r="B1879">
            <v>38518</v>
          </cell>
          <cell r="D1879">
            <v>46.54</v>
          </cell>
        </row>
        <row r="1880">
          <cell r="B1880">
            <v>38519</v>
          </cell>
          <cell r="D1880">
            <v>46.39</v>
          </cell>
        </row>
        <row r="1881">
          <cell r="B1881">
            <v>38520</v>
          </cell>
          <cell r="D1881">
            <v>46.29</v>
          </cell>
        </row>
        <row r="1882">
          <cell r="B1882">
            <v>38523</v>
          </cell>
          <cell r="D1882">
            <v>46.69</v>
          </cell>
        </row>
        <row r="1883">
          <cell r="B1883">
            <v>38524</v>
          </cell>
          <cell r="D1883">
            <v>46.3</v>
          </cell>
        </row>
        <row r="1884">
          <cell r="B1884">
            <v>38525</v>
          </cell>
          <cell r="D1884">
            <v>46.31</v>
          </cell>
        </row>
        <row r="1885">
          <cell r="B1885">
            <v>38526</v>
          </cell>
          <cell r="D1885">
            <v>46.1</v>
          </cell>
        </row>
        <row r="1886">
          <cell r="B1886">
            <v>38527</v>
          </cell>
          <cell r="D1886">
            <v>45.67</v>
          </cell>
        </row>
        <row r="1887">
          <cell r="B1887">
            <v>38530</v>
          </cell>
          <cell r="D1887">
            <v>45.79</v>
          </cell>
        </row>
        <row r="1888">
          <cell r="B1888">
            <v>38531</v>
          </cell>
          <cell r="D1888">
            <v>46.16</v>
          </cell>
        </row>
        <row r="1889">
          <cell r="B1889">
            <v>38532</v>
          </cell>
          <cell r="D1889">
            <v>45.88</v>
          </cell>
        </row>
        <row r="1890">
          <cell r="B1890">
            <v>38533</v>
          </cell>
          <cell r="D1890">
            <v>45.75</v>
          </cell>
        </row>
        <row r="1891">
          <cell r="B1891">
            <v>38534</v>
          </cell>
          <cell r="D1891">
            <v>45.88</v>
          </cell>
        </row>
        <row r="1892">
          <cell r="B1892">
            <v>38538</v>
          </cell>
          <cell r="D1892">
            <v>45.95</v>
          </cell>
        </row>
        <row r="1893">
          <cell r="B1893">
            <v>38539</v>
          </cell>
          <cell r="D1893">
            <v>45.43</v>
          </cell>
        </row>
        <row r="1894">
          <cell r="B1894">
            <v>38540</v>
          </cell>
          <cell r="D1894">
            <v>45.42</v>
          </cell>
        </row>
        <row r="1895">
          <cell r="B1895">
            <v>38541</v>
          </cell>
          <cell r="D1895">
            <v>45.93</v>
          </cell>
        </row>
        <row r="1896">
          <cell r="B1896">
            <v>38544</v>
          </cell>
          <cell r="D1896">
            <v>45.98</v>
          </cell>
        </row>
        <row r="1897">
          <cell r="B1897">
            <v>38545</v>
          </cell>
          <cell r="D1897">
            <v>45.74</v>
          </cell>
        </row>
        <row r="1898">
          <cell r="B1898">
            <v>38546</v>
          </cell>
          <cell r="D1898">
            <v>45.8</v>
          </cell>
        </row>
        <row r="1899">
          <cell r="B1899">
            <v>38547</v>
          </cell>
          <cell r="D1899">
            <v>46.12</v>
          </cell>
        </row>
        <row r="1900">
          <cell r="B1900">
            <v>38548</v>
          </cell>
          <cell r="D1900">
            <v>46.48</v>
          </cell>
        </row>
        <row r="1901">
          <cell r="B1901">
            <v>38551</v>
          </cell>
          <cell r="D1901">
            <v>45.96</v>
          </cell>
        </row>
        <row r="1902">
          <cell r="B1902">
            <v>38552</v>
          </cell>
          <cell r="D1902">
            <v>45.8</v>
          </cell>
        </row>
        <row r="1903">
          <cell r="B1903">
            <v>38553</v>
          </cell>
          <cell r="D1903">
            <v>45.94</v>
          </cell>
        </row>
        <row r="1904">
          <cell r="B1904">
            <v>38554</v>
          </cell>
          <cell r="D1904">
            <v>45.5</v>
          </cell>
        </row>
        <row r="1905">
          <cell r="B1905">
            <v>38555</v>
          </cell>
          <cell r="D1905">
            <v>45.72</v>
          </cell>
        </row>
        <row r="1906">
          <cell r="B1906">
            <v>38558</v>
          </cell>
          <cell r="D1906">
            <v>45.8</v>
          </cell>
        </row>
        <row r="1907">
          <cell r="B1907">
            <v>38559</v>
          </cell>
          <cell r="D1907">
            <v>45.9</v>
          </cell>
        </row>
        <row r="1908">
          <cell r="B1908">
            <v>38560</v>
          </cell>
          <cell r="D1908">
            <v>44.12</v>
          </cell>
        </row>
        <row r="1909">
          <cell r="B1909">
            <v>38561</v>
          </cell>
          <cell r="D1909">
            <v>44.77</v>
          </cell>
        </row>
        <row r="1910">
          <cell r="B1910">
            <v>38562</v>
          </cell>
          <cell r="D1910">
            <v>44.35</v>
          </cell>
        </row>
        <row r="1911">
          <cell r="B1911">
            <v>38565</v>
          </cell>
          <cell r="D1911">
            <v>44.02</v>
          </cell>
        </row>
        <row r="1912">
          <cell r="B1912">
            <v>38566</v>
          </cell>
          <cell r="D1912">
            <v>44.21</v>
          </cell>
        </row>
        <row r="1913">
          <cell r="B1913">
            <v>38567</v>
          </cell>
          <cell r="D1913">
            <v>44.32</v>
          </cell>
        </row>
        <row r="1914">
          <cell r="B1914">
            <v>38568</v>
          </cell>
          <cell r="D1914">
            <v>44.4</v>
          </cell>
        </row>
        <row r="1915">
          <cell r="B1915">
            <v>38569</v>
          </cell>
          <cell r="D1915">
            <v>44.68</v>
          </cell>
        </row>
        <row r="1916">
          <cell r="B1916">
            <v>38572</v>
          </cell>
          <cell r="D1916">
            <v>44.3</v>
          </cell>
        </row>
        <row r="1917">
          <cell r="B1917">
            <v>38573</v>
          </cell>
          <cell r="D1917">
            <v>44.32</v>
          </cell>
        </row>
        <row r="1918">
          <cell r="B1918">
            <v>38574</v>
          </cell>
          <cell r="D1918">
            <v>44.27</v>
          </cell>
        </row>
        <row r="1919">
          <cell r="B1919">
            <v>38575</v>
          </cell>
          <cell r="D1919">
            <v>44.43</v>
          </cell>
        </row>
        <row r="1920">
          <cell r="B1920">
            <v>38576</v>
          </cell>
          <cell r="D1920">
            <v>44.3</v>
          </cell>
        </row>
        <row r="1921">
          <cell r="B1921">
            <v>38579</v>
          </cell>
          <cell r="D1921">
            <v>44.6</v>
          </cell>
        </row>
        <row r="1922">
          <cell r="B1922">
            <v>38580</v>
          </cell>
          <cell r="D1922">
            <v>44.26</v>
          </cell>
        </row>
        <row r="1923">
          <cell r="B1923">
            <v>38581</v>
          </cell>
          <cell r="D1923">
            <v>44.36</v>
          </cell>
        </row>
        <row r="1924">
          <cell r="B1924">
            <v>38582</v>
          </cell>
          <cell r="D1924">
            <v>44.63</v>
          </cell>
        </row>
        <row r="1925">
          <cell r="B1925">
            <v>38583</v>
          </cell>
          <cell r="D1925">
            <v>44.45</v>
          </cell>
        </row>
        <row r="1926">
          <cell r="B1926">
            <v>38586</v>
          </cell>
          <cell r="D1926">
            <v>44.41</v>
          </cell>
        </row>
        <row r="1927">
          <cell r="B1927">
            <v>38587</v>
          </cell>
          <cell r="D1927">
            <v>44.45</v>
          </cell>
        </row>
        <row r="1928">
          <cell r="B1928">
            <v>38588</v>
          </cell>
          <cell r="D1928">
            <v>44.2</v>
          </cell>
        </row>
        <row r="1929">
          <cell r="B1929">
            <v>38589</v>
          </cell>
          <cell r="D1929">
            <v>44.25</v>
          </cell>
        </row>
        <row r="1930">
          <cell r="B1930">
            <v>38590</v>
          </cell>
          <cell r="D1930">
            <v>44.15</v>
          </cell>
        </row>
        <row r="1931">
          <cell r="B1931">
            <v>38593</v>
          </cell>
          <cell r="D1931">
            <v>44.28</v>
          </cell>
        </row>
        <row r="1932">
          <cell r="B1932">
            <v>38594</v>
          </cell>
          <cell r="D1932">
            <v>44.46</v>
          </cell>
        </row>
        <row r="1933">
          <cell r="B1933">
            <v>38595</v>
          </cell>
          <cell r="D1933">
            <v>44.31</v>
          </cell>
        </row>
        <row r="1934">
          <cell r="B1934">
            <v>38596</v>
          </cell>
          <cell r="D1934">
            <v>44.4</v>
          </cell>
        </row>
        <row r="1935">
          <cell r="B1935">
            <v>38597</v>
          </cell>
          <cell r="D1935">
            <v>45.09</v>
          </cell>
        </row>
        <row r="1936">
          <cell r="B1936">
            <v>38601</v>
          </cell>
          <cell r="D1936">
            <v>45.27</v>
          </cell>
        </row>
        <row r="1937">
          <cell r="B1937">
            <v>38602</v>
          </cell>
          <cell r="D1937">
            <v>45.09</v>
          </cell>
        </row>
        <row r="1938">
          <cell r="B1938">
            <v>38603</v>
          </cell>
          <cell r="D1938">
            <v>44.94</v>
          </cell>
        </row>
        <row r="1939">
          <cell r="B1939">
            <v>38604</v>
          </cell>
          <cell r="D1939">
            <v>45.4</v>
          </cell>
        </row>
        <row r="1940">
          <cell r="B1940">
            <v>38607</v>
          </cell>
          <cell r="D1940">
            <v>45.27</v>
          </cell>
        </row>
        <row r="1941">
          <cell r="B1941">
            <v>38608</v>
          </cell>
          <cell r="D1941">
            <v>45.06</v>
          </cell>
        </row>
        <row r="1942">
          <cell r="B1942">
            <v>38609</v>
          </cell>
          <cell r="D1942">
            <v>45.27</v>
          </cell>
        </row>
        <row r="1943">
          <cell r="B1943">
            <v>38610</v>
          </cell>
          <cell r="D1943">
            <v>45.05</v>
          </cell>
        </row>
        <row r="1944">
          <cell r="B1944">
            <v>38611</v>
          </cell>
          <cell r="D1944">
            <v>45.2</v>
          </cell>
        </row>
        <row r="1945">
          <cell r="B1945">
            <v>38614</v>
          </cell>
          <cell r="D1945">
            <v>44.97</v>
          </cell>
        </row>
        <row r="1946">
          <cell r="B1946">
            <v>38615</v>
          </cell>
          <cell r="D1946">
            <v>44.92</v>
          </cell>
        </row>
        <row r="1947">
          <cell r="B1947">
            <v>38616</v>
          </cell>
          <cell r="D1947">
            <v>44.19</v>
          </cell>
        </row>
        <row r="1948">
          <cell r="B1948">
            <v>38617</v>
          </cell>
          <cell r="D1948">
            <v>44.03</v>
          </cell>
        </row>
        <row r="1949">
          <cell r="B1949">
            <v>38618</v>
          </cell>
          <cell r="D1949">
            <v>44.03</v>
          </cell>
        </row>
        <row r="1950">
          <cell r="B1950">
            <v>38621</v>
          </cell>
          <cell r="D1950">
            <v>43.62</v>
          </cell>
        </row>
        <row r="1951">
          <cell r="B1951">
            <v>38622</v>
          </cell>
          <cell r="D1951">
            <v>43.64</v>
          </cell>
        </row>
        <row r="1952">
          <cell r="B1952">
            <v>38623</v>
          </cell>
          <cell r="D1952">
            <v>43.19</v>
          </cell>
        </row>
        <row r="1953">
          <cell r="B1953">
            <v>38624</v>
          </cell>
          <cell r="D1953">
            <v>43.46</v>
          </cell>
        </row>
        <row r="1954">
          <cell r="B1954">
            <v>38625</v>
          </cell>
          <cell r="D1954">
            <v>43.04</v>
          </cell>
        </row>
        <row r="1955">
          <cell r="B1955">
            <v>38628</v>
          </cell>
          <cell r="D1955">
            <v>42.5</v>
          </cell>
        </row>
        <row r="1956">
          <cell r="B1956">
            <v>38629</v>
          </cell>
          <cell r="D1956">
            <v>42.33</v>
          </cell>
        </row>
        <row r="1957">
          <cell r="B1957">
            <v>38630</v>
          </cell>
          <cell r="D1957">
            <v>41.8</v>
          </cell>
        </row>
        <row r="1958">
          <cell r="B1958">
            <v>38631</v>
          </cell>
          <cell r="D1958">
            <v>42.43</v>
          </cell>
        </row>
        <row r="1959">
          <cell r="B1959">
            <v>38632</v>
          </cell>
          <cell r="D1959">
            <v>42.2</v>
          </cell>
        </row>
        <row r="1960">
          <cell r="B1960">
            <v>38635</v>
          </cell>
          <cell r="D1960">
            <v>42.21</v>
          </cell>
        </row>
        <row r="1961">
          <cell r="B1961">
            <v>38636</v>
          </cell>
          <cell r="D1961">
            <v>42.09</v>
          </cell>
        </row>
        <row r="1962">
          <cell r="B1962">
            <v>38637</v>
          </cell>
          <cell r="D1962">
            <v>41.95</v>
          </cell>
        </row>
        <row r="1963">
          <cell r="B1963">
            <v>38638</v>
          </cell>
          <cell r="D1963">
            <v>42.06</v>
          </cell>
        </row>
        <row r="1964">
          <cell r="B1964">
            <v>38639</v>
          </cell>
          <cell r="D1964">
            <v>42.18</v>
          </cell>
        </row>
        <row r="1965">
          <cell r="B1965">
            <v>38642</v>
          </cell>
          <cell r="D1965">
            <v>42.47</v>
          </cell>
        </row>
        <row r="1966">
          <cell r="B1966">
            <v>38643</v>
          </cell>
          <cell r="D1966">
            <v>42.2</v>
          </cell>
        </row>
        <row r="1967">
          <cell r="B1967">
            <v>38644</v>
          </cell>
          <cell r="D1967">
            <v>42.63</v>
          </cell>
        </row>
        <row r="1968">
          <cell r="B1968">
            <v>38645</v>
          </cell>
          <cell r="D1968">
            <v>42.35</v>
          </cell>
        </row>
        <row r="1969">
          <cell r="B1969">
            <v>38646</v>
          </cell>
          <cell r="D1969">
            <v>42.16</v>
          </cell>
        </row>
        <row r="1970">
          <cell r="B1970">
            <v>38649</v>
          </cell>
          <cell r="D1970">
            <v>41.92</v>
          </cell>
        </row>
        <row r="1971">
          <cell r="B1971">
            <v>38650</v>
          </cell>
          <cell r="D1971">
            <v>41.75</v>
          </cell>
        </row>
        <row r="1972">
          <cell r="B1972">
            <v>38651</v>
          </cell>
          <cell r="D1972">
            <v>40.799999999999997</v>
          </cell>
        </row>
        <row r="1973">
          <cell r="B1973">
            <v>38652</v>
          </cell>
          <cell r="D1973">
            <v>40.57</v>
          </cell>
        </row>
        <row r="1974">
          <cell r="B1974">
            <v>38653</v>
          </cell>
          <cell r="D1974">
            <v>40.57</v>
          </cell>
        </row>
        <row r="1975">
          <cell r="B1975">
            <v>38656</v>
          </cell>
          <cell r="D1975">
            <v>41.26</v>
          </cell>
        </row>
        <row r="1976">
          <cell r="B1976">
            <v>38657</v>
          </cell>
          <cell r="D1976">
            <v>41.18</v>
          </cell>
        </row>
        <row r="1977">
          <cell r="B1977">
            <v>38658</v>
          </cell>
          <cell r="D1977">
            <v>41.64</v>
          </cell>
        </row>
        <row r="1978">
          <cell r="B1978">
            <v>38659</v>
          </cell>
          <cell r="D1978">
            <v>42</v>
          </cell>
        </row>
        <row r="1979">
          <cell r="B1979">
            <v>38660</v>
          </cell>
          <cell r="D1979">
            <v>42.14</v>
          </cell>
        </row>
        <row r="1980">
          <cell r="B1980">
            <v>38663</v>
          </cell>
          <cell r="D1980">
            <v>42.35</v>
          </cell>
        </row>
        <row r="1981">
          <cell r="B1981">
            <v>38664</v>
          </cell>
          <cell r="D1981">
            <v>42.04</v>
          </cell>
        </row>
        <row r="1982">
          <cell r="B1982">
            <v>38665</v>
          </cell>
          <cell r="D1982">
            <v>42.26</v>
          </cell>
        </row>
        <row r="1983">
          <cell r="B1983">
            <v>38666</v>
          </cell>
          <cell r="D1983">
            <v>43.06</v>
          </cell>
        </row>
        <row r="1984">
          <cell r="B1984">
            <v>38667</v>
          </cell>
          <cell r="D1984">
            <v>43.19</v>
          </cell>
        </row>
        <row r="1985">
          <cell r="B1985">
            <v>38670</v>
          </cell>
          <cell r="D1985">
            <v>43.24</v>
          </cell>
        </row>
        <row r="1986">
          <cell r="B1986">
            <v>38671</v>
          </cell>
          <cell r="D1986">
            <v>43.3</v>
          </cell>
        </row>
        <row r="1987">
          <cell r="B1987">
            <v>38672</v>
          </cell>
          <cell r="D1987">
            <v>43.13</v>
          </cell>
        </row>
        <row r="1988">
          <cell r="B1988">
            <v>38673</v>
          </cell>
          <cell r="D1988">
            <v>43.2</v>
          </cell>
        </row>
        <row r="1989">
          <cell r="B1989">
            <v>38674</v>
          </cell>
          <cell r="D1989">
            <v>43.17</v>
          </cell>
        </row>
        <row r="1990">
          <cell r="B1990">
            <v>38677</v>
          </cell>
          <cell r="D1990">
            <v>43.45</v>
          </cell>
        </row>
        <row r="1991">
          <cell r="B1991">
            <v>38678</v>
          </cell>
          <cell r="D1991">
            <v>44.02</v>
          </cell>
        </row>
        <row r="1992">
          <cell r="B1992">
            <v>38679</v>
          </cell>
          <cell r="D1992">
            <v>43.79</v>
          </cell>
        </row>
        <row r="1993">
          <cell r="B1993">
            <v>38681</v>
          </cell>
          <cell r="D1993">
            <v>43.87</v>
          </cell>
        </row>
        <row r="1994">
          <cell r="B1994">
            <v>38684</v>
          </cell>
          <cell r="D1994">
            <v>44.01</v>
          </cell>
        </row>
        <row r="1995">
          <cell r="B1995">
            <v>38685</v>
          </cell>
          <cell r="D1995">
            <v>44.7</v>
          </cell>
        </row>
        <row r="1996">
          <cell r="B1996">
            <v>38686</v>
          </cell>
          <cell r="D1996">
            <v>43.74</v>
          </cell>
        </row>
        <row r="1997">
          <cell r="B1997">
            <v>38687</v>
          </cell>
          <cell r="D1997">
            <v>43.61</v>
          </cell>
        </row>
        <row r="1998">
          <cell r="B1998">
            <v>38688</v>
          </cell>
          <cell r="D1998">
            <v>43.5</v>
          </cell>
        </row>
        <row r="1999">
          <cell r="B1999">
            <v>38691</v>
          </cell>
          <cell r="D1999">
            <v>43.6</v>
          </cell>
        </row>
        <row r="2000">
          <cell r="B2000">
            <v>38692</v>
          </cell>
          <cell r="D2000">
            <v>43.35</v>
          </cell>
        </row>
        <row r="2001">
          <cell r="B2001">
            <v>38693</v>
          </cell>
          <cell r="D2001">
            <v>43.24</v>
          </cell>
        </row>
        <row r="2002">
          <cell r="B2002">
            <v>38694</v>
          </cell>
          <cell r="D2002">
            <v>43.03</v>
          </cell>
        </row>
        <row r="2003">
          <cell r="B2003">
            <v>38695</v>
          </cell>
          <cell r="D2003">
            <v>43.23</v>
          </cell>
        </row>
        <row r="2004">
          <cell r="B2004">
            <v>38698</v>
          </cell>
          <cell r="D2004">
            <v>43.1</v>
          </cell>
        </row>
        <row r="2005">
          <cell r="B2005">
            <v>38699</v>
          </cell>
          <cell r="D2005">
            <v>43.51</v>
          </cell>
        </row>
        <row r="2006">
          <cell r="B2006">
            <v>38700</v>
          </cell>
          <cell r="D2006">
            <v>43.87</v>
          </cell>
        </row>
        <row r="2007">
          <cell r="B2007">
            <v>38701</v>
          </cell>
          <cell r="D2007">
            <v>44</v>
          </cell>
        </row>
        <row r="2008">
          <cell r="B2008">
            <v>38702</v>
          </cell>
          <cell r="D2008">
            <v>44.28</v>
          </cell>
        </row>
        <row r="2009">
          <cell r="B2009">
            <v>38705</v>
          </cell>
          <cell r="D2009">
            <v>44.27</v>
          </cell>
        </row>
        <row r="2010">
          <cell r="B2010">
            <v>38706</v>
          </cell>
          <cell r="D2010">
            <v>43.89</v>
          </cell>
        </row>
        <row r="2011">
          <cell r="B2011">
            <v>38707</v>
          </cell>
          <cell r="D2011">
            <v>44.16</v>
          </cell>
        </row>
        <row r="2012">
          <cell r="B2012">
            <v>38708</v>
          </cell>
          <cell r="D2012">
            <v>43.85</v>
          </cell>
        </row>
        <row r="2013">
          <cell r="B2013">
            <v>38709</v>
          </cell>
          <cell r="D2013">
            <v>43.7</v>
          </cell>
        </row>
        <row r="2014">
          <cell r="B2014">
            <v>38713</v>
          </cell>
          <cell r="D2014">
            <v>43.57</v>
          </cell>
        </row>
        <row r="2015">
          <cell r="B2015">
            <v>38714</v>
          </cell>
          <cell r="D2015">
            <v>43.51</v>
          </cell>
        </row>
        <row r="2016">
          <cell r="B2016">
            <v>38715</v>
          </cell>
          <cell r="D2016">
            <v>43.31</v>
          </cell>
        </row>
        <row r="2017">
          <cell r="B2017">
            <v>38716</v>
          </cell>
          <cell r="D2017">
            <v>42.96</v>
          </cell>
        </row>
        <row r="2018">
          <cell r="B2018">
            <v>38720</v>
          </cell>
          <cell r="D2018">
            <v>43.67</v>
          </cell>
        </row>
        <row r="2019">
          <cell r="B2019">
            <v>38721</v>
          </cell>
          <cell r="D2019">
            <v>43.92</v>
          </cell>
        </row>
        <row r="2020">
          <cell r="B2020">
            <v>38722</v>
          </cell>
          <cell r="D2020">
            <v>43.13</v>
          </cell>
        </row>
        <row r="2021">
          <cell r="B2021">
            <v>38723</v>
          </cell>
          <cell r="D2021">
            <v>43.98</v>
          </cell>
        </row>
        <row r="2022">
          <cell r="B2022">
            <v>38726</v>
          </cell>
          <cell r="D2022">
            <v>43.83</v>
          </cell>
        </row>
        <row r="2023">
          <cell r="B2023">
            <v>38727</v>
          </cell>
          <cell r="D2023">
            <v>43.15</v>
          </cell>
        </row>
        <row r="2024">
          <cell r="B2024">
            <v>38728</v>
          </cell>
          <cell r="D2024">
            <v>43.11</v>
          </cell>
        </row>
        <row r="2025">
          <cell r="B2025">
            <v>38729</v>
          </cell>
          <cell r="D2025">
            <v>42.41</v>
          </cell>
        </row>
        <row r="2026">
          <cell r="B2026">
            <v>38730</v>
          </cell>
          <cell r="D2026">
            <v>42.65</v>
          </cell>
        </row>
        <row r="2027">
          <cell r="B2027">
            <v>38734</v>
          </cell>
          <cell r="D2027">
            <v>42.31</v>
          </cell>
        </row>
        <row r="2028">
          <cell r="B2028">
            <v>38735</v>
          </cell>
          <cell r="D2028">
            <v>41.98</v>
          </cell>
        </row>
        <row r="2029">
          <cell r="B2029">
            <v>38736</v>
          </cell>
          <cell r="D2029">
            <v>42.07</v>
          </cell>
        </row>
        <row r="2030">
          <cell r="B2030">
            <v>38737</v>
          </cell>
          <cell r="D2030">
            <v>41.32</v>
          </cell>
        </row>
        <row r="2031">
          <cell r="B2031">
            <v>38740</v>
          </cell>
          <cell r="D2031">
            <v>41.39</v>
          </cell>
        </row>
        <row r="2032">
          <cell r="B2032">
            <v>38741</v>
          </cell>
          <cell r="D2032">
            <v>41.98</v>
          </cell>
        </row>
        <row r="2033">
          <cell r="B2033">
            <v>38742</v>
          </cell>
          <cell r="D2033">
            <v>41.52</v>
          </cell>
        </row>
        <row r="2034">
          <cell r="B2034">
            <v>38743</v>
          </cell>
          <cell r="D2034">
            <v>42.08</v>
          </cell>
        </row>
        <row r="2035">
          <cell r="B2035">
            <v>38744</v>
          </cell>
          <cell r="D2035">
            <v>41.85</v>
          </cell>
        </row>
        <row r="2036">
          <cell r="B2036">
            <v>38747</v>
          </cell>
          <cell r="D2036">
            <v>42.01</v>
          </cell>
        </row>
        <row r="2037">
          <cell r="B2037">
            <v>38748</v>
          </cell>
          <cell r="D2037">
            <v>41.44</v>
          </cell>
        </row>
        <row r="2038">
          <cell r="B2038">
            <v>38749</v>
          </cell>
          <cell r="D2038">
            <v>41.4</v>
          </cell>
        </row>
        <row r="2039">
          <cell r="B2039">
            <v>38750</v>
          </cell>
          <cell r="D2039">
            <v>41.1</v>
          </cell>
        </row>
        <row r="2040">
          <cell r="B2040">
            <v>38751</v>
          </cell>
          <cell r="D2040">
            <v>40.93</v>
          </cell>
        </row>
        <row r="2041">
          <cell r="B2041">
            <v>38754</v>
          </cell>
          <cell r="D2041">
            <v>40.75</v>
          </cell>
        </row>
        <row r="2042">
          <cell r="B2042">
            <v>38755</v>
          </cell>
          <cell r="D2042">
            <v>40.46</v>
          </cell>
        </row>
        <row r="2043">
          <cell r="B2043">
            <v>38756</v>
          </cell>
          <cell r="D2043">
            <v>40.69</v>
          </cell>
        </row>
        <row r="2044">
          <cell r="B2044">
            <v>38757</v>
          </cell>
          <cell r="D2044">
            <v>40.53</v>
          </cell>
        </row>
        <row r="2045">
          <cell r="B2045">
            <v>38758</v>
          </cell>
          <cell r="D2045">
            <v>40.42</v>
          </cell>
        </row>
        <row r="2046">
          <cell r="B2046">
            <v>38761</v>
          </cell>
          <cell r="D2046">
            <v>40.57</v>
          </cell>
        </row>
        <row r="2047">
          <cell r="B2047">
            <v>38762</v>
          </cell>
          <cell r="D2047">
            <v>40.97</v>
          </cell>
        </row>
        <row r="2048">
          <cell r="B2048">
            <v>38763</v>
          </cell>
          <cell r="D2048">
            <v>41.68</v>
          </cell>
        </row>
        <row r="2049">
          <cell r="B2049">
            <v>38764</v>
          </cell>
          <cell r="D2049">
            <v>41.8</v>
          </cell>
        </row>
        <row r="2050">
          <cell r="B2050">
            <v>38765</v>
          </cell>
          <cell r="D2050">
            <v>41.5</v>
          </cell>
        </row>
        <row r="2051">
          <cell r="B2051">
            <v>38769</v>
          </cell>
          <cell r="D2051">
            <v>41.27</v>
          </cell>
        </row>
        <row r="2052">
          <cell r="B2052">
            <v>38770</v>
          </cell>
          <cell r="D2052">
            <v>41.7</v>
          </cell>
        </row>
        <row r="2053">
          <cell r="B2053">
            <v>38771</v>
          </cell>
          <cell r="D2053">
            <v>41.94</v>
          </cell>
        </row>
        <row r="2054">
          <cell r="B2054">
            <v>38772</v>
          </cell>
          <cell r="D2054">
            <v>41.82</v>
          </cell>
        </row>
        <row r="2055">
          <cell r="B2055">
            <v>38775</v>
          </cell>
          <cell r="D2055">
            <v>42.15</v>
          </cell>
        </row>
        <row r="2056">
          <cell r="B2056">
            <v>38776</v>
          </cell>
          <cell r="D2056">
            <v>41.54</v>
          </cell>
        </row>
        <row r="2057">
          <cell r="B2057">
            <v>38777</v>
          </cell>
          <cell r="D2057">
            <v>41.54</v>
          </cell>
        </row>
        <row r="2058">
          <cell r="B2058">
            <v>38778</v>
          </cell>
          <cell r="D2058">
            <v>41.37</v>
          </cell>
        </row>
        <row r="2059">
          <cell r="B2059">
            <v>38779</v>
          </cell>
          <cell r="D2059">
            <v>41.22</v>
          </cell>
        </row>
        <row r="2060">
          <cell r="B2060">
            <v>38782</v>
          </cell>
          <cell r="D2060">
            <v>41.4</v>
          </cell>
        </row>
        <row r="2061">
          <cell r="B2061">
            <v>38783</v>
          </cell>
          <cell r="D2061">
            <v>41.7</v>
          </cell>
        </row>
        <row r="2062">
          <cell r="B2062">
            <v>38784</v>
          </cell>
          <cell r="D2062">
            <v>42.18</v>
          </cell>
        </row>
        <row r="2063">
          <cell r="B2063">
            <v>38785</v>
          </cell>
          <cell r="D2063">
            <v>42.94</v>
          </cell>
        </row>
        <row r="2064">
          <cell r="B2064">
            <v>38786</v>
          </cell>
          <cell r="D2064">
            <v>42.95</v>
          </cell>
        </row>
        <row r="2065">
          <cell r="B2065">
            <v>38789</v>
          </cell>
          <cell r="D2065">
            <v>42.62</v>
          </cell>
        </row>
        <row r="2066">
          <cell r="B2066">
            <v>38790</v>
          </cell>
          <cell r="D2066">
            <v>43.33</v>
          </cell>
        </row>
        <row r="2067">
          <cell r="B2067">
            <v>38791</v>
          </cell>
          <cell r="D2067">
            <v>43.36</v>
          </cell>
        </row>
        <row r="2068">
          <cell r="B2068">
            <v>38792</v>
          </cell>
          <cell r="D2068">
            <v>43.34</v>
          </cell>
        </row>
        <row r="2069">
          <cell r="B2069">
            <v>38793</v>
          </cell>
          <cell r="D2069">
            <v>43.32</v>
          </cell>
        </row>
        <row r="2070">
          <cell r="B2070">
            <v>38796</v>
          </cell>
          <cell r="D2070">
            <v>43.95</v>
          </cell>
        </row>
        <row r="2071">
          <cell r="B2071">
            <v>38797</v>
          </cell>
          <cell r="D2071">
            <v>43.3</v>
          </cell>
        </row>
        <row r="2072">
          <cell r="B2072">
            <v>38798</v>
          </cell>
          <cell r="D2072">
            <v>43.7</v>
          </cell>
        </row>
        <row r="2073">
          <cell r="B2073">
            <v>38799</v>
          </cell>
          <cell r="D2073">
            <v>43.27</v>
          </cell>
        </row>
        <row r="2074">
          <cell r="B2074">
            <v>38800</v>
          </cell>
          <cell r="D2074">
            <v>42.9</v>
          </cell>
        </row>
        <row r="2075">
          <cell r="B2075">
            <v>38803</v>
          </cell>
          <cell r="D2075">
            <v>42.95</v>
          </cell>
        </row>
        <row r="2076">
          <cell r="B2076">
            <v>38804</v>
          </cell>
          <cell r="D2076">
            <v>42.71</v>
          </cell>
        </row>
        <row r="2077">
          <cell r="B2077">
            <v>38805</v>
          </cell>
          <cell r="D2077">
            <v>43.28</v>
          </cell>
        </row>
        <row r="2078">
          <cell r="B2078">
            <v>38806</v>
          </cell>
          <cell r="D2078">
            <v>42.77</v>
          </cell>
        </row>
        <row r="2079">
          <cell r="B2079">
            <v>38807</v>
          </cell>
          <cell r="D2079">
            <v>42.77</v>
          </cell>
        </row>
        <row r="2080">
          <cell r="B2080">
            <v>38810</v>
          </cell>
          <cell r="D2080">
            <v>42.9</v>
          </cell>
        </row>
        <row r="2081">
          <cell r="B2081">
            <v>38811</v>
          </cell>
          <cell r="D2081">
            <v>43.06</v>
          </cell>
        </row>
        <row r="2082">
          <cell r="B2082">
            <v>38812</v>
          </cell>
          <cell r="D2082">
            <v>43.12</v>
          </cell>
        </row>
        <row r="2083">
          <cell r="B2083">
            <v>38813</v>
          </cell>
          <cell r="D2083">
            <v>42.93</v>
          </cell>
        </row>
        <row r="2084">
          <cell r="B2084">
            <v>38814</v>
          </cell>
          <cell r="D2084">
            <v>42.02</v>
          </cell>
        </row>
        <row r="2085">
          <cell r="B2085">
            <v>38817</v>
          </cell>
          <cell r="D2085">
            <v>42.27</v>
          </cell>
        </row>
        <row r="2086">
          <cell r="B2086">
            <v>38818</v>
          </cell>
          <cell r="D2086">
            <v>42.47</v>
          </cell>
        </row>
        <row r="2087">
          <cell r="B2087">
            <v>38819</v>
          </cell>
          <cell r="D2087">
            <v>42.07</v>
          </cell>
        </row>
        <row r="2088">
          <cell r="B2088">
            <v>38820</v>
          </cell>
          <cell r="D2088">
            <v>42.22</v>
          </cell>
        </row>
        <row r="2089">
          <cell r="B2089">
            <v>38824</v>
          </cell>
          <cell r="D2089">
            <v>41.9</v>
          </cell>
        </row>
        <row r="2090">
          <cell r="B2090">
            <v>38825</v>
          </cell>
          <cell r="D2090">
            <v>42.65</v>
          </cell>
        </row>
        <row r="2091">
          <cell r="B2091">
            <v>38826</v>
          </cell>
          <cell r="D2091">
            <v>42.62</v>
          </cell>
        </row>
        <row r="2092">
          <cell r="B2092">
            <v>38827</v>
          </cell>
          <cell r="D2092">
            <v>42.6</v>
          </cell>
        </row>
        <row r="2093">
          <cell r="B2093">
            <v>38828</v>
          </cell>
          <cell r="D2093">
            <v>42.73</v>
          </cell>
        </row>
        <row r="2094">
          <cell r="B2094">
            <v>38831</v>
          </cell>
          <cell r="D2094">
            <v>43.03</v>
          </cell>
        </row>
        <row r="2095">
          <cell r="B2095">
            <v>38832</v>
          </cell>
          <cell r="D2095">
            <v>42.63</v>
          </cell>
        </row>
        <row r="2096">
          <cell r="B2096">
            <v>38833</v>
          </cell>
          <cell r="D2096">
            <v>44.9</v>
          </cell>
        </row>
        <row r="2097">
          <cell r="B2097">
            <v>38834</v>
          </cell>
          <cell r="D2097">
            <v>44.62</v>
          </cell>
        </row>
        <row r="2098">
          <cell r="B2098">
            <v>38835</v>
          </cell>
          <cell r="D2098">
            <v>44.58</v>
          </cell>
        </row>
        <row r="2099">
          <cell r="B2099">
            <v>38838</v>
          </cell>
          <cell r="D2099">
            <v>44.73</v>
          </cell>
        </row>
        <row r="2100">
          <cell r="B2100">
            <v>38839</v>
          </cell>
          <cell r="D2100">
            <v>45.2</v>
          </cell>
        </row>
        <row r="2101">
          <cell r="B2101">
            <v>38840</v>
          </cell>
          <cell r="D2101">
            <v>45.87</v>
          </cell>
        </row>
        <row r="2102">
          <cell r="B2102">
            <v>38841</v>
          </cell>
          <cell r="D2102">
            <v>45.64</v>
          </cell>
        </row>
        <row r="2103">
          <cell r="B2103">
            <v>38842</v>
          </cell>
          <cell r="D2103">
            <v>45.86</v>
          </cell>
        </row>
        <row r="2104">
          <cell r="B2104">
            <v>38845</v>
          </cell>
          <cell r="D2104">
            <v>45.78</v>
          </cell>
        </row>
        <row r="2105">
          <cell r="B2105">
            <v>38846</v>
          </cell>
          <cell r="D2105">
            <v>46.81</v>
          </cell>
        </row>
        <row r="2106">
          <cell r="B2106">
            <v>38847</v>
          </cell>
          <cell r="D2106">
            <v>46.74</v>
          </cell>
        </row>
        <row r="2107">
          <cell r="B2107">
            <v>38848</v>
          </cell>
          <cell r="D2107">
            <v>46.09</v>
          </cell>
        </row>
        <row r="2108">
          <cell r="B2108">
            <v>38849</v>
          </cell>
          <cell r="D2108">
            <v>46.02</v>
          </cell>
        </row>
        <row r="2109">
          <cell r="B2109">
            <v>38852</v>
          </cell>
          <cell r="D2109">
            <v>46.39</v>
          </cell>
        </row>
        <row r="2110">
          <cell r="B2110">
            <v>38853</v>
          </cell>
          <cell r="D2110">
            <v>46.59</v>
          </cell>
        </row>
        <row r="2111">
          <cell r="B2111">
            <v>38854</v>
          </cell>
          <cell r="D2111">
            <v>46.27</v>
          </cell>
        </row>
        <row r="2112">
          <cell r="B2112">
            <v>38855</v>
          </cell>
          <cell r="D2112">
            <v>46.19</v>
          </cell>
        </row>
        <row r="2113">
          <cell r="B2113">
            <v>38856</v>
          </cell>
          <cell r="D2113">
            <v>46.13</v>
          </cell>
        </row>
        <row r="2114">
          <cell r="B2114">
            <v>38859</v>
          </cell>
          <cell r="D2114">
            <v>46.96</v>
          </cell>
        </row>
        <row r="2115">
          <cell r="B2115">
            <v>38860</v>
          </cell>
          <cell r="D2115">
            <v>46.5</v>
          </cell>
        </row>
        <row r="2116">
          <cell r="B2116">
            <v>38861</v>
          </cell>
          <cell r="D2116">
            <v>46.5</v>
          </cell>
        </row>
        <row r="2117">
          <cell r="B2117">
            <v>38862</v>
          </cell>
          <cell r="D2117">
            <v>46.81</v>
          </cell>
        </row>
        <row r="2118">
          <cell r="B2118">
            <v>38863</v>
          </cell>
          <cell r="D2118">
            <v>45.76</v>
          </cell>
        </row>
        <row r="2119">
          <cell r="B2119">
            <v>38867</v>
          </cell>
          <cell r="D2119">
            <v>45.5</v>
          </cell>
        </row>
        <row r="2120">
          <cell r="B2120">
            <v>38868</v>
          </cell>
          <cell r="D2120">
            <v>45.64</v>
          </cell>
        </row>
        <row r="2121">
          <cell r="B2121">
            <v>38869</v>
          </cell>
          <cell r="D2121">
            <v>45.99</v>
          </cell>
        </row>
        <row r="2122">
          <cell r="B2122">
            <v>38870</v>
          </cell>
          <cell r="D2122">
            <v>45.62</v>
          </cell>
        </row>
        <row r="2123">
          <cell r="B2123">
            <v>38873</v>
          </cell>
          <cell r="D2123">
            <v>44.9</v>
          </cell>
        </row>
        <row r="2124">
          <cell r="B2124">
            <v>38874</v>
          </cell>
          <cell r="D2124">
            <v>44.96</v>
          </cell>
        </row>
        <row r="2125">
          <cell r="B2125">
            <v>38875</v>
          </cell>
          <cell r="D2125">
            <v>45.17</v>
          </cell>
        </row>
        <row r="2126">
          <cell r="B2126">
            <v>38876</v>
          </cell>
          <cell r="D2126">
            <v>45.09</v>
          </cell>
        </row>
        <row r="2127">
          <cell r="B2127">
            <v>38877</v>
          </cell>
          <cell r="D2127">
            <v>45.21</v>
          </cell>
        </row>
        <row r="2128">
          <cell r="B2128">
            <v>38880</v>
          </cell>
          <cell r="D2128">
            <v>44.97</v>
          </cell>
        </row>
        <row r="2129">
          <cell r="B2129">
            <v>38881</v>
          </cell>
          <cell r="D2129">
            <v>45.24</v>
          </cell>
        </row>
        <row r="2130">
          <cell r="B2130">
            <v>38882</v>
          </cell>
          <cell r="D2130">
            <v>45.14</v>
          </cell>
        </row>
        <row r="2131">
          <cell r="B2131">
            <v>38883</v>
          </cell>
          <cell r="D2131">
            <v>45.42</v>
          </cell>
        </row>
        <row r="2132">
          <cell r="B2132">
            <v>38884</v>
          </cell>
          <cell r="D2132">
            <v>45.52</v>
          </cell>
        </row>
        <row r="2133">
          <cell r="B2133">
            <v>38887</v>
          </cell>
          <cell r="D2133">
            <v>45.4</v>
          </cell>
        </row>
        <row r="2134">
          <cell r="B2134">
            <v>38888</v>
          </cell>
          <cell r="D2134">
            <v>45.6</v>
          </cell>
        </row>
        <row r="2135">
          <cell r="B2135">
            <v>38889</v>
          </cell>
          <cell r="D2135">
            <v>45.65</v>
          </cell>
        </row>
        <row r="2136">
          <cell r="B2136">
            <v>38890</v>
          </cell>
          <cell r="D2136">
            <v>45.5</v>
          </cell>
        </row>
        <row r="2137">
          <cell r="B2137">
            <v>38891</v>
          </cell>
          <cell r="D2137">
            <v>45.42</v>
          </cell>
        </row>
        <row r="2138">
          <cell r="B2138">
            <v>38894</v>
          </cell>
          <cell r="D2138">
            <v>45.3</v>
          </cell>
        </row>
        <row r="2139">
          <cell r="B2139">
            <v>38895</v>
          </cell>
          <cell r="D2139">
            <v>45.09</v>
          </cell>
        </row>
        <row r="2140">
          <cell r="B2140">
            <v>38896</v>
          </cell>
          <cell r="D2140">
            <v>44.98</v>
          </cell>
        </row>
        <row r="2141">
          <cell r="B2141">
            <v>38897</v>
          </cell>
          <cell r="D2141">
            <v>45.73</v>
          </cell>
        </row>
        <row r="2142">
          <cell r="B2142">
            <v>38898</v>
          </cell>
          <cell r="D2142">
            <v>45.59</v>
          </cell>
        </row>
        <row r="2143">
          <cell r="B2143">
            <v>38901</v>
          </cell>
          <cell r="D2143">
            <v>45.56</v>
          </cell>
        </row>
        <row r="2144">
          <cell r="B2144">
            <v>38903</v>
          </cell>
          <cell r="D2144">
            <v>45.53</v>
          </cell>
        </row>
        <row r="2145">
          <cell r="B2145">
            <v>38904</v>
          </cell>
          <cell r="D2145">
            <v>45.6</v>
          </cell>
        </row>
        <row r="2146">
          <cell r="B2146">
            <v>38905</v>
          </cell>
          <cell r="D2146">
            <v>45.96</v>
          </cell>
        </row>
        <row r="2147">
          <cell r="B2147">
            <v>38908</v>
          </cell>
          <cell r="D2147">
            <v>46.05</v>
          </cell>
        </row>
        <row r="2148">
          <cell r="B2148">
            <v>38909</v>
          </cell>
          <cell r="D2148">
            <v>46.22</v>
          </cell>
        </row>
        <row r="2149">
          <cell r="B2149">
            <v>38910</v>
          </cell>
          <cell r="D2149">
            <v>46.09</v>
          </cell>
        </row>
        <row r="2150">
          <cell r="B2150">
            <v>38911</v>
          </cell>
          <cell r="D2150">
            <v>45.46</v>
          </cell>
        </row>
        <row r="2151">
          <cell r="B2151">
            <v>38912</v>
          </cell>
          <cell r="D2151">
            <v>45.19</v>
          </cell>
        </row>
        <row r="2152">
          <cell r="B2152">
            <v>38915</v>
          </cell>
          <cell r="D2152">
            <v>45.42</v>
          </cell>
        </row>
        <row r="2153">
          <cell r="B2153">
            <v>38916</v>
          </cell>
          <cell r="D2153">
            <v>45.76</v>
          </cell>
        </row>
        <row r="2154">
          <cell r="B2154">
            <v>38917</v>
          </cell>
          <cell r="D2154">
            <v>46.83</v>
          </cell>
        </row>
        <row r="2155">
          <cell r="B2155">
            <v>38918</v>
          </cell>
          <cell r="D2155">
            <v>46.69</v>
          </cell>
        </row>
        <row r="2156">
          <cell r="B2156">
            <v>38919</v>
          </cell>
          <cell r="D2156">
            <v>46.81</v>
          </cell>
        </row>
        <row r="2157">
          <cell r="B2157">
            <v>38922</v>
          </cell>
          <cell r="D2157">
            <v>47.2</v>
          </cell>
        </row>
        <row r="2158">
          <cell r="B2158">
            <v>38923</v>
          </cell>
          <cell r="D2158">
            <v>47.63</v>
          </cell>
        </row>
        <row r="2159">
          <cell r="B2159">
            <v>38924</v>
          </cell>
          <cell r="D2159">
            <v>48.35</v>
          </cell>
        </row>
        <row r="2160">
          <cell r="B2160">
            <v>38925</v>
          </cell>
          <cell r="D2160">
            <v>48.06</v>
          </cell>
        </row>
        <row r="2161">
          <cell r="B2161">
            <v>38926</v>
          </cell>
          <cell r="D2161">
            <v>47.9</v>
          </cell>
        </row>
        <row r="2162">
          <cell r="B2162">
            <v>38929</v>
          </cell>
          <cell r="D2162">
            <v>48.15</v>
          </cell>
        </row>
        <row r="2163">
          <cell r="B2163">
            <v>38930</v>
          </cell>
          <cell r="D2163">
            <v>47.91</v>
          </cell>
        </row>
        <row r="2164">
          <cell r="B2164">
            <v>38931</v>
          </cell>
          <cell r="D2164">
            <v>47.87</v>
          </cell>
        </row>
        <row r="2165">
          <cell r="B2165">
            <v>38932</v>
          </cell>
          <cell r="D2165">
            <v>47.73</v>
          </cell>
        </row>
        <row r="2166">
          <cell r="B2166">
            <v>38933</v>
          </cell>
          <cell r="D2166">
            <v>47.72</v>
          </cell>
        </row>
        <row r="2167">
          <cell r="B2167">
            <v>38936</v>
          </cell>
          <cell r="D2167">
            <v>47.87</v>
          </cell>
        </row>
        <row r="2168">
          <cell r="B2168">
            <v>38937</v>
          </cell>
          <cell r="D2168">
            <v>48.07</v>
          </cell>
        </row>
        <row r="2169">
          <cell r="B2169">
            <v>38938</v>
          </cell>
          <cell r="D2169">
            <v>47.99</v>
          </cell>
        </row>
        <row r="2170">
          <cell r="B2170">
            <v>38939</v>
          </cell>
          <cell r="D2170">
            <v>48.21</v>
          </cell>
        </row>
        <row r="2171">
          <cell r="B2171">
            <v>38940</v>
          </cell>
          <cell r="D2171">
            <v>48.2</v>
          </cell>
        </row>
        <row r="2172">
          <cell r="B2172">
            <v>38943</v>
          </cell>
          <cell r="D2172">
            <v>48.02</v>
          </cell>
        </row>
        <row r="2173">
          <cell r="B2173">
            <v>38944</v>
          </cell>
          <cell r="D2173">
            <v>48.49</v>
          </cell>
        </row>
        <row r="2174">
          <cell r="B2174">
            <v>38945</v>
          </cell>
          <cell r="D2174">
            <v>48.9</v>
          </cell>
        </row>
        <row r="2175">
          <cell r="B2175">
            <v>38946</v>
          </cell>
          <cell r="D2175">
            <v>48.82</v>
          </cell>
        </row>
        <row r="2176">
          <cell r="B2176">
            <v>38947</v>
          </cell>
          <cell r="D2176">
            <v>48.8</v>
          </cell>
        </row>
        <row r="2177">
          <cell r="B2177">
            <v>38950</v>
          </cell>
          <cell r="D2177">
            <v>48.82</v>
          </cell>
        </row>
        <row r="2178">
          <cell r="B2178">
            <v>38951</v>
          </cell>
          <cell r="D2178">
            <v>48.77</v>
          </cell>
        </row>
        <row r="2179">
          <cell r="B2179">
            <v>38952</v>
          </cell>
          <cell r="D2179">
            <v>48.85</v>
          </cell>
        </row>
        <row r="2180">
          <cell r="B2180">
            <v>38953</v>
          </cell>
          <cell r="D2180">
            <v>49.3</v>
          </cell>
        </row>
        <row r="2181">
          <cell r="B2181">
            <v>38954</v>
          </cell>
          <cell r="D2181">
            <v>49.46</v>
          </cell>
        </row>
        <row r="2182">
          <cell r="B2182">
            <v>38957</v>
          </cell>
          <cell r="D2182">
            <v>49.26</v>
          </cell>
        </row>
        <row r="2183">
          <cell r="B2183">
            <v>38958</v>
          </cell>
          <cell r="D2183">
            <v>49.91</v>
          </cell>
        </row>
        <row r="2184">
          <cell r="B2184">
            <v>38959</v>
          </cell>
          <cell r="D2184">
            <v>49.45</v>
          </cell>
        </row>
        <row r="2185">
          <cell r="B2185">
            <v>38960</v>
          </cell>
          <cell r="D2185">
            <v>49.38</v>
          </cell>
        </row>
        <row r="2186">
          <cell r="B2186">
            <v>38961</v>
          </cell>
          <cell r="D2186">
            <v>49.45</v>
          </cell>
        </row>
        <row r="2187">
          <cell r="B2187">
            <v>38965</v>
          </cell>
          <cell r="D2187">
            <v>49.3</v>
          </cell>
        </row>
        <row r="2188">
          <cell r="B2188">
            <v>38966</v>
          </cell>
          <cell r="D2188">
            <v>47.99</v>
          </cell>
        </row>
        <row r="2189">
          <cell r="B2189">
            <v>38967</v>
          </cell>
          <cell r="D2189">
            <v>47.33</v>
          </cell>
        </row>
        <row r="2190">
          <cell r="B2190">
            <v>38968</v>
          </cell>
          <cell r="D2190">
            <v>47.42</v>
          </cell>
        </row>
        <row r="2191">
          <cell r="B2191">
            <v>38971</v>
          </cell>
          <cell r="D2191">
            <v>47.3</v>
          </cell>
        </row>
        <row r="2192">
          <cell r="B2192">
            <v>38972</v>
          </cell>
          <cell r="D2192">
            <v>47.36</v>
          </cell>
        </row>
        <row r="2193">
          <cell r="B2193">
            <v>38973</v>
          </cell>
          <cell r="D2193">
            <v>46.91</v>
          </cell>
        </row>
        <row r="2194">
          <cell r="B2194">
            <v>38974</v>
          </cell>
          <cell r="D2194">
            <v>46.93</v>
          </cell>
        </row>
        <row r="2195">
          <cell r="B2195">
            <v>38975</v>
          </cell>
          <cell r="D2195">
            <v>47.31</v>
          </cell>
        </row>
        <row r="2196">
          <cell r="B2196">
            <v>38978</v>
          </cell>
          <cell r="D2196">
            <v>47.12</v>
          </cell>
        </row>
        <row r="2197">
          <cell r="B2197">
            <v>38979</v>
          </cell>
          <cell r="D2197">
            <v>47.52</v>
          </cell>
        </row>
        <row r="2198">
          <cell r="B2198">
            <v>38980</v>
          </cell>
          <cell r="D2198">
            <v>47.65</v>
          </cell>
        </row>
        <row r="2199">
          <cell r="B2199">
            <v>38981</v>
          </cell>
          <cell r="D2199">
            <v>47.64</v>
          </cell>
        </row>
        <row r="2200">
          <cell r="B2200">
            <v>38982</v>
          </cell>
          <cell r="D2200">
            <v>47.15</v>
          </cell>
        </row>
        <row r="2201">
          <cell r="B2201">
            <v>38985</v>
          </cell>
          <cell r="D2201">
            <v>47.75</v>
          </cell>
        </row>
        <row r="2202">
          <cell r="B2202">
            <v>38986</v>
          </cell>
          <cell r="D2202">
            <v>47.87</v>
          </cell>
        </row>
        <row r="2203">
          <cell r="B2203">
            <v>38987</v>
          </cell>
          <cell r="D2203">
            <v>47.41</v>
          </cell>
        </row>
        <row r="2204">
          <cell r="B2204">
            <v>38988</v>
          </cell>
          <cell r="D2204">
            <v>47.97</v>
          </cell>
        </row>
        <row r="2205">
          <cell r="B2205">
            <v>38989</v>
          </cell>
          <cell r="D2205">
            <v>47.51</v>
          </cell>
        </row>
        <row r="2206">
          <cell r="B2206">
            <v>38992</v>
          </cell>
          <cell r="D2206">
            <v>47.49</v>
          </cell>
        </row>
        <row r="2207">
          <cell r="B2207">
            <v>38993</v>
          </cell>
          <cell r="D2207">
            <v>47.19</v>
          </cell>
        </row>
        <row r="2208">
          <cell r="B2208">
            <v>38994</v>
          </cell>
          <cell r="D2208">
            <v>47.83</v>
          </cell>
        </row>
        <row r="2209">
          <cell r="B2209">
            <v>38995</v>
          </cell>
          <cell r="D2209">
            <v>47.23</v>
          </cell>
        </row>
        <row r="2210">
          <cell r="B2210">
            <v>38996</v>
          </cell>
          <cell r="D2210">
            <v>47.08</v>
          </cell>
        </row>
        <row r="2211">
          <cell r="B2211">
            <v>38999</v>
          </cell>
          <cell r="D2211">
            <v>46.99</v>
          </cell>
        </row>
        <row r="2212">
          <cell r="B2212">
            <v>39000</v>
          </cell>
          <cell r="D2212">
            <v>47.98</v>
          </cell>
        </row>
        <row r="2213">
          <cell r="B2213">
            <v>39001</v>
          </cell>
          <cell r="D2213">
            <v>47.47</v>
          </cell>
        </row>
        <row r="2214">
          <cell r="B2214">
            <v>39002</v>
          </cell>
          <cell r="D2214">
            <v>47.69</v>
          </cell>
        </row>
        <row r="2215">
          <cell r="B2215">
            <v>39003</v>
          </cell>
          <cell r="D2215">
            <v>48.01</v>
          </cell>
        </row>
        <row r="2216">
          <cell r="B2216">
            <v>39006</v>
          </cell>
          <cell r="D2216">
            <v>48.59</v>
          </cell>
        </row>
        <row r="2217">
          <cell r="B2217">
            <v>39007</v>
          </cell>
          <cell r="D2217">
            <v>48.6</v>
          </cell>
        </row>
        <row r="2218">
          <cell r="B2218">
            <v>39008</v>
          </cell>
          <cell r="D2218">
            <v>48.68</v>
          </cell>
        </row>
        <row r="2219">
          <cell r="B2219">
            <v>39009</v>
          </cell>
          <cell r="D2219">
            <v>48</v>
          </cell>
        </row>
        <row r="2220">
          <cell r="B2220">
            <v>39010</v>
          </cell>
          <cell r="D2220">
            <v>47.32</v>
          </cell>
        </row>
        <row r="2221">
          <cell r="B2221">
            <v>39013</v>
          </cell>
          <cell r="D2221">
            <v>47.59</v>
          </cell>
        </row>
        <row r="2222">
          <cell r="B2222">
            <v>39014</v>
          </cell>
          <cell r="D2222">
            <v>46.89</v>
          </cell>
        </row>
        <row r="2223">
          <cell r="B2223">
            <v>39015</v>
          </cell>
          <cell r="D2223">
            <v>47.86</v>
          </cell>
        </row>
        <row r="2224">
          <cell r="B2224">
            <v>39016</v>
          </cell>
          <cell r="D2224">
            <v>48.22</v>
          </cell>
        </row>
        <row r="2225">
          <cell r="B2225">
            <v>39017</v>
          </cell>
          <cell r="D2225">
            <v>47.7</v>
          </cell>
        </row>
        <row r="2226">
          <cell r="B2226">
            <v>39020</v>
          </cell>
          <cell r="D2226">
            <v>47.36</v>
          </cell>
        </row>
        <row r="2227">
          <cell r="B2227">
            <v>39021</v>
          </cell>
          <cell r="D2227">
            <v>47.42</v>
          </cell>
        </row>
        <row r="2228">
          <cell r="B2228">
            <v>39022</v>
          </cell>
          <cell r="D2228">
            <v>47.69</v>
          </cell>
        </row>
        <row r="2229">
          <cell r="B2229">
            <v>39023</v>
          </cell>
          <cell r="D2229">
            <v>47.22</v>
          </cell>
        </row>
        <row r="2230">
          <cell r="B2230">
            <v>39024</v>
          </cell>
          <cell r="D2230">
            <v>46.95</v>
          </cell>
        </row>
        <row r="2231">
          <cell r="B2231">
            <v>39027</v>
          </cell>
          <cell r="D2231">
            <v>47.41</v>
          </cell>
        </row>
        <row r="2232">
          <cell r="B2232">
            <v>39028</v>
          </cell>
          <cell r="D2232">
            <v>47.2</v>
          </cell>
        </row>
        <row r="2233">
          <cell r="B2233">
            <v>39029</v>
          </cell>
          <cell r="D2233">
            <v>47.23</v>
          </cell>
        </row>
        <row r="2234">
          <cell r="B2234">
            <v>39030</v>
          </cell>
          <cell r="D2234">
            <v>47.23</v>
          </cell>
        </row>
        <row r="2235">
          <cell r="B2235">
            <v>39031</v>
          </cell>
          <cell r="D2235">
            <v>47.29</v>
          </cell>
        </row>
        <row r="2236">
          <cell r="B2236">
            <v>39034</v>
          </cell>
          <cell r="D2236">
            <v>46.97</v>
          </cell>
        </row>
        <row r="2237">
          <cell r="B2237">
            <v>39035</v>
          </cell>
          <cell r="D2237">
            <v>47.07</v>
          </cell>
        </row>
        <row r="2238">
          <cell r="B2238">
            <v>39036</v>
          </cell>
          <cell r="D2238">
            <v>46.92</v>
          </cell>
        </row>
        <row r="2239">
          <cell r="B2239">
            <v>39037</v>
          </cell>
          <cell r="D2239">
            <v>47.07</v>
          </cell>
        </row>
        <row r="2240">
          <cell r="B2240">
            <v>39038</v>
          </cell>
          <cell r="D2240">
            <v>46.89</v>
          </cell>
        </row>
        <row r="2241">
          <cell r="B2241">
            <v>39041</v>
          </cell>
          <cell r="D2241">
            <v>46.54</v>
          </cell>
        </row>
        <row r="2242">
          <cell r="B2242">
            <v>39042</v>
          </cell>
          <cell r="D2242">
            <v>46.37</v>
          </cell>
        </row>
        <row r="2243">
          <cell r="B2243">
            <v>39043</v>
          </cell>
          <cell r="D2243">
            <v>46.52</v>
          </cell>
        </row>
        <row r="2244">
          <cell r="B2244">
            <v>39045</v>
          </cell>
          <cell r="D2244">
            <v>46.28</v>
          </cell>
        </row>
        <row r="2245">
          <cell r="B2245">
            <v>39048</v>
          </cell>
          <cell r="D2245">
            <v>46.14</v>
          </cell>
        </row>
        <row r="2246">
          <cell r="B2246">
            <v>39049</v>
          </cell>
          <cell r="D2246">
            <v>46.89</v>
          </cell>
        </row>
        <row r="2247">
          <cell r="B2247">
            <v>39050</v>
          </cell>
          <cell r="D2247">
            <v>46.62</v>
          </cell>
        </row>
        <row r="2248">
          <cell r="B2248">
            <v>39051</v>
          </cell>
          <cell r="D2248">
            <v>47.51</v>
          </cell>
        </row>
        <row r="2249">
          <cell r="B2249">
            <v>39052</v>
          </cell>
          <cell r="D2249">
            <v>47.63</v>
          </cell>
        </row>
        <row r="2250">
          <cell r="B2250">
            <v>39055</v>
          </cell>
          <cell r="D2250">
            <v>48.11</v>
          </cell>
        </row>
        <row r="2251">
          <cell r="B2251">
            <v>39056</v>
          </cell>
          <cell r="D2251">
            <v>48.29</v>
          </cell>
        </row>
        <row r="2252">
          <cell r="B2252">
            <v>39057</v>
          </cell>
          <cell r="D2252">
            <v>48.19</v>
          </cell>
        </row>
        <row r="2253">
          <cell r="B2253">
            <v>39058</v>
          </cell>
          <cell r="D2253">
            <v>48.03</v>
          </cell>
        </row>
        <row r="2254">
          <cell r="B2254">
            <v>39059</v>
          </cell>
          <cell r="D2254">
            <v>47.8</v>
          </cell>
        </row>
        <row r="2255">
          <cell r="B2255">
            <v>39062</v>
          </cell>
          <cell r="D2255">
            <v>48.31</v>
          </cell>
        </row>
        <row r="2256">
          <cell r="B2256">
            <v>39063</v>
          </cell>
          <cell r="D2256">
            <v>48.5</v>
          </cell>
        </row>
        <row r="2257">
          <cell r="B2257">
            <v>39064</v>
          </cell>
          <cell r="D2257">
            <v>48.16</v>
          </cell>
        </row>
        <row r="2258">
          <cell r="B2258">
            <v>39065</v>
          </cell>
          <cell r="D2258">
            <v>48.42</v>
          </cell>
        </row>
        <row r="2259">
          <cell r="B2259">
            <v>39066</v>
          </cell>
          <cell r="D2259">
            <v>48.44</v>
          </cell>
        </row>
        <row r="2260">
          <cell r="B2260">
            <v>39069</v>
          </cell>
          <cell r="D2260">
            <v>48.06</v>
          </cell>
        </row>
        <row r="2261">
          <cell r="B2261">
            <v>39070</v>
          </cell>
          <cell r="D2261">
            <v>47.9</v>
          </cell>
        </row>
        <row r="2262">
          <cell r="B2262">
            <v>39071</v>
          </cell>
          <cell r="D2262">
            <v>48.04</v>
          </cell>
        </row>
        <row r="2263">
          <cell r="B2263">
            <v>39072</v>
          </cell>
          <cell r="D2263">
            <v>48.95</v>
          </cell>
        </row>
        <row r="2264">
          <cell r="B2264">
            <v>39073</v>
          </cell>
          <cell r="D2264">
            <v>48.9</v>
          </cell>
        </row>
        <row r="2265">
          <cell r="B2265">
            <v>39077</v>
          </cell>
          <cell r="D2265">
            <v>49.08</v>
          </cell>
        </row>
        <row r="2266">
          <cell r="B2266">
            <v>39078</v>
          </cell>
          <cell r="D2266">
            <v>49.21</v>
          </cell>
        </row>
        <row r="2267">
          <cell r="B2267">
            <v>39079</v>
          </cell>
          <cell r="D2267">
            <v>49.38</v>
          </cell>
        </row>
        <row r="2268">
          <cell r="B2268">
            <v>39080</v>
          </cell>
          <cell r="D2268">
            <v>49.2</v>
          </cell>
        </row>
        <row r="2269">
          <cell r="B2269">
            <v>39085</v>
          </cell>
          <cell r="D2269">
            <v>49.22</v>
          </cell>
        </row>
        <row r="2270">
          <cell r="B2270">
            <v>39086</v>
          </cell>
          <cell r="D2270">
            <v>48.75</v>
          </cell>
        </row>
        <row r="2271">
          <cell r="B2271">
            <v>39087</v>
          </cell>
          <cell r="D2271">
            <v>48.8</v>
          </cell>
        </row>
        <row r="2272">
          <cell r="B2272">
            <v>39090</v>
          </cell>
          <cell r="D2272">
            <v>48.78</v>
          </cell>
        </row>
        <row r="2273">
          <cell r="B2273">
            <v>39091</v>
          </cell>
          <cell r="D2273">
            <v>48.76</v>
          </cell>
        </row>
        <row r="2274">
          <cell r="B2274">
            <v>39092</v>
          </cell>
          <cell r="D2274">
            <v>49.19</v>
          </cell>
        </row>
        <row r="2275">
          <cell r="B2275">
            <v>39093</v>
          </cell>
          <cell r="D2275">
            <v>49.68</v>
          </cell>
        </row>
        <row r="2276">
          <cell r="B2276">
            <v>39094</v>
          </cell>
          <cell r="D2276">
            <v>50.34</v>
          </cell>
        </row>
        <row r="2277">
          <cell r="B2277">
            <v>39098</v>
          </cell>
          <cell r="D2277">
            <v>50.62</v>
          </cell>
        </row>
        <row r="2278">
          <cell r="B2278">
            <v>39099</v>
          </cell>
          <cell r="D2278">
            <v>50.65</v>
          </cell>
        </row>
        <row r="2279">
          <cell r="B2279">
            <v>39100</v>
          </cell>
          <cell r="D2279">
            <v>50.76</v>
          </cell>
        </row>
        <row r="2280">
          <cell r="B2280">
            <v>39101</v>
          </cell>
          <cell r="D2280">
            <v>50.82</v>
          </cell>
        </row>
        <row r="2281">
          <cell r="B2281">
            <v>39104</v>
          </cell>
          <cell r="D2281">
            <v>50.87</v>
          </cell>
        </row>
        <row r="2282">
          <cell r="B2282">
            <v>39105</v>
          </cell>
          <cell r="D2282">
            <v>51.05</v>
          </cell>
        </row>
        <row r="2283">
          <cell r="B2283">
            <v>39106</v>
          </cell>
          <cell r="D2283">
            <v>51.33</v>
          </cell>
        </row>
        <row r="2284">
          <cell r="B2284">
            <v>39107</v>
          </cell>
          <cell r="D2284">
            <v>51.07</v>
          </cell>
        </row>
        <row r="2285">
          <cell r="B2285">
            <v>39108</v>
          </cell>
          <cell r="D2285">
            <v>50.93</v>
          </cell>
        </row>
        <row r="2286">
          <cell r="B2286">
            <v>39111</v>
          </cell>
          <cell r="D2286">
            <v>50.76</v>
          </cell>
        </row>
        <row r="2287">
          <cell r="B2287">
            <v>39112</v>
          </cell>
          <cell r="D2287">
            <v>51</v>
          </cell>
        </row>
        <row r="2288">
          <cell r="B2288">
            <v>39113</v>
          </cell>
          <cell r="D2288">
            <v>50.97</v>
          </cell>
        </row>
        <row r="2289">
          <cell r="B2289">
            <v>39114</v>
          </cell>
          <cell r="D2289">
            <v>51.4</v>
          </cell>
        </row>
        <row r="2290">
          <cell r="B2290">
            <v>39115</v>
          </cell>
          <cell r="D2290">
            <v>51.37</v>
          </cell>
        </row>
        <row r="2291">
          <cell r="B2291">
            <v>39118</v>
          </cell>
          <cell r="D2291">
            <v>51.13</v>
          </cell>
        </row>
        <row r="2292">
          <cell r="B2292">
            <v>39119</v>
          </cell>
          <cell r="D2292">
            <v>50.66</v>
          </cell>
        </row>
        <row r="2293">
          <cell r="B2293">
            <v>39120</v>
          </cell>
          <cell r="D2293">
            <v>50.25</v>
          </cell>
        </row>
        <row r="2294">
          <cell r="B2294">
            <v>39121</v>
          </cell>
          <cell r="D2294">
            <v>50.19</v>
          </cell>
        </row>
        <row r="2295">
          <cell r="B2295">
            <v>39122</v>
          </cell>
          <cell r="D2295">
            <v>50.05</v>
          </cell>
        </row>
        <row r="2296">
          <cell r="B2296">
            <v>39125</v>
          </cell>
          <cell r="D2296">
            <v>49.89</v>
          </cell>
        </row>
        <row r="2297">
          <cell r="B2297">
            <v>39126</v>
          </cell>
          <cell r="D2297">
            <v>50.06</v>
          </cell>
        </row>
        <row r="2298">
          <cell r="B2298">
            <v>39127</v>
          </cell>
          <cell r="D2298">
            <v>50.23</v>
          </cell>
        </row>
        <row r="2299">
          <cell r="B2299">
            <v>39128</v>
          </cell>
          <cell r="D2299">
            <v>51.75</v>
          </cell>
        </row>
        <row r="2300">
          <cell r="B2300">
            <v>39129</v>
          </cell>
          <cell r="D2300">
            <v>51.16</v>
          </cell>
        </row>
        <row r="2301">
          <cell r="B2301">
            <v>39133</v>
          </cell>
          <cell r="D2301">
            <v>50.83</v>
          </cell>
        </row>
        <row r="2302">
          <cell r="B2302">
            <v>39134</v>
          </cell>
          <cell r="D2302">
            <v>50.67</v>
          </cell>
        </row>
        <row r="2303">
          <cell r="B2303">
            <v>39135</v>
          </cell>
          <cell r="D2303">
            <v>50.39</v>
          </cell>
        </row>
        <row r="2304">
          <cell r="B2304">
            <v>39136</v>
          </cell>
          <cell r="D2304">
            <v>50.05</v>
          </cell>
        </row>
        <row r="2305">
          <cell r="B2305">
            <v>39139</v>
          </cell>
          <cell r="D2305">
            <v>49.81</v>
          </cell>
        </row>
        <row r="2306">
          <cell r="B2306">
            <v>39140</v>
          </cell>
          <cell r="D2306">
            <v>49</v>
          </cell>
        </row>
        <row r="2307">
          <cell r="B2307">
            <v>39141</v>
          </cell>
          <cell r="D2307">
            <v>49.04</v>
          </cell>
        </row>
        <row r="2308">
          <cell r="B2308">
            <v>39142</v>
          </cell>
          <cell r="D2308">
            <v>49.02</v>
          </cell>
        </row>
        <row r="2309">
          <cell r="B2309">
            <v>39143</v>
          </cell>
          <cell r="D2309">
            <v>48.14</v>
          </cell>
        </row>
        <row r="2310">
          <cell r="B2310">
            <v>39146</v>
          </cell>
          <cell r="D2310">
            <v>47.97</v>
          </cell>
        </row>
        <row r="2311">
          <cell r="B2311">
            <v>39147</v>
          </cell>
          <cell r="D2311">
            <v>49.46</v>
          </cell>
        </row>
        <row r="2312">
          <cell r="B2312">
            <v>39148</v>
          </cell>
          <cell r="D2312">
            <v>49.02</v>
          </cell>
        </row>
        <row r="2313">
          <cell r="B2313">
            <v>39149</v>
          </cell>
          <cell r="D2313">
            <v>49.82</v>
          </cell>
        </row>
        <row r="2314">
          <cell r="B2314">
            <v>39150</v>
          </cell>
          <cell r="D2314">
            <v>50.2</v>
          </cell>
        </row>
        <row r="2315">
          <cell r="B2315">
            <v>39153</v>
          </cell>
          <cell r="D2315">
            <v>50.59</v>
          </cell>
        </row>
        <row r="2316">
          <cell r="B2316">
            <v>39154</v>
          </cell>
          <cell r="D2316">
            <v>50.05</v>
          </cell>
        </row>
        <row r="2317">
          <cell r="B2317">
            <v>39155</v>
          </cell>
          <cell r="D2317">
            <v>50.5</v>
          </cell>
        </row>
        <row r="2318">
          <cell r="B2318">
            <v>39156</v>
          </cell>
          <cell r="D2318">
            <v>49.9</v>
          </cell>
        </row>
        <row r="2319">
          <cell r="B2319">
            <v>39157</v>
          </cell>
          <cell r="D2319">
            <v>49.64</v>
          </cell>
        </row>
        <row r="2320">
          <cell r="B2320">
            <v>39160</v>
          </cell>
          <cell r="D2320">
            <v>50.03</v>
          </cell>
        </row>
        <row r="2321">
          <cell r="B2321">
            <v>39161</v>
          </cell>
          <cell r="D2321">
            <v>50.16</v>
          </cell>
        </row>
        <row r="2322">
          <cell r="B2322">
            <v>39162</v>
          </cell>
          <cell r="D2322">
            <v>50.76</v>
          </cell>
        </row>
        <row r="2323">
          <cell r="B2323">
            <v>39163</v>
          </cell>
          <cell r="D2323">
            <v>50.9</v>
          </cell>
        </row>
        <row r="2324">
          <cell r="B2324">
            <v>39164</v>
          </cell>
          <cell r="D2324">
            <v>50.8</v>
          </cell>
        </row>
        <row r="2325">
          <cell r="B2325">
            <v>39167</v>
          </cell>
          <cell r="D2325">
            <v>50.85</v>
          </cell>
        </row>
        <row r="2326">
          <cell r="B2326">
            <v>39168</v>
          </cell>
          <cell r="D2326">
            <v>50.42</v>
          </cell>
        </row>
        <row r="2327">
          <cell r="B2327">
            <v>39169</v>
          </cell>
          <cell r="D2327">
            <v>49.79</v>
          </cell>
        </row>
        <row r="2328">
          <cell r="B2328">
            <v>39170</v>
          </cell>
          <cell r="D2328">
            <v>50.16</v>
          </cell>
        </row>
        <row r="2329">
          <cell r="B2329">
            <v>39171</v>
          </cell>
          <cell r="D2329">
            <v>50.46</v>
          </cell>
        </row>
        <row r="2330">
          <cell r="B2330">
            <v>39174</v>
          </cell>
          <cell r="D2330">
            <v>50.7</v>
          </cell>
        </row>
        <row r="2331">
          <cell r="B2331">
            <v>39175</v>
          </cell>
          <cell r="D2331">
            <v>51.06</v>
          </cell>
        </row>
        <row r="2332">
          <cell r="B2332">
            <v>39176</v>
          </cell>
          <cell r="D2332">
            <v>51.19</v>
          </cell>
        </row>
        <row r="2333">
          <cell r="B2333">
            <v>39177</v>
          </cell>
          <cell r="D2333">
            <v>51.1</v>
          </cell>
        </row>
        <row r="2334">
          <cell r="B2334">
            <v>39181</v>
          </cell>
          <cell r="D2334">
            <v>51.71</v>
          </cell>
        </row>
        <row r="2335">
          <cell r="B2335">
            <v>39182</v>
          </cell>
          <cell r="D2335">
            <v>52.09</v>
          </cell>
        </row>
        <row r="2336">
          <cell r="B2336">
            <v>39183</v>
          </cell>
          <cell r="D2336">
            <v>51.89</v>
          </cell>
        </row>
        <row r="2337">
          <cell r="B2337">
            <v>39184</v>
          </cell>
          <cell r="D2337">
            <v>52.18</v>
          </cell>
        </row>
        <row r="2338">
          <cell r="B2338">
            <v>39185</v>
          </cell>
          <cell r="D2338">
            <v>52.14</v>
          </cell>
        </row>
        <row r="2339">
          <cell r="B2339">
            <v>39188</v>
          </cell>
          <cell r="D2339">
            <v>52.47</v>
          </cell>
        </row>
        <row r="2340">
          <cell r="B2340">
            <v>39189</v>
          </cell>
          <cell r="D2340">
            <v>52.49</v>
          </cell>
        </row>
        <row r="2341">
          <cell r="B2341">
            <v>39190</v>
          </cell>
          <cell r="D2341">
            <v>52.14</v>
          </cell>
        </row>
        <row r="2342">
          <cell r="B2342">
            <v>39191</v>
          </cell>
          <cell r="D2342">
            <v>52.1</v>
          </cell>
        </row>
        <row r="2343">
          <cell r="B2343">
            <v>39192</v>
          </cell>
          <cell r="D2343">
            <v>52.61</v>
          </cell>
        </row>
        <row r="2344">
          <cell r="B2344">
            <v>39195</v>
          </cell>
          <cell r="D2344">
            <v>52.51</v>
          </cell>
        </row>
        <row r="2345">
          <cell r="B2345">
            <v>39196</v>
          </cell>
          <cell r="D2345">
            <v>52.35</v>
          </cell>
        </row>
        <row r="2346">
          <cell r="B2346">
            <v>39197</v>
          </cell>
          <cell r="D2346">
            <v>50.9</v>
          </cell>
        </row>
        <row r="2347">
          <cell r="B2347">
            <v>39198</v>
          </cell>
          <cell r="D2347">
            <v>50.6</v>
          </cell>
        </row>
        <row r="2348">
          <cell r="B2348">
            <v>39199</v>
          </cell>
          <cell r="D2348">
            <v>50.03</v>
          </cell>
        </row>
        <row r="2349">
          <cell r="B2349">
            <v>39202</v>
          </cell>
          <cell r="D2349">
            <v>49.19</v>
          </cell>
        </row>
        <row r="2350">
          <cell r="B2350">
            <v>39203</v>
          </cell>
          <cell r="D2350">
            <v>49.56</v>
          </cell>
        </row>
        <row r="2351">
          <cell r="B2351">
            <v>39204</v>
          </cell>
          <cell r="D2351">
            <v>49.89</v>
          </cell>
        </row>
        <row r="2352">
          <cell r="B2352">
            <v>39205</v>
          </cell>
          <cell r="D2352">
            <v>50.3</v>
          </cell>
        </row>
        <row r="2353">
          <cell r="B2353">
            <v>39206</v>
          </cell>
          <cell r="D2353">
            <v>50.5</v>
          </cell>
        </row>
        <row r="2354">
          <cell r="B2354">
            <v>39209</v>
          </cell>
          <cell r="D2354">
            <v>50.41</v>
          </cell>
        </row>
        <row r="2355">
          <cell r="B2355">
            <v>39210</v>
          </cell>
          <cell r="D2355">
            <v>50.4</v>
          </cell>
        </row>
        <row r="2356">
          <cell r="B2356">
            <v>39211</v>
          </cell>
          <cell r="D2356">
            <v>49.96</v>
          </cell>
        </row>
        <row r="2357">
          <cell r="B2357">
            <v>39212</v>
          </cell>
          <cell r="D2357">
            <v>49.87</v>
          </cell>
        </row>
        <row r="2358">
          <cell r="B2358">
            <v>39213</v>
          </cell>
          <cell r="D2358">
            <v>50.14</v>
          </cell>
        </row>
        <row r="2359">
          <cell r="B2359">
            <v>39216</v>
          </cell>
          <cell r="D2359">
            <v>49.95</v>
          </cell>
        </row>
        <row r="2360">
          <cell r="B2360">
            <v>39217</v>
          </cell>
          <cell r="D2360">
            <v>50.4</v>
          </cell>
        </row>
        <row r="2361">
          <cell r="B2361">
            <v>39218</v>
          </cell>
          <cell r="D2361">
            <v>50.28</v>
          </cell>
        </row>
        <row r="2362">
          <cell r="B2362">
            <v>39219</v>
          </cell>
          <cell r="D2362">
            <v>49.68</v>
          </cell>
        </row>
        <row r="2363">
          <cell r="B2363">
            <v>39220</v>
          </cell>
          <cell r="D2363">
            <v>50.15</v>
          </cell>
        </row>
        <row r="2364">
          <cell r="B2364">
            <v>39223</v>
          </cell>
          <cell r="D2364">
            <v>49.65</v>
          </cell>
        </row>
        <row r="2365">
          <cell r="B2365">
            <v>39224</v>
          </cell>
          <cell r="D2365">
            <v>51.07</v>
          </cell>
        </row>
        <row r="2366">
          <cell r="B2366">
            <v>39225</v>
          </cell>
          <cell r="D2366">
            <v>51.35</v>
          </cell>
        </row>
        <row r="2367">
          <cell r="B2367">
            <v>39226</v>
          </cell>
          <cell r="D2367">
            <v>51.28</v>
          </cell>
        </row>
        <row r="2368">
          <cell r="B2368">
            <v>39227</v>
          </cell>
          <cell r="D2368">
            <v>50.98</v>
          </cell>
        </row>
        <row r="2369">
          <cell r="B2369">
            <v>39231</v>
          </cell>
          <cell r="D2369">
            <v>52.23</v>
          </cell>
        </row>
        <row r="2370">
          <cell r="B2370">
            <v>39232</v>
          </cell>
          <cell r="D2370">
            <v>52.68</v>
          </cell>
        </row>
        <row r="2371">
          <cell r="B2371">
            <v>39233</v>
          </cell>
          <cell r="D2371">
            <v>53.34</v>
          </cell>
        </row>
        <row r="2372">
          <cell r="B2372">
            <v>39234</v>
          </cell>
          <cell r="D2372">
            <v>54.01</v>
          </cell>
        </row>
        <row r="2373">
          <cell r="B2373">
            <v>39237</v>
          </cell>
          <cell r="D2373">
            <v>53.15</v>
          </cell>
        </row>
        <row r="2374">
          <cell r="B2374">
            <v>39238</v>
          </cell>
          <cell r="D2374">
            <v>53.66</v>
          </cell>
        </row>
        <row r="2375">
          <cell r="B2375">
            <v>39239</v>
          </cell>
          <cell r="D2375">
            <v>53.11</v>
          </cell>
        </row>
        <row r="2376">
          <cell r="B2376">
            <v>39240</v>
          </cell>
          <cell r="D2376">
            <v>52.33</v>
          </cell>
        </row>
        <row r="2377">
          <cell r="B2377">
            <v>39241</v>
          </cell>
          <cell r="D2377">
            <v>52.6</v>
          </cell>
        </row>
        <row r="2378">
          <cell r="B2378">
            <v>39244</v>
          </cell>
          <cell r="D2378">
            <v>53.97</v>
          </cell>
        </row>
        <row r="2379">
          <cell r="B2379">
            <v>39245</v>
          </cell>
          <cell r="D2379">
            <v>52.91</v>
          </cell>
        </row>
        <row r="2380">
          <cell r="B2380">
            <v>39246</v>
          </cell>
          <cell r="D2380">
            <v>53.89</v>
          </cell>
        </row>
        <row r="2381">
          <cell r="B2381">
            <v>39247</v>
          </cell>
          <cell r="D2381">
            <v>52.86</v>
          </cell>
        </row>
        <row r="2382">
          <cell r="B2382">
            <v>39248</v>
          </cell>
          <cell r="D2382">
            <v>52.89</v>
          </cell>
        </row>
        <row r="2383">
          <cell r="B2383">
            <v>39251</v>
          </cell>
          <cell r="D2383">
            <v>54.3</v>
          </cell>
        </row>
        <row r="2384">
          <cell r="B2384">
            <v>39252</v>
          </cell>
          <cell r="D2384">
            <v>54.41</v>
          </cell>
        </row>
        <row r="2385">
          <cell r="B2385">
            <v>39253</v>
          </cell>
          <cell r="D2385">
            <v>52.79</v>
          </cell>
        </row>
        <row r="2386">
          <cell r="B2386">
            <v>39254</v>
          </cell>
          <cell r="D2386">
            <v>53.1</v>
          </cell>
        </row>
        <row r="2387">
          <cell r="B2387">
            <v>39255</v>
          </cell>
          <cell r="D2387">
            <v>52.45</v>
          </cell>
        </row>
        <row r="2388">
          <cell r="B2388">
            <v>39258</v>
          </cell>
          <cell r="D2388">
            <v>51.36</v>
          </cell>
        </row>
        <row r="2389">
          <cell r="B2389">
            <v>39259</v>
          </cell>
          <cell r="D2389">
            <v>50.89</v>
          </cell>
        </row>
        <row r="2390">
          <cell r="B2390">
            <v>39260</v>
          </cell>
          <cell r="D2390">
            <v>51.48</v>
          </cell>
        </row>
        <row r="2391">
          <cell r="B2391">
            <v>39261</v>
          </cell>
          <cell r="D2391">
            <v>51.74</v>
          </cell>
        </row>
        <row r="2392">
          <cell r="B2392">
            <v>39262</v>
          </cell>
          <cell r="D2392">
            <v>52.16</v>
          </cell>
        </row>
        <row r="2393">
          <cell r="B2393">
            <v>39265</v>
          </cell>
          <cell r="D2393">
            <v>52.31</v>
          </cell>
        </row>
        <row r="2394">
          <cell r="B2394">
            <v>39266</v>
          </cell>
          <cell r="D2394">
            <v>51.43</v>
          </cell>
        </row>
        <row r="2395">
          <cell r="B2395">
            <v>39268</v>
          </cell>
          <cell r="D2395">
            <v>52.1</v>
          </cell>
        </row>
        <row r="2396">
          <cell r="B2396">
            <v>39269</v>
          </cell>
          <cell r="D2396">
            <v>51.63</v>
          </cell>
        </row>
        <row r="2397">
          <cell r="B2397">
            <v>39272</v>
          </cell>
          <cell r="D2397">
            <v>51</v>
          </cell>
        </row>
        <row r="2398">
          <cell r="B2398">
            <v>39273</v>
          </cell>
          <cell r="D2398">
            <v>50.27</v>
          </cell>
        </row>
        <row r="2399">
          <cell r="B2399">
            <v>39274</v>
          </cell>
          <cell r="D2399">
            <v>50.51</v>
          </cell>
        </row>
        <row r="2400">
          <cell r="B2400">
            <v>39275</v>
          </cell>
          <cell r="D2400">
            <v>50.46</v>
          </cell>
        </row>
        <row r="2401">
          <cell r="B2401">
            <v>39276</v>
          </cell>
          <cell r="D2401">
            <v>50.82</v>
          </cell>
        </row>
        <row r="2402">
          <cell r="B2402">
            <v>39279</v>
          </cell>
          <cell r="D2402">
            <v>50.79</v>
          </cell>
        </row>
        <row r="2403">
          <cell r="B2403">
            <v>39280</v>
          </cell>
          <cell r="D2403">
            <v>50.32</v>
          </cell>
        </row>
        <row r="2404">
          <cell r="B2404">
            <v>39281</v>
          </cell>
          <cell r="D2404">
            <v>50</v>
          </cell>
        </row>
        <row r="2405">
          <cell r="B2405">
            <v>39282</v>
          </cell>
          <cell r="D2405">
            <v>50.13</v>
          </cell>
        </row>
        <row r="2406">
          <cell r="B2406">
            <v>39283</v>
          </cell>
          <cell r="D2406">
            <v>49.63</v>
          </cell>
        </row>
        <row r="2407">
          <cell r="B2407">
            <v>39286</v>
          </cell>
          <cell r="D2407">
            <v>50.22</v>
          </cell>
        </row>
        <row r="2408">
          <cell r="B2408">
            <v>39287</v>
          </cell>
          <cell r="D2408">
            <v>49.12</v>
          </cell>
        </row>
        <row r="2409">
          <cell r="B2409">
            <v>39288</v>
          </cell>
          <cell r="D2409">
            <v>49.59</v>
          </cell>
        </row>
        <row r="2410">
          <cell r="B2410">
            <v>39289</v>
          </cell>
          <cell r="D2410">
            <v>48.51</v>
          </cell>
        </row>
        <row r="2411">
          <cell r="B2411">
            <v>39290</v>
          </cell>
          <cell r="D2411">
            <v>48.65</v>
          </cell>
        </row>
        <row r="2412">
          <cell r="B2412">
            <v>39293</v>
          </cell>
          <cell r="D2412">
            <v>49.3</v>
          </cell>
        </row>
        <row r="2413">
          <cell r="B2413">
            <v>39294</v>
          </cell>
          <cell r="D2413">
            <v>48.77</v>
          </cell>
        </row>
        <row r="2414">
          <cell r="B2414">
            <v>39295</v>
          </cell>
          <cell r="D2414">
            <v>49.81</v>
          </cell>
        </row>
        <row r="2415">
          <cell r="B2415">
            <v>39296</v>
          </cell>
          <cell r="D2415">
            <v>49.7</v>
          </cell>
        </row>
        <row r="2416">
          <cell r="B2416">
            <v>39297</v>
          </cell>
          <cell r="D2416">
            <v>48.95</v>
          </cell>
        </row>
        <row r="2417">
          <cell r="B2417">
            <v>39300</v>
          </cell>
          <cell r="D2417">
            <v>50.34</v>
          </cell>
        </row>
        <row r="2418">
          <cell r="B2418">
            <v>39301</v>
          </cell>
          <cell r="D2418">
            <v>50.08</v>
          </cell>
        </row>
        <row r="2419">
          <cell r="B2419">
            <v>39302</v>
          </cell>
          <cell r="D2419">
            <v>51.02</v>
          </cell>
        </row>
        <row r="2420">
          <cell r="B2420">
            <v>39303</v>
          </cell>
          <cell r="D2420">
            <v>48.5</v>
          </cell>
        </row>
        <row r="2421">
          <cell r="B2421">
            <v>39304</v>
          </cell>
          <cell r="D2421">
            <v>48.73</v>
          </cell>
        </row>
        <row r="2422">
          <cell r="B2422">
            <v>39307</v>
          </cell>
          <cell r="D2422">
            <v>48.46</v>
          </cell>
        </row>
        <row r="2423">
          <cell r="B2423">
            <v>39308</v>
          </cell>
          <cell r="D2423">
            <v>48.04</v>
          </cell>
        </row>
        <row r="2424">
          <cell r="B2424">
            <v>39309</v>
          </cell>
          <cell r="D2424">
            <v>47.86</v>
          </cell>
        </row>
        <row r="2425">
          <cell r="B2425">
            <v>39310</v>
          </cell>
          <cell r="D2425">
            <v>46.95</v>
          </cell>
        </row>
        <row r="2426">
          <cell r="B2426">
            <v>39311</v>
          </cell>
          <cell r="D2426">
            <v>47.25</v>
          </cell>
        </row>
        <row r="2427">
          <cell r="B2427">
            <v>39314</v>
          </cell>
          <cell r="D2427">
            <v>47.85</v>
          </cell>
        </row>
        <row r="2428">
          <cell r="B2428">
            <v>39315</v>
          </cell>
          <cell r="D2428">
            <v>47.57</v>
          </cell>
        </row>
        <row r="2429">
          <cell r="B2429">
            <v>39316</v>
          </cell>
          <cell r="D2429">
            <v>47.79</v>
          </cell>
        </row>
        <row r="2430">
          <cell r="B2430">
            <v>39317</v>
          </cell>
          <cell r="D2430">
            <v>48</v>
          </cell>
        </row>
        <row r="2431">
          <cell r="B2431">
            <v>39318</v>
          </cell>
          <cell r="D2431">
            <v>48.4</v>
          </cell>
        </row>
        <row r="2432">
          <cell r="B2432">
            <v>39321</v>
          </cell>
          <cell r="D2432">
            <v>48.6</v>
          </cell>
        </row>
        <row r="2433">
          <cell r="B2433">
            <v>39322</v>
          </cell>
          <cell r="D2433">
            <v>47.68</v>
          </cell>
        </row>
        <row r="2434">
          <cell r="B2434">
            <v>39323</v>
          </cell>
          <cell r="D2434">
            <v>48.33</v>
          </cell>
        </row>
        <row r="2435">
          <cell r="B2435">
            <v>39324</v>
          </cell>
          <cell r="D2435">
            <v>48.4</v>
          </cell>
        </row>
        <row r="2436">
          <cell r="B2436">
            <v>39325</v>
          </cell>
          <cell r="D2436">
            <v>49.4</v>
          </cell>
        </row>
        <row r="2437">
          <cell r="B2437">
            <v>39329</v>
          </cell>
          <cell r="D2437">
            <v>49.02</v>
          </cell>
        </row>
        <row r="2438">
          <cell r="B2438">
            <v>39330</v>
          </cell>
          <cell r="D2438">
            <v>48.57</v>
          </cell>
        </row>
        <row r="2439">
          <cell r="B2439">
            <v>39331</v>
          </cell>
          <cell r="D2439">
            <v>49.7</v>
          </cell>
        </row>
        <row r="2440">
          <cell r="B2440">
            <v>39332</v>
          </cell>
          <cell r="D2440">
            <v>49.84</v>
          </cell>
        </row>
        <row r="2441">
          <cell r="B2441">
            <v>39335</v>
          </cell>
          <cell r="D2441">
            <v>49.59</v>
          </cell>
        </row>
        <row r="2442">
          <cell r="B2442">
            <v>39336</v>
          </cell>
          <cell r="D2442">
            <v>50.12</v>
          </cell>
        </row>
        <row r="2443">
          <cell r="B2443">
            <v>39337</v>
          </cell>
          <cell r="D2443">
            <v>50.44</v>
          </cell>
        </row>
        <row r="2444">
          <cell r="B2444">
            <v>39338</v>
          </cell>
          <cell r="D2444">
            <v>50.67</v>
          </cell>
        </row>
        <row r="2445">
          <cell r="B2445">
            <v>39339</v>
          </cell>
          <cell r="D2445">
            <v>50.18</v>
          </cell>
        </row>
        <row r="2446">
          <cell r="B2446">
            <v>39342</v>
          </cell>
          <cell r="D2446">
            <v>49.99</v>
          </cell>
        </row>
        <row r="2447">
          <cell r="B2447">
            <v>39343</v>
          </cell>
          <cell r="D2447">
            <v>50.4</v>
          </cell>
        </row>
        <row r="2448">
          <cell r="B2448">
            <v>39344</v>
          </cell>
          <cell r="D2448">
            <v>50.93</v>
          </cell>
        </row>
        <row r="2449">
          <cell r="B2449">
            <v>39345</v>
          </cell>
          <cell r="D2449">
            <v>50.74</v>
          </cell>
        </row>
        <row r="2450">
          <cell r="B2450">
            <v>39346</v>
          </cell>
          <cell r="D2450">
            <v>50.57</v>
          </cell>
        </row>
        <row r="2451">
          <cell r="B2451">
            <v>39349</v>
          </cell>
          <cell r="D2451">
            <v>49.98</v>
          </cell>
        </row>
        <row r="2452">
          <cell r="B2452">
            <v>39350</v>
          </cell>
          <cell r="D2452">
            <v>50.43</v>
          </cell>
        </row>
        <row r="2453">
          <cell r="B2453">
            <v>39351</v>
          </cell>
          <cell r="D2453">
            <v>50.59</v>
          </cell>
        </row>
        <row r="2454">
          <cell r="B2454">
            <v>39352</v>
          </cell>
          <cell r="D2454">
            <v>50.26</v>
          </cell>
        </row>
        <row r="2455">
          <cell r="B2455">
            <v>39353</v>
          </cell>
          <cell r="D2455">
            <v>49.99</v>
          </cell>
        </row>
        <row r="2456">
          <cell r="B2456">
            <v>39356</v>
          </cell>
          <cell r="D2456">
            <v>49.79</v>
          </cell>
        </row>
        <row r="2457">
          <cell r="B2457">
            <v>39357</v>
          </cell>
          <cell r="D2457">
            <v>50.7</v>
          </cell>
        </row>
        <row r="2458">
          <cell r="B2458">
            <v>39358</v>
          </cell>
          <cell r="D2458">
            <v>51.7</v>
          </cell>
        </row>
        <row r="2459">
          <cell r="B2459">
            <v>39359</v>
          </cell>
          <cell r="D2459">
            <v>50.92</v>
          </cell>
        </row>
        <row r="2460">
          <cell r="B2460">
            <v>39360</v>
          </cell>
          <cell r="D2460">
            <v>51.6</v>
          </cell>
        </row>
        <row r="2461">
          <cell r="B2461">
            <v>39363</v>
          </cell>
          <cell r="D2461">
            <v>52.03</v>
          </cell>
        </row>
        <row r="2462">
          <cell r="B2462">
            <v>39364</v>
          </cell>
          <cell r="D2462">
            <v>51.57</v>
          </cell>
        </row>
        <row r="2463">
          <cell r="B2463">
            <v>39365</v>
          </cell>
          <cell r="D2463">
            <v>52.26</v>
          </cell>
        </row>
        <row r="2464">
          <cell r="B2464">
            <v>39366</v>
          </cell>
          <cell r="D2464">
            <v>52.38</v>
          </cell>
        </row>
        <row r="2465">
          <cell r="B2465">
            <v>39367</v>
          </cell>
          <cell r="D2465">
            <v>52.87</v>
          </cell>
        </row>
        <row r="2466">
          <cell r="B2466">
            <v>39370</v>
          </cell>
          <cell r="D2466">
            <v>52.22</v>
          </cell>
        </row>
        <row r="2467">
          <cell r="B2467">
            <v>39371</v>
          </cell>
          <cell r="D2467">
            <v>52.19</v>
          </cell>
        </row>
        <row r="2468">
          <cell r="B2468">
            <v>39372</v>
          </cell>
          <cell r="D2468">
            <v>52.53</v>
          </cell>
        </row>
        <row r="2469">
          <cell r="B2469">
            <v>39373</v>
          </cell>
          <cell r="D2469">
            <v>52.59</v>
          </cell>
        </row>
        <row r="2470">
          <cell r="B2470">
            <v>39374</v>
          </cell>
          <cell r="D2470">
            <v>51.31</v>
          </cell>
        </row>
        <row r="2471">
          <cell r="B2471">
            <v>39377</v>
          </cell>
          <cell r="D2471">
            <v>51.3</v>
          </cell>
        </row>
        <row r="2472">
          <cell r="B2472">
            <v>39378</v>
          </cell>
          <cell r="D2472">
            <v>51.55</v>
          </cell>
        </row>
        <row r="2473">
          <cell r="B2473">
            <v>39379</v>
          </cell>
          <cell r="D2473">
            <v>51.87</v>
          </cell>
        </row>
        <row r="2474">
          <cell r="B2474">
            <v>39380</v>
          </cell>
          <cell r="D2474">
            <v>52.27</v>
          </cell>
        </row>
        <row r="2475">
          <cell r="B2475">
            <v>39381</v>
          </cell>
          <cell r="D2475">
            <v>51.8</v>
          </cell>
        </row>
        <row r="2476">
          <cell r="B2476">
            <v>39384</v>
          </cell>
          <cell r="D2476">
            <v>51.74</v>
          </cell>
        </row>
        <row r="2477">
          <cell r="B2477">
            <v>39385</v>
          </cell>
          <cell r="D2477">
            <v>51.43</v>
          </cell>
        </row>
        <row r="2478">
          <cell r="B2478">
            <v>39386</v>
          </cell>
          <cell r="D2478">
            <v>51.28</v>
          </cell>
        </row>
        <row r="2479">
          <cell r="B2479">
            <v>39387</v>
          </cell>
          <cell r="D2479">
            <v>50.41</v>
          </cell>
        </row>
        <row r="2480">
          <cell r="B2480">
            <v>39388</v>
          </cell>
          <cell r="D2480">
            <v>50.66</v>
          </cell>
        </row>
        <row r="2481">
          <cell r="B2481">
            <v>39391</v>
          </cell>
          <cell r="D2481">
            <v>51.08</v>
          </cell>
        </row>
        <row r="2482">
          <cell r="B2482">
            <v>39392</v>
          </cell>
          <cell r="D2482">
            <v>51.13</v>
          </cell>
        </row>
        <row r="2483">
          <cell r="B2483">
            <v>39393</v>
          </cell>
          <cell r="D2483">
            <v>50.06</v>
          </cell>
        </row>
        <row r="2484">
          <cell r="B2484">
            <v>39394</v>
          </cell>
          <cell r="D2484">
            <v>50.48</v>
          </cell>
        </row>
        <row r="2485">
          <cell r="B2485">
            <v>39395</v>
          </cell>
          <cell r="D2485">
            <v>49.81</v>
          </cell>
        </row>
        <row r="2486">
          <cell r="B2486">
            <v>39398</v>
          </cell>
          <cell r="D2486">
            <v>49.88</v>
          </cell>
        </row>
        <row r="2487">
          <cell r="B2487">
            <v>39399</v>
          </cell>
          <cell r="D2487">
            <v>50.3</v>
          </cell>
        </row>
        <row r="2488">
          <cell r="B2488">
            <v>39400</v>
          </cell>
          <cell r="D2488">
            <v>50.84</v>
          </cell>
        </row>
        <row r="2489">
          <cell r="B2489">
            <v>39401</v>
          </cell>
          <cell r="D2489">
            <v>49.81</v>
          </cell>
        </row>
        <row r="2490">
          <cell r="B2490">
            <v>39402</v>
          </cell>
          <cell r="D2490">
            <v>49.74</v>
          </cell>
        </row>
        <row r="2491">
          <cell r="B2491">
            <v>39405</v>
          </cell>
          <cell r="D2491">
            <v>48.74</v>
          </cell>
        </row>
        <row r="2492">
          <cell r="B2492">
            <v>39406</v>
          </cell>
          <cell r="D2492">
            <v>49.59</v>
          </cell>
        </row>
        <row r="2493">
          <cell r="B2493">
            <v>39407</v>
          </cell>
          <cell r="D2493">
            <v>49.24</v>
          </cell>
        </row>
        <row r="2494">
          <cell r="B2494">
            <v>39409</v>
          </cell>
          <cell r="D2494">
            <v>50.19</v>
          </cell>
        </row>
        <row r="2495">
          <cell r="B2495">
            <v>39412</v>
          </cell>
          <cell r="D2495">
            <v>49.54</v>
          </cell>
        </row>
        <row r="2496">
          <cell r="B2496">
            <v>39413</v>
          </cell>
          <cell r="D2496">
            <v>50.64</v>
          </cell>
        </row>
        <row r="2497">
          <cell r="B2497">
            <v>39414</v>
          </cell>
          <cell r="D2497">
            <v>51.89</v>
          </cell>
        </row>
        <row r="2498">
          <cell r="B2498">
            <v>39415</v>
          </cell>
          <cell r="D2498">
            <v>51.26</v>
          </cell>
        </row>
        <row r="2499">
          <cell r="B2499">
            <v>39416</v>
          </cell>
          <cell r="D2499">
            <v>52.72</v>
          </cell>
        </row>
        <row r="2500">
          <cell r="B2500">
            <v>39419</v>
          </cell>
          <cell r="D2500">
            <v>52.11</v>
          </cell>
        </row>
        <row r="2501">
          <cell r="B2501">
            <v>39420</v>
          </cell>
          <cell r="D2501">
            <v>52.13</v>
          </cell>
        </row>
        <row r="2502">
          <cell r="B2502">
            <v>39421</v>
          </cell>
          <cell r="D2502">
            <v>52.32</v>
          </cell>
        </row>
        <row r="2503">
          <cell r="B2503">
            <v>39422</v>
          </cell>
          <cell r="D2503">
            <v>52.7</v>
          </cell>
        </row>
        <row r="2504">
          <cell r="B2504">
            <v>39423</v>
          </cell>
          <cell r="D2504">
            <v>52.79</v>
          </cell>
        </row>
        <row r="2505">
          <cell r="B2505">
            <v>39426</v>
          </cell>
          <cell r="D2505">
            <v>53.38</v>
          </cell>
        </row>
        <row r="2506">
          <cell r="B2506">
            <v>39427</v>
          </cell>
          <cell r="D2506">
            <v>52.58</v>
          </cell>
        </row>
        <row r="2507">
          <cell r="B2507">
            <v>39428</v>
          </cell>
          <cell r="D2507">
            <v>53.04</v>
          </cell>
        </row>
        <row r="2508">
          <cell r="B2508">
            <v>39429</v>
          </cell>
          <cell r="D2508">
            <v>53.49</v>
          </cell>
        </row>
        <row r="2509">
          <cell r="B2509">
            <v>39430</v>
          </cell>
          <cell r="D2509">
            <v>52.76</v>
          </cell>
        </row>
        <row r="2510">
          <cell r="B2510">
            <v>39433</v>
          </cell>
          <cell r="D2510">
            <v>52.9</v>
          </cell>
        </row>
        <row r="2511">
          <cell r="B2511">
            <v>39434</v>
          </cell>
          <cell r="D2511">
            <v>52.85</v>
          </cell>
        </row>
        <row r="2512">
          <cell r="B2512">
            <v>39435</v>
          </cell>
          <cell r="D2512">
            <v>52.71</v>
          </cell>
        </row>
        <row r="2513">
          <cell r="B2513">
            <v>39436</v>
          </cell>
          <cell r="D2513">
            <v>52.93</v>
          </cell>
        </row>
        <row r="2514">
          <cell r="B2514">
            <v>39437</v>
          </cell>
          <cell r="D2514">
            <v>53.44</v>
          </cell>
        </row>
        <row r="2515">
          <cell r="B2515">
            <v>39440</v>
          </cell>
          <cell r="D2515">
            <v>53.58</v>
          </cell>
        </row>
        <row r="2516">
          <cell r="B2516">
            <v>39442</v>
          </cell>
          <cell r="D2516">
            <v>53.54</v>
          </cell>
        </row>
        <row r="2517">
          <cell r="B2517">
            <v>39443</v>
          </cell>
          <cell r="D2517">
            <v>52.96</v>
          </cell>
        </row>
        <row r="2518">
          <cell r="B2518">
            <v>39444</v>
          </cell>
          <cell r="D2518">
            <v>52.85</v>
          </cell>
        </row>
        <row r="2519">
          <cell r="B2519">
            <v>39447</v>
          </cell>
          <cell r="D2519">
            <v>52.34</v>
          </cell>
        </row>
        <row r="2520">
          <cell r="B2520">
            <v>39449</v>
          </cell>
          <cell r="D2520">
            <v>51.63</v>
          </cell>
        </row>
        <row r="2521">
          <cell r="B2521">
            <v>39450</v>
          </cell>
          <cell r="D2521">
            <v>52.61</v>
          </cell>
        </row>
        <row r="2522">
          <cell r="B2522">
            <v>39451</v>
          </cell>
          <cell r="D2522">
            <v>51.7</v>
          </cell>
        </row>
        <row r="2523">
          <cell r="B2523">
            <v>39454</v>
          </cell>
          <cell r="D2523">
            <v>54.15</v>
          </cell>
        </row>
        <row r="2524">
          <cell r="B2524">
            <v>39455</v>
          </cell>
          <cell r="D2524">
            <v>53.86</v>
          </cell>
        </row>
        <row r="2525">
          <cell r="B2525">
            <v>39456</v>
          </cell>
          <cell r="D2525">
            <v>53.79</v>
          </cell>
        </row>
        <row r="2526">
          <cell r="B2526">
            <v>39457</v>
          </cell>
          <cell r="D2526">
            <v>53.61</v>
          </cell>
        </row>
        <row r="2527">
          <cell r="B2527">
            <v>39458</v>
          </cell>
          <cell r="D2527">
            <v>52.3</v>
          </cell>
        </row>
        <row r="2528">
          <cell r="B2528">
            <v>39461</v>
          </cell>
          <cell r="D2528">
            <v>52.1</v>
          </cell>
        </row>
        <row r="2529">
          <cell r="B2529">
            <v>39462</v>
          </cell>
          <cell r="D2529">
            <v>50.9</v>
          </cell>
        </row>
        <row r="2530">
          <cell r="B2530">
            <v>39463</v>
          </cell>
          <cell r="D2530">
            <v>51.59</v>
          </cell>
        </row>
        <row r="2531">
          <cell r="B2531">
            <v>39464</v>
          </cell>
          <cell r="D2531">
            <v>49.75</v>
          </cell>
        </row>
        <row r="2532">
          <cell r="B2532">
            <v>39465</v>
          </cell>
          <cell r="D2532">
            <v>48.76</v>
          </cell>
        </row>
        <row r="2533">
          <cell r="B2533">
            <v>39469</v>
          </cell>
          <cell r="D2533">
            <v>48.32</v>
          </cell>
        </row>
        <row r="2534">
          <cell r="B2534">
            <v>39470</v>
          </cell>
          <cell r="D2534">
            <v>48.67</v>
          </cell>
        </row>
        <row r="2535">
          <cell r="B2535">
            <v>39471</v>
          </cell>
          <cell r="D2535">
            <v>47.63</v>
          </cell>
        </row>
        <row r="2536">
          <cell r="B2536">
            <v>39472</v>
          </cell>
          <cell r="D2536">
            <v>47.25</v>
          </cell>
        </row>
        <row r="2537">
          <cell r="B2537">
            <v>39475</v>
          </cell>
          <cell r="D2537">
            <v>48.06</v>
          </cell>
        </row>
        <row r="2538">
          <cell r="B2538">
            <v>39476</v>
          </cell>
          <cell r="D2538">
            <v>47.29</v>
          </cell>
        </row>
        <row r="2539">
          <cell r="B2539">
            <v>39477</v>
          </cell>
          <cell r="D2539">
            <v>47.26</v>
          </cell>
        </row>
        <row r="2540">
          <cell r="B2540">
            <v>39478</v>
          </cell>
          <cell r="D2540">
            <v>46.5</v>
          </cell>
        </row>
        <row r="2541">
          <cell r="B2541">
            <v>39479</v>
          </cell>
          <cell r="D2541">
            <v>48.06</v>
          </cell>
        </row>
        <row r="2542">
          <cell r="B2542">
            <v>39482</v>
          </cell>
          <cell r="D2542">
            <v>47.14</v>
          </cell>
        </row>
        <row r="2543">
          <cell r="B2543">
            <v>39483</v>
          </cell>
          <cell r="D2543">
            <v>47.03</v>
          </cell>
        </row>
        <row r="2544">
          <cell r="B2544">
            <v>39484</v>
          </cell>
          <cell r="D2544">
            <v>47.2</v>
          </cell>
        </row>
        <row r="2545">
          <cell r="B2545">
            <v>39485</v>
          </cell>
          <cell r="D2545">
            <v>47.08</v>
          </cell>
        </row>
        <row r="2546">
          <cell r="B2546">
            <v>39486</v>
          </cell>
          <cell r="D2546">
            <v>46.83</v>
          </cell>
        </row>
        <row r="2547">
          <cell r="B2547">
            <v>39489</v>
          </cell>
          <cell r="D2547">
            <v>47.32</v>
          </cell>
        </row>
        <row r="2548">
          <cell r="B2548">
            <v>39490</v>
          </cell>
          <cell r="D2548">
            <v>47.88</v>
          </cell>
        </row>
        <row r="2549">
          <cell r="B2549">
            <v>39491</v>
          </cell>
          <cell r="D2549">
            <v>48.01</v>
          </cell>
        </row>
        <row r="2550">
          <cell r="B2550">
            <v>39492</v>
          </cell>
          <cell r="D2550">
            <v>47.84</v>
          </cell>
        </row>
        <row r="2551">
          <cell r="B2551">
            <v>39493</v>
          </cell>
          <cell r="D2551">
            <v>48.02</v>
          </cell>
        </row>
        <row r="2552">
          <cell r="B2552">
            <v>39497</v>
          </cell>
          <cell r="D2552">
            <v>48.24</v>
          </cell>
        </row>
        <row r="2553">
          <cell r="B2553">
            <v>39498</v>
          </cell>
          <cell r="D2553">
            <v>48.05</v>
          </cell>
        </row>
        <row r="2554">
          <cell r="B2554">
            <v>39499</v>
          </cell>
          <cell r="D2554">
            <v>47.74</v>
          </cell>
        </row>
        <row r="2555">
          <cell r="B2555">
            <v>39500</v>
          </cell>
          <cell r="D2555">
            <v>47.81</v>
          </cell>
        </row>
        <row r="2556">
          <cell r="B2556">
            <v>39503</v>
          </cell>
          <cell r="D2556">
            <v>47.7</v>
          </cell>
        </row>
        <row r="2557">
          <cell r="B2557">
            <v>39504</v>
          </cell>
          <cell r="D2557">
            <v>47.42</v>
          </cell>
        </row>
        <row r="2558">
          <cell r="B2558">
            <v>39505</v>
          </cell>
          <cell r="D2558">
            <v>47.51</v>
          </cell>
        </row>
        <row r="2559">
          <cell r="B2559">
            <v>39506</v>
          </cell>
          <cell r="D2559">
            <v>48.2</v>
          </cell>
        </row>
        <row r="2560">
          <cell r="B2560">
            <v>39507</v>
          </cell>
          <cell r="D2560">
            <v>47.09</v>
          </cell>
        </row>
        <row r="2561">
          <cell r="B2561">
            <v>39510</v>
          </cell>
          <cell r="D2561">
            <v>46.97</v>
          </cell>
        </row>
        <row r="2562">
          <cell r="B2562">
            <v>39511</v>
          </cell>
          <cell r="D2562">
            <v>46.77</v>
          </cell>
        </row>
        <row r="2563">
          <cell r="B2563">
            <v>39512</v>
          </cell>
          <cell r="D2563">
            <v>46.94</v>
          </cell>
        </row>
        <row r="2564">
          <cell r="B2564">
            <v>39513</v>
          </cell>
          <cell r="D2564">
            <v>46.09</v>
          </cell>
        </row>
        <row r="2565">
          <cell r="B2565">
            <v>39514</v>
          </cell>
          <cell r="D2565">
            <v>45.72</v>
          </cell>
        </row>
        <row r="2566">
          <cell r="B2566">
            <v>39517</v>
          </cell>
          <cell r="D2566">
            <v>46.16</v>
          </cell>
        </row>
        <row r="2567">
          <cell r="B2567">
            <v>39518</v>
          </cell>
          <cell r="D2567">
            <v>47.19</v>
          </cell>
        </row>
        <row r="2568">
          <cell r="B2568">
            <v>39519</v>
          </cell>
          <cell r="D2568">
            <v>47.01</v>
          </cell>
        </row>
        <row r="2569">
          <cell r="B2569">
            <v>39520</v>
          </cell>
          <cell r="D2569">
            <v>46.57</v>
          </cell>
        </row>
        <row r="2570">
          <cell r="B2570">
            <v>39521</v>
          </cell>
          <cell r="D2570">
            <v>46.2</v>
          </cell>
        </row>
        <row r="2571">
          <cell r="B2571">
            <v>39524</v>
          </cell>
          <cell r="D2571">
            <v>45.83</v>
          </cell>
        </row>
        <row r="2572">
          <cell r="B2572">
            <v>39525</v>
          </cell>
          <cell r="D2572">
            <v>46.25</v>
          </cell>
        </row>
        <row r="2573">
          <cell r="B2573">
            <v>39526</v>
          </cell>
          <cell r="D2573">
            <v>45.68</v>
          </cell>
        </row>
        <row r="2574">
          <cell r="B2574">
            <v>39527</v>
          </cell>
          <cell r="D2574">
            <v>46.02</v>
          </cell>
        </row>
        <row r="2575">
          <cell r="B2575">
            <v>39531</v>
          </cell>
          <cell r="D2575">
            <v>47.15</v>
          </cell>
        </row>
        <row r="2576">
          <cell r="B2576">
            <v>39532</v>
          </cell>
          <cell r="D2576">
            <v>48.27</v>
          </cell>
        </row>
        <row r="2577">
          <cell r="B2577">
            <v>39533</v>
          </cell>
          <cell r="D2577">
            <v>48.26</v>
          </cell>
        </row>
        <row r="2578">
          <cell r="B2578">
            <v>39534</v>
          </cell>
          <cell r="D2578">
            <v>47.99</v>
          </cell>
        </row>
        <row r="2579">
          <cell r="B2579">
            <v>39535</v>
          </cell>
          <cell r="D2579">
            <v>48</v>
          </cell>
        </row>
        <row r="2580">
          <cell r="B2580">
            <v>39538</v>
          </cell>
          <cell r="D2580">
            <v>47.45</v>
          </cell>
        </row>
        <row r="2581">
          <cell r="B2581">
            <v>39539</v>
          </cell>
          <cell r="D2581">
            <v>48.39</v>
          </cell>
        </row>
        <row r="2582">
          <cell r="B2582">
            <v>39540</v>
          </cell>
          <cell r="D2582">
            <v>48.48</v>
          </cell>
        </row>
        <row r="2583">
          <cell r="B2583">
            <v>39541</v>
          </cell>
          <cell r="D2583">
            <v>48.42</v>
          </cell>
        </row>
        <row r="2584">
          <cell r="B2584">
            <v>39542</v>
          </cell>
          <cell r="D2584">
            <v>48.49</v>
          </cell>
        </row>
        <row r="2585">
          <cell r="B2585">
            <v>39545</v>
          </cell>
          <cell r="D2585">
            <v>48.16</v>
          </cell>
        </row>
        <row r="2586">
          <cell r="B2586">
            <v>39546</v>
          </cell>
          <cell r="D2586">
            <v>48.31</v>
          </cell>
        </row>
        <row r="2587">
          <cell r="B2587">
            <v>39547</v>
          </cell>
          <cell r="D2587">
            <v>47.87</v>
          </cell>
        </row>
        <row r="2588">
          <cell r="B2588">
            <v>39548</v>
          </cell>
          <cell r="D2588">
            <v>48.51</v>
          </cell>
        </row>
        <row r="2589">
          <cell r="B2589">
            <v>39549</v>
          </cell>
          <cell r="D2589">
            <v>48.36</v>
          </cell>
        </row>
        <row r="2590">
          <cell r="B2590">
            <v>39552</v>
          </cell>
          <cell r="D2590">
            <v>48.04</v>
          </cell>
        </row>
        <row r="2591">
          <cell r="B2591">
            <v>39553</v>
          </cell>
          <cell r="D2591">
            <v>47.82</v>
          </cell>
        </row>
        <row r="2592">
          <cell r="B2592">
            <v>39554</v>
          </cell>
          <cell r="D2592">
            <v>48.25</v>
          </cell>
        </row>
        <row r="2593">
          <cell r="B2593">
            <v>39555</v>
          </cell>
          <cell r="D2593">
            <v>48.31</v>
          </cell>
        </row>
        <row r="2594">
          <cell r="B2594">
            <v>39556</v>
          </cell>
          <cell r="D2594">
            <v>47.95</v>
          </cell>
        </row>
        <row r="2595">
          <cell r="B2595">
            <v>39559</v>
          </cell>
          <cell r="D2595">
            <v>48.17</v>
          </cell>
        </row>
        <row r="2596">
          <cell r="B2596">
            <v>39560</v>
          </cell>
          <cell r="D2596">
            <v>47.4</v>
          </cell>
        </row>
        <row r="2597">
          <cell r="B2597">
            <v>39561</v>
          </cell>
          <cell r="D2597">
            <v>47.72</v>
          </cell>
        </row>
        <row r="2598">
          <cell r="B2598">
            <v>39562</v>
          </cell>
          <cell r="D2598">
            <v>47.29</v>
          </cell>
        </row>
        <row r="2599">
          <cell r="B2599">
            <v>39563</v>
          </cell>
          <cell r="D2599">
            <v>47.15</v>
          </cell>
        </row>
        <row r="2600">
          <cell r="B2600">
            <v>39566</v>
          </cell>
          <cell r="D2600">
            <v>48.63</v>
          </cell>
        </row>
        <row r="2601">
          <cell r="B2601">
            <v>39567</v>
          </cell>
          <cell r="D2601">
            <v>49.41</v>
          </cell>
        </row>
        <row r="2602">
          <cell r="B2602">
            <v>39568</v>
          </cell>
          <cell r="D2602">
            <v>49.2</v>
          </cell>
        </row>
        <row r="2603">
          <cell r="B2603">
            <v>39569</v>
          </cell>
          <cell r="D2603">
            <v>49.69</v>
          </cell>
        </row>
        <row r="2604">
          <cell r="B2604">
            <v>39570</v>
          </cell>
          <cell r="D2604">
            <v>50.28</v>
          </cell>
        </row>
        <row r="2605">
          <cell r="B2605">
            <v>39573</v>
          </cell>
          <cell r="D2605">
            <v>51.41</v>
          </cell>
        </row>
        <row r="2606">
          <cell r="B2606">
            <v>39574</v>
          </cell>
          <cell r="D2606">
            <v>52.04</v>
          </cell>
        </row>
        <row r="2607">
          <cell r="B2607">
            <v>39575</v>
          </cell>
          <cell r="D2607">
            <v>50.71</v>
          </cell>
        </row>
        <row r="2608">
          <cell r="B2608">
            <v>39576</v>
          </cell>
          <cell r="D2608">
            <v>51.12</v>
          </cell>
        </row>
        <row r="2609">
          <cell r="B2609">
            <v>39577</v>
          </cell>
          <cell r="D2609">
            <v>50.93</v>
          </cell>
        </row>
        <row r="2610">
          <cell r="B2610">
            <v>39580</v>
          </cell>
          <cell r="D2610">
            <v>51.61</v>
          </cell>
        </row>
        <row r="2611">
          <cell r="B2611">
            <v>39581</v>
          </cell>
          <cell r="D2611">
            <v>52.05</v>
          </cell>
        </row>
        <row r="2612">
          <cell r="B2612">
            <v>39582</v>
          </cell>
          <cell r="D2612">
            <v>51.43</v>
          </cell>
        </row>
        <row r="2613">
          <cell r="B2613">
            <v>39583</v>
          </cell>
          <cell r="D2613">
            <v>51.81</v>
          </cell>
        </row>
        <row r="2614">
          <cell r="B2614">
            <v>39584</v>
          </cell>
          <cell r="D2614">
            <v>51.73</v>
          </cell>
        </row>
        <row r="2615">
          <cell r="B2615">
            <v>39587</v>
          </cell>
          <cell r="D2615">
            <v>50.55</v>
          </cell>
        </row>
        <row r="2616">
          <cell r="B2616">
            <v>39588</v>
          </cell>
          <cell r="D2616">
            <v>50.65</v>
          </cell>
        </row>
        <row r="2617">
          <cell r="B2617">
            <v>39589</v>
          </cell>
          <cell r="D2617">
            <v>52.65</v>
          </cell>
        </row>
        <row r="2618">
          <cell r="B2618">
            <v>39590</v>
          </cell>
          <cell r="D2618">
            <v>52.58</v>
          </cell>
        </row>
        <row r="2619">
          <cell r="B2619">
            <v>39591</v>
          </cell>
          <cell r="D2619">
            <v>56.61</v>
          </cell>
        </row>
        <row r="2620">
          <cell r="B2620">
            <v>39595</v>
          </cell>
          <cell r="D2620">
            <v>56.75</v>
          </cell>
        </row>
        <row r="2621">
          <cell r="B2621">
            <v>39596</v>
          </cell>
          <cell r="D2621">
            <v>55.13</v>
          </cell>
        </row>
        <row r="2622">
          <cell r="B2622">
            <v>39597</v>
          </cell>
          <cell r="D2622">
            <v>56.55</v>
          </cell>
        </row>
        <row r="2623">
          <cell r="B2623">
            <v>39598</v>
          </cell>
          <cell r="D2623">
            <v>57.46</v>
          </cell>
        </row>
        <row r="2624">
          <cell r="B2624">
            <v>39601</v>
          </cell>
          <cell r="D2624">
            <v>57.78</v>
          </cell>
        </row>
        <row r="2625">
          <cell r="B2625">
            <v>39602</v>
          </cell>
          <cell r="D2625">
            <v>56.94</v>
          </cell>
        </row>
        <row r="2626">
          <cell r="B2626">
            <v>39603</v>
          </cell>
          <cell r="D2626">
            <v>56.77</v>
          </cell>
        </row>
        <row r="2627">
          <cell r="B2627">
            <v>39604</v>
          </cell>
          <cell r="D2627">
            <v>57.75</v>
          </cell>
        </row>
        <row r="2628">
          <cell r="B2628">
            <v>39605</v>
          </cell>
          <cell r="D2628">
            <v>57.28</v>
          </cell>
        </row>
        <row r="2629">
          <cell r="B2629">
            <v>39608</v>
          </cell>
          <cell r="D2629">
            <v>57.54</v>
          </cell>
        </row>
        <row r="2630">
          <cell r="B2630">
            <v>39609</v>
          </cell>
          <cell r="D2630">
            <v>57.15</v>
          </cell>
        </row>
        <row r="2631">
          <cell r="B2631">
            <v>39610</v>
          </cell>
          <cell r="D2631">
            <v>58.35</v>
          </cell>
        </row>
        <row r="2632">
          <cell r="B2632">
            <v>39611</v>
          </cell>
          <cell r="D2632">
            <v>61.4</v>
          </cell>
        </row>
        <row r="2633">
          <cell r="B2633">
            <v>39612</v>
          </cell>
          <cell r="D2633">
            <v>61.12</v>
          </cell>
        </row>
        <row r="2634">
          <cell r="B2634">
            <v>39615</v>
          </cell>
          <cell r="D2634">
            <v>60.53</v>
          </cell>
        </row>
        <row r="2635">
          <cell r="B2635">
            <v>39616</v>
          </cell>
          <cell r="D2635">
            <v>61.2</v>
          </cell>
        </row>
        <row r="2636">
          <cell r="B2636">
            <v>39617</v>
          </cell>
          <cell r="D2636">
            <v>61.9</v>
          </cell>
        </row>
        <row r="2637">
          <cell r="B2637">
            <v>39618</v>
          </cell>
          <cell r="D2637">
            <v>61.05</v>
          </cell>
        </row>
        <row r="2638">
          <cell r="B2638">
            <v>39619</v>
          </cell>
          <cell r="D2638">
            <v>60.67</v>
          </cell>
        </row>
        <row r="2639">
          <cell r="B2639">
            <v>39622</v>
          </cell>
          <cell r="D2639">
            <v>60.9</v>
          </cell>
        </row>
        <row r="2640">
          <cell r="B2640">
            <v>39623</v>
          </cell>
          <cell r="D2640">
            <v>61.13</v>
          </cell>
        </row>
        <row r="2641">
          <cell r="B2641">
            <v>39624</v>
          </cell>
          <cell r="D2641">
            <v>61.76</v>
          </cell>
        </row>
        <row r="2642">
          <cell r="B2642">
            <v>39625</v>
          </cell>
          <cell r="D2642">
            <v>61.35</v>
          </cell>
        </row>
        <row r="2643">
          <cell r="B2643">
            <v>39626</v>
          </cell>
          <cell r="D2643">
            <v>62.26</v>
          </cell>
        </row>
        <row r="2644">
          <cell r="B2644">
            <v>39629</v>
          </cell>
          <cell r="D2644">
            <v>62.12</v>
          </cell>
        </row>
        <row r="2645">
          <cell r="B2645">
            <v>39630</v>
          </cell>
          <cell r="D2645">
            <v>61.94</v>
          </cell>
        </row>
        <row r="2646">
          <cell r="B2646">
            <v>39631</v>
          </cell>
          <cell r="D2646">
            <v>61.68</v>
          </cell>
        </row>
        <row r="2647">
          <cell r="B2647">
            <v>39632</v>
          </cell>
          <cell r="D2647">
            <v>61.67</v>
          </cell>
        </row>
        <row r="2648">
          <cell r="B2648">
            <v>39636</v>
          </cell>
          <cell r="D2648">
            <v>61.74</v>
          </cell>
        </row>
        <row r="2649">
          <cell r="B2649">
            <v>39637</v>
          </cell>
          <cell r="D2649">
            <v>61.76</v>
          </cell>
        </row>
        <row r="2650">
          <cell r="B2650">
            <v>39638</v>
          </cell>
          <cell r="D2650">
            <v>61.3</v>
          </cell>
        </row>
        <row r="2651">
          <cell r="B2651">
            <v>39639</v>
          </cell>
          <cell r="D2651">
            <v>61.21</v>
          </cell>
        </row>
        <row r="2652">
          <cell r="B2652">
            <v>39640</v>
          </cell>
          <cell r="D2652">
            <v>66.5</v>
          </cell>
        </row>
        <row r="2653">
          <cell r="B2653">
            <v>39643</v>
          </cell>
          <cell r="D2653">
            <v>66.87</v>
          </cell>
        </row>
        <row r="2654">
          <cell r="B2654">
            <v>39644</v>
          </cell>
          <cell r="D2654">
            <v>66.599999999999994</v>
          </cell>
        </row>
        <row r="2655">
          <cell r="B2655">
            <v>39645</v>
          </cell>
          <cell r="D2655">
            <v>66.95</v>
          </cell>
        </row>
        <row r="2656">
          <cell r="B2656">
            <v>39646</v>
          </cell>
          <cell r="D2656">
            <v>67.05</v>
          </cell>
        </row>
        <row r="2657">
          <cell r="B2657">
            <v>39647</v>
          </cell>
          <cell r="D2657">
            <v>67.11</v>
          </cell>
        </row>
        <row r="2658">
          <cell r="B2658">
            <v>39650</v>
          </cell>
          <cell r="D2658">
            <v>67.37</v>
          </cell>
        </row>
        <row r="2659">
          <cell r="B2659">
            <v>39651</v>
          </cell>
          <cell r="D2659">
            <v>67.25</v>
          </cell>
        </row>
        <row r="2660">
          <cell r="B2660">
            <v>39652</v>
          </cell>
          <cell r="D2660">
            <v>67.36</v>
          </cell>
        </row>
        <row r="2661">
          <cell r="B2661">
            <v>39653</v>
          </cell>
          <cell r="D2661">
            <v>67.45</v>
          </cell>
        </row>
        <row r="2662">
          <cell r="B2662">
            <v>39654</v>
          </cell>
          <cell r="D2662">
            <v>67.58</v>
          </cell>
        </row>
        <row r="2663">
          <cell r="B2663">
            <v>39657</v>
          </cell>
          <cell r="D2663">
            <v>67.569999999999993</v>
          </cell>
        </row>
        <row r="2664">
          <cell r="B2664">
            <v>39658</v>
          </cell>
          <cell r="D2664">
            <v>67.849999999999994</v>
          </cell>
        </row>
        <row r="2665">
          <cell r="B2665">
            <v>39659</v>
          </cell>
          <cell r="D2665">
            <v>67.77</v>
          </cell>
        </row>
        <row r="2666">
          <cell r="B2666">
            <v>39660</v>
          </cell>
          <cell r="D2666">
            <v>67.760000000000005</v>
          </cell>
        </row>
        <row r="2667">
          <cell r="B2667">
            <v>39661</v>
          </cell>
          <cell r="D2667">
            <v>67.77</v>
          </cell>
        </row>
        <row r="2668">
          <cell r="B2668">
            <v>39664</v>
          </cell>
          <cell r="D2668">
            <v>68.05</v>
          </cell>
        </row>
        <row r="2669">
          <cell r="B2669">
            <v>39665</v>
          </cell>
          <cell r="D2669">
            <v>68.239999999999995</v>
          </cell>
        </row>
        <row r="2670">
          <cell r="B2670">
            <v>39666</v>
          </cell>
          <cell r="D2670">
            <v>68.430000000000007</v>
          </cell>
        </row>
        <row r="2671">
          <cell r="B2671">
            <v>39667</v>
          </cell>
          <cell r="D2671">
            <v>68.16</v>
          </cell>
        </row>
        <row r="2672">
          <cell r="B2672">
            <v>39668</v>
          </cell>
          <cell r="D2672">
            <v>68.11</v>
          </cell>
        </row>
        <row r="2673">
          <cell r="B2673">
            <v>39671</v>
          </cell>
          <cell r="D2673">
            <v>68</v>
          </cell>
        </row>
        <row r="2674">
          <cell r="B2674">
            <v>39672</v>
          </cell>
          <cell r="D2674">
            <v>67.92</v>
          </cell>
        </row>
        <row r="2675">
          <cell r="B2675">
            <v>39673</v>
          </cell>
          <cell r="D2675">
            <v>68</v>
          </cell>
        </row>
        <row r="2676">
          <cell r="B2676">
            <v>39674</v>
          </cell>
          <cell r="D2676">
            <v>68.02</v>
          </cell>
        </row>
        <row r="2677">
          <cell r="B2677">
            <v>39675</v>
          </cell>
          <cell r="D2677">
            <v>68.19</v>
          </cell>
        </row>
        <row r="2678">
          <cell r="B2678">
            <v>39678</v>
          </cell>
          <cell r="D2678">
            <v>67.819999999999993</v>
          </cell>
        </row>
        <row r="2679">
          <cell r="B2679">
            <v>39679</v>
          </cell>
          <cell r="D2679">
            <v>67.77</v>
          </cell>
        </row>
        <row r="2680">
          <cell r="B2680">
            <v>39680</v>
          </cell>
          <cell r="D2680">
            <v>67.75</v>
          </cell>
        </row>
        <row r="2681">
          <cell r="B2681">
            <v>39681</v>
          </cell>
          <cell r="D2681">
            <v>67.760000000000005</v>
          </cell>
        </row>
        <row r="2682">
          <cell r="B2682">
            <v>39682</v>
          </cell>
          <cell r="D2682">
            <v>67.790000000000006</v>
          </cell>
        </row>
        <row r="2683">
          <cell r="B2683">
            <v>39685</v>
          </cell>
          <cell r="D2683">
            <v>67.650000000000006</v>
          </cell>
        </row>
        <row r="2684">
          <cell r="B2684">
            <v>39686</v>
          </cell>
          <cell r="D2684">
            <v>67.75</v>
          </cell>
        </row>
        <row r="2685">
          <cell r="B2685">
            <v>39687</v>
          </cell>
          <cell r="D2685">
            <v>67.87</v>
          </cell>
        </row>
        <row r="2686">
          <cell r="B2686">
            <v>39688</v>
          </cell>
          <cell r="D2686">
            <v>68</v>
          </cell>
        </row>
        <row r="2687">
          <cell r="B2687">
            <v>39689</v>
          </cell>
          <cell r="D2687">
            <v>67.86</v>
          </cell>
        </row>
        <row r="2688">
          <cell r="B2688">
            <v>39693</v>
          </cell>
          <cell r="D2688">
            <v>68.03</v>
          </cell>
        </row>
        <row r="2689">
          <cell r="B2689">
            <v>39694</v>
          </cell>
          <cell r="D2689">
            <v>68.25</v>
          </cell>
        </row>
        <row r="2690">
          <cell r="B2690">
            <v>39695</v>
          </cell>
          <cell r="D2690">
            <v>68</v>
          </cell>
        </row>
        <row r="2691">
          <cell r="B2691">
            <v>39696</v>
          </cell>
          <cell r="D2691">
            <v>68.180000000000007</v>
          </cell>
        </row>
        <row r="2692">
          <cell r="B2692">
            <v>39699</v>
          </cell>
          <cell r="D2692">
            <v>68.069999999999993</v>
          </cell>
        </row>
        <row r="2693">
          <cell r="B2693">
            <v>39700</v>
          </cell>
          <cell r="D2693">
            <v>68.02</v>
          </cell>
        </row>
        <row r="2694">
          <cell r="B2694">
            <v>39701</v>
          </cell>
          <cell r="D2694">
            <v>68.14</v>
          </cell>
        </row>
        <row r="2695">
          <cell r="B2695">
            <v>39702</v>
          </cell>
          <cell r="D2695">
            <v>68.09</v>
          </cell>
        </row>
        <row r="2696">
          <cell r="B2696">
            <v>39703</v>
          </cell>
          <cell r="D2696">
            <v>68.16</v>
          </cell>
        </row>
        <row r="2697">
          <cell r="B2697">
            <v>39706</v>
          </cell>
          <cell r="D2697">
            <v>66.2</v>
          </cell>
        </row>
        <row r="2698">
          <cell r="B2698">
            <v>39707</v>
          </cell>
          <cell r="D2698">
            <v>66.05</v>
          </cell>
        </row>
        <row r="2699">
          <cell r="B2699">
            <v>39708</v>
          </cell>
          <cell r="D2699">
            <v>64.400000000000006</v>
          </cell>
        </row>
        <row r="2700">
          <cell r="B2700">
            <v>39709</v>
          </cell>
          <cell r="D2700">
            <v>65.709999999999994</v>
          </cell>
        </row>
        <row r="2701">
          <cell r="B2701">
            <v>39710</v>
          </cell>
          <cell r="D2701">
            <v>67.150000000000006</v>
          </cell>
        </row>
        <row r="2702">
          <cell r="B2702">
            <v>39713</v>
          </cell>
          <cell r="D2702">
            <v>66.599999999999994</v>
          </cell>
        </row>
        <row r="2703">
          <cell r="B2703">
            <v>39714</v>
          </cell>
          <cell r="D2703">
            <v>65.73</v>
          </cell>
        </row>
        <row r="2704">
          <cell r="B2704">
            <v>39715</v>
          </cell>
          <cell r="D2704">
            <v>66.3</v>
          </cell>
        </row>
        <row r="2705">
          <cell r="B2705">
            <v>39716</v>
          </cell>
          <cell r="D2705">
            <v>66.709999999999994</v>
          </cell>
        </row>
        <row r="2706">
          <cell r="B2706">
            <v>39717</v>
          </cell>
          <cell r="D2706">
            <v>66.02</v>
          </cell>
        </row>
        <row r="2707">
          <cell r="B2707">
            <v>39720</v>
          </cell>
          <cell r="D2707">
            <v>63.5</v>
          </cell>
        </row>
        <row r="2708">
          <cell r="B2708">
            <v>39721</v>
          </cell>
          <cell r="D2708">
            <v>64.88</v>
          </cell>
        </row>
        <row r="2709">
          <cell r="B2709">
            <v>39722</v>
          </cell>
          <cell r="D2709">
            <v>65.349999999999994</v>
          </cell>
        </row>
        <row r="2710">
          <cell r="B2710">
            <v>39723</v>
          </cell>
          <cell r="D2710">
            <v>64.58</v>
          </cell>
        </row>
        <row r="2711">
          <cell r="B2711">
            <v>39724</v>
          </cell>
          <cell r="D2711">
            <v>65.099999999999994</v>
          </cell>
        </row>
        <row r="2712">
          <cell r="B2712">
            <v>39727</v>
          </cell>
          <cell r="D2712">
            <v>63.09</v>
          </cell>
        </row>
        <row r="2713">
          <cell r="B2713">
            <v>39728</v>
          </cell>
          <cell r="D2713">
            <v>62.85</v>
          </cell>
        </row>
        <row r="2714">
          <cell r="B2714">
            <v>39729</v>
          </cell>
          <cell r="D2714">
            <v>62.92</v>
          </cell>
        </row>
        <row r="2715">
          <cell r="B2715">
            <v>39730</v>
          </cell>
          <cell r="D2715">
            <v>61.61</v>
          </cell>
        </row>
        <row r="2716">
          <cell r="B2716">
            <v>39731</v>
          </cell>
          <cell r="D2716">
            <v>58.5</v>
          </cell>
        </row>
        <row r="2717">
          <cell r="B2717">
            <v>39734</v>
          </cell>
          <cell r="D2717">
            <v>63.93</v>
          </cell>
        </row>
        <row r="2718">
          <cell r="B2718">
            <v>39735</v>
          </cell>
          <cell r="D2718">
            <v>63.02</v>
          </cell>
        </row>
        <row r="2719">
          <cell r="B2719">
            <v>39736</v>
          </cell>
          <cell r="D2719">
            <v>59.75</v>
          </cell>
        </row>
        <row r="2720">
          <cell r="B2720">
            <v>39737</v>
          </cell>
          <cell r="D2720">
            <v>59.95</v>
          </cell>
        </row>
        <row r="2721">
          <cell r="B2721">
            <v>39738</v>
          </cell>
          <cell r="D2721">
            <v>62.65</v>
          </cell>
        </row>
        <row r="2722">
          <cell r="B2722">
            <v>39741</v>
          </cell>
          <cell r="D2722">
            <v>63.28</v>
          </cell>
        </row>
        <row r="2723">
          <cell r="B2723">
            <v>39742</v>
          </cell>
          <cell r="D2723">
            <v>63.07</v>
          </cell>
        </row>
        <row r="2724">
          <cell r="B2724">
            <v>39743</v>
          </cell>
          <cell r="D2724">
            <v>60.48</v>
          </cell>
        </row>
        <row r="2725">
          <cell r="B2725">
            <v>39744</v>
          </cell>
          <cell r="D2725">
            <v>58.13</v>
          </cell>
        </row>
        <row r="2726">
          <cell r="B2726">
            <v>39745</v>
          </cell>
          <cell r="D2726">
            <v>56.93</v>
          </cell>
        </row>
        <row r="2727">
          <cell r="B2727">
            <v>39748</v>
          </cell>
          <cell r="D2727">
            <v>59.27</v>
          </cell>
        </row>
        <row r="2728">
          <cell r="B2728">
            <v>39749</v>
          </cell>
          <cell r="D2728">
            <v>60.91</v>
          </cell>
        </row>
        <row r="2729">
          <cell r="B2729">
            <v>39750</v>
          </cell>
          <cell r="D2729">
            <v>59.83</v>
          </cell>
        </row>
        <row r="2730">
          <cell r="B2730">
            <v>39751</v>
          </cell>
          <cell r="D2730">
            <v>62</v>
          </cell>
        </row>
        <row r="2731">
          <cell r="B2731">
            <v>39752</v>
          </cell>
          <cell r="D2731">
            <v>62.03</v>
          </cell>
        </row>
        <row r="2732">
          <cell r="B2732">
            <v>39755</v>
          </cell>
          <cell r="D2732">
            <v>63.54</v>
          </cell>
        </row>
        <row r="2733">
          <cell r="B2733">
            <v>39756</v>
          </cell>
          <cell r="D2733">
            <v>64.599999999999994</v>
          </cell>
        </row>
        <row r="2734">
          <cell r="B2734">
            <v>39757</v>
          </cell>
          <cell r="D2734">
            <v>64</v>
          </cell>
        </row>
        <row r="2735">
          <cell r="B2735">
            <v>39758</v>
          </cell>
          <cell r="D2735">
            <v>64.58</v>
          </cell>
        </row>
        <row r="2736">
          <cell r="B2736">
            <v>39759</v>
          </cell>
          <cell r="D2736">
            <v>65.69</v>
          </cell>
        </row>
        <row r="2737">
          <cell r="B2737">
            <v>39762</v>
          </cell>
          <cell r="D2737">
            <v>66.59</v>
          </cell>
        </row>
        <row r="2738">
          <cell r="B2738">
            <v>39763</v>
          </cell>
          <cell r="D2738">
            <v>66.84</v>
          </cell>
        </row>
        <row r="2739">
          <cell r="B2739">
            <v>39764</v>
          </cell>
          <cell r="D2739">
            <v>66.33</v>
          </cell>
        </row>
        <row r="2740">
          <cell r="B2740">
            <v>39765</v>
          </cell>
          <cell r="D2740">
            <v>67.930000000000007</v>
          </cell>
        </row>
        <row r="2741">
          <cell r="B2741">
            <v>39766</v>
          </cell>
          <cell r="D2741">
            <v>68.5</v>
          </cell>
        </row>
        <row r="2742">
          <cell r="B2742">
            <v>39769</v>
          </cell>
          <cell r="D2742">
            <v>68.58</v>
          </cell>
        </row>
        <row r="2743">
          <cell r="B2743">
            <v>39770</v>
          </cell>
        </row>
      </sheetData>
      <sheetData sheetId="4"/>
      <sheetData sheetId="5">
        <row r="6">
          <cell r="C6" t="str">
            <v>USD/EUR</v>
          </cell>
          <cell r="E6" t="str">
            <v>USD/MXN</v>
          </cell>
          <cell r="G6" t="str">
            <v>USD/CNY</v>
          </cell>
        </row>
        <row r="7">
          <cell r="A7" t="str">
            <v>Jul. 1, 2003–Sep. 30, 2003</v>
          </cell>
          <cell r="C7">
            <v>0.88780000000000003</v>
          </cell>
          <cell r="E7">
            <v>10.702999999999999</v>
          </cell>
          <cell r="G7">
            <v>8.2672000000000008</v>
          </cell>
        </row>
        <row r="8">
          <cell r="A8" t="str">
            <v>Oct. 1, 2003–Dec. 31, 2003</v>
          </cell>
          <cell r="C8">
            <v>0.84040000000000004</v>
          </cell>
          <cell r="E8">
            <v>11.1744</v>
          </cell>
          <cell r="G8">
            <v>8.2668999999999997</v>
          </cell>
        </row>
        <row r="9">
          <cell r="A9" t="str">
            <v>Jan. 1, 2004–Mar. 31, 2004</v>
          </cell>
          <cell r="C9">
            <v>0.80059999999999998</v>
          </cell>
          <cell r="E9">
            <v>10.979200000000001</v>
          </cell>
          <cell r="G9">
            <v>8.2670999999999992</v>
          </cell>
        </row>
        <row r="10">
          <cell r="A10" t="str">
            <v>Apr. 1, 2004–Jun. 30, 2004</v>
          </cell>
          <cell r="C10">
            <v>0.8296</v>
          </cell>
          <cell r="E10">
            <v>11.3687</v>
          </cell>
          <cell r="G10">
            <v>8.2666000000000004</v>
          </cell>
        </row>
        <row r="11">
          <cell r="A11" t="str">
            <v>Jul. 1, 2004–Sep. 30, 2004</v>
          </cell>
          <cell r="C11">
            <v>0.81779999999999997</v>
          </cell>
          <cell r="E11">
            <v>11.423400000000001</v>
          </cell>
          <cell r="G11">
            <v>8.2654999999999994</v>
          </cell>
        </row>
        <row r="12">
          <cell r="A12" t="str">
            <v>Oct. 1, 2004–Dec. 31, 2004</v>
          </cell>
          <cell r="C12">
            <v>0.77159999999999995</v>
          </cell>
          <cell r="E12">
            <v>11.295</v>
          </cell>
          <cell r="G12">
            <v>8.2662999999999993</v>
          </cell>
        </row>
        <row r="13">
          <cell r="A13" t="str">
            <v>Jan. 1, 2005–Mar. 31, 2005</v>
          </cell>
          <cell r="C13">
            <v>0.7621</v>
          </cell>
          <cell r="E13">
            <v>11.161899999999999</v>
          </cell>
          <cell r="G13">
            <v>8.2665000000000006</v>
          </cell>
        </row>
        <row r="14">
          <cell r="A14" t="str">
            <v>Apr. 1, 2005–Jun. 30, 2005</v>
          </cell>
          <cell r="C14">
            <v>0.79379999999999995</v>
          </cell>
          <cell r="E14">
            <v>10.9575</v>
          </cell>
          <cell r="G14">
            <v>8.2665000000000006</v>
          </cell>
        </row>
        <row r="15">
          <cell r="A15" t="str">
            <v>Jul. 1, 2005–Sep. 30, 2005</v>
          </cell>
          <cell r="C15">
            <v>0.81950000000000001</v>
          </cell>
          <cell r="E15">
            <v>10.7057</v>
          </cell>
          <cell r="G15">
            <v>8.1301000000000005</v>
          </cell>
        </row>
        <row r="16">
          <cell r="A16" t="str">
            <v>Oct. 1, 2005–Dec. 31, 2005</v>
          </cell>
          <cell r="C16">
            <v>0.8407</v>
          </cell>
          <cell r="E16">
            <v>10.703099999999999</v>
          </cell>
          <cell r="G16">
            <v>8.0746000000000002</v>
          </cell>
        </row>
        <row r="17">
          <cell r="A17" t="str">
            <v>Jan. 1, 2006–Mar. 31, 2006</v>
          </cell>
          <cell r="C17">
            <v>0.83160000000000001</v>
          </cell>
          <cell r="E17">
            <v>10.579700000000001</v>
          </cell>
          <cell r="G17">
            <v>8.0469000000000008</v>
          </cell>
        </row>
        <row r="18">
          <cell r="A18" t="str">
            <v>Apr. 1, 2006–Jun. 30, 2006</v>
          </cell>
          <cell r="C18">
            <v>0.79620000000000002</v>
          </cell>
          <cell r="E18">
            <v>11.158799999999999</v>
          </cell>
          <cell r="G18">
            <v>8.0028000000000006</v>
          </cell>
        </row>
        <row r="19">
          <cell r="A19" t="str">
            <v>Jul. 1, 2006–Sep. 30, 2006</v>
          </cell>
          <cell r="C19">
            <v>0.7843</v>
          </cell>
          <cell r="E19">
            <v>10.9436</v>
          </cell>
          <cell r="G19">
            <v>7.9570999999999996</v>
          </cell>
        </row>
        <row r="20">
          <cell r="A20" t="str">
            <v>Oct. 1, 2006–Dec. 31, 2006</v>
          </cell>
          <cell r="C20">
            <v>0.77580000000000005</v>
          </cell>
          <cell r="E20">
            <v>10.8803</v>
          </cell>
          <cell r="G20">
            <v>7.8537999999999997</v>
          </cell>
        </row>
        <row r="21">
          <cell r="A21" t="str">
            <v>Jan. 1, 2007–Mar. 31, 2007</v>
          </cell>
          <cell r="C21">
            <v>0.76319999999999999</v>
          </cell>
          <cell r="E21">
            <v>11.0101</v>
          </cell>
          <cell r="G21">
            <v>7.7514000000000003</v>
          </cell>
        </row>
        <row r="22">
          <cell r="A22" t="str">
            <v>Apr. 1, 2007–Jun. 30, 2007</v>
          </cell>
          <cell r="C22">
            <v>0.74170000000000003</v>
          </cell>
          <cell r="E22">
            <v>10.8728</v>
          </cell>
          <cell r="G22">
            <v>7.6691000000000003</v>
          </cell>
        </row>
        <row r="23">
          <cell r="A23" t="str">
            <v>Jul. 1, 2007–Sep. 30, 2007</v>
          </cell>
          <cell r="C23">
            <v>0.7278</v>
          </cell>
          <cell r="E23">
            <v>10.952999999999999</v>
          </cell>
          <cell r="G23">
            <v>7.5491000000000001</v>
          </cell>
        </row>
        <row r="24">
          <cell r="A24" t="str">
            <v>Oct. 1, 2007–Dec. 31, 2007</v>
          </cell>
          <cell r="C24">
            <v>0.6905</v>
          </cell>
          <cell r="E24">
            <v>10.8405</v>
          </cell>
          <cell r="G24">
            <v>7.4234</v>
          </cell>
        </row>
        <row r="25">
          <cell r="A25" t="str">
            <v>Jan. 1, 2008–Mar. 31, 2008</v>
          </cell>
          <cell r="C25">
            <v>0.66810000000000003</v>
          </cell>
          <cell r="E25">
            <v>10.802099999999999</v>
          </cell>
          <cell r="G25">
            <v>7.1554000000000002</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0FBE0-E877-447E-B21F-E84F91969D16}">
  <dimension ref="A1:P51"/>
  <sheetViews>
    <sheetView showGridLines="0" tabSelected="1" zoomScale="117" zoomScaleNormal="160" zoomScalePageLayoutView="90" workbookViewId="0">
      <selection activeCell="I36" sqref="I36"/>
    </sheetView>
  </sheetViews>
  <sheetFormatPr defaultColWidth="8.73046875" defaultRowHeight="14.25" x14ac:dyDescent="0.45"/>
  <cols>
    <col min="1" max="1" width="52.3984375" style="2" bestFit="1" customWidth="1"/>
    <col min="2" max="2" width="2.3984375" style="2" customWidth="1"/>
    <col min="3" max="3" width="10.265625" style="3" customWidth="1"/>
    <col min="4" max="4" width="3.73046875" style="3" customWidth="1"/>
    <col min="5" max="5" width="10.265625" style="3" customWidth="1"/>
    <col min="6" max="6" width="3.73046875" style="2" customWidth="1"/>
    <col min="7" max="7" width="10.265625" style="3" customWidth="1"/>
    <col min="8" max="8" width="5" style="3" customWidth="1"/>
    <col min="9" max="9" width="10.265625" style="3" customWidth="1"/>
    <col min="10" max="10" width="11.1328125" style="4" bestFit="1" customWidth="1"/>
    <col min="11" max="11" width="8.73046875" style="4"/>
    <col min="12" max="16384" width="8.73046875" style="2"/>
  </cols>
  <sheetData>
    <row r="1" spans="1:11" ht="15.4" x14ac:dyDescent="0.45">
      <c r="A1" s="1" t="s">
        <v>0</v>
      </c>
      <c r="B1" s="1"/>
      <c r="C1" s="1"/>
      <c r="D1" s="1"/>
      <c r="E1" s="1"/>
    </row>
    <row r="2" spans="1:11" ht="15.4" x14ac:dyDescent="0.45">
      <c r="A2" s="5" t="s">
        <v>1</v>
      </c>
      <c r="B2" s="5"/>
      <c r="C2" s="5"/>
      <c r="D2" s="5"/>
      <c r="E2" s="5"/>
    </row>
    <row r="3" spans="1:11" ht="15.4" x14ac:dyDescent="0.45">
      <c r="A3" s="1" t="s">
        <v>2</v>
      </c>
      <c r="B3" s="1"/>
      <c r="C3" s="1"/>
      <c r="D3" s="1"/>
      <c r="E3" s="1"/>
    </row>
    <row r="4" spans="1:11" x14ac:dyDescent="0.45">
      <c r="A4" s="6"/>
    </row>
    <row r="5" spans="1:11" x14ac:dyDescent="0.45">
      <c r="A5" s="2" t="s">
        <v>3</v>
      </c>
    </row>
    <row r="6" spans="1:11" ht="13.15" x14ac:dyDescent="0.4">
      <c r="A6" s="7" t="s">
        <v>4</v>
      </c>
      <c r="B6" s="7"/>
      <c r="C6" s="8">
        <v>2004</v>
      </c>
      <c r="D6" s="9"/>
      <c r="E6" s="9">
        <v>2005</v>
      </c>
      <c r="F6" s="7"/>
      <c r="G6" s="9">
        <v>2006</v>
      </c>
      <c r="H6" s="9"/>
      <c r="I6" s="9">
        <v>2007</v>
      </c>
      <c r="J6" s="9">
        <v>2008</v>
      </c>
      <c r="K6" s="2"/>
    </row>
    <row r="8" spans="1:11" x14ac:dyDescent="0.45">
      <c r="A8" s="10" t="s">
        <v>5</v>
      </c>
      <c r="B8" s="10"/>
      <c r="C8" s="11"/>
      <c r="D8" s="11"/>
      <c r="E8" s="11"/>
      <c r="F8" s="10"/>
      <c r="G8" s="11"/>
      <c r="H8" s="11"/>
      <c r="I8" s="11"/>
    </row>
    <row r="9" spans="1:11" x14ac:dyDescent="0.45">
      <c r="A9" s="2" t="s">
        <v>6</v>
      </c>
      <c r="C9" s="12">
        <v>103</v>
      </c>
      <c r="D9" s="12"/>
      <c r="E9" s="12">
        <v>101.1</v>
      </c>
      <c r="G9" s="12">
        <v>102.3</v>
      </c>
      <c r="H9" s="12"/>
      <c r="I9" s="12">
        <v>104.4</v>
      </c>
    </row>
    <row r="10" spans="1:11" x14ac:dyDescent="0.45">
      <c r="A10" s="2" t="s">
        <v>7</v>
      </c>
      <c r="C10" s="12">
        <v>13.8</v>
      </c>
      <c r="D10" s="12"/>
      <c r="E10" s="12">
        <v>20.8</v>
      </c>
      <c r="G10" s="12">
        <v>22.7</v>
      </c>
      <c r="H10" s="12"/>
      <c r="I10" s="12">
        <v>24</v>
      </c>
    </row>
    <row r="11" spans="1:11" x14ac:dyDescent="0.45">
      <c r="A11" s="13" t="s">
        <v>8</v>
      </c>
      <c r="B11" s="13"/>
      <c r="C11" s="14">
        <v>116.8</v>
      </c>
      <c r="D11" s="14"/>
      <c r="E11" s="14">
        <v>121.9</v>
      </c>
      <c r="F11" s="13"/>
      <c r="G11" s="14">
        <v>125</v>
      </c>
      <c r="H11" s="14"/>
      <c r="I11" s="14">
        <v>128.4</v>
      </c>
    </row>
    <row r="12" spans="1:11" x14ac:dyDescent="0.45">
      <c r="A12" s="15" t="s">
        <v>9</v>
      </c>
      <c r="B12" s="15"/>
      <c r="C12" s="16">
        <v>19.3</v>
      </c>
      <c r="D12" s="16"/>
      <c r="E12" s="16">
        <v>26.4</v>
      </c>
      <c r="F12" s="15"/>
      <c r="G12" s="16">
        <v>31.6</v>
      </c>
      <c r="H12" s="16"/>
      <c r="I12" s="16">
        <v>33.200000000000003</v>
      </c>
    </row>
    <row r="13" spans="1:11" x14ac:dyDescent="0.45">
      <c r="A13" s="7" t="s">
        <v>10</v>
      </c>
      <c r="B13" s="7"/>
      <c r="C13" s="17">
        <v>136.1</v>
      </c>
      <c r="D13" s="17"/>
      <c r="E13" s="17">
        <v>148.30000000000001</v>
      </c>
      <c r="F13" s="7"/>
      <c r="G13" s="17">
        <v>156.6</v>
      </c>
      <c r="H13" s="17"/>
      <c r="I13" s="17">
        <v>161.6</v>
      </c>
    </row>
    <row r="15" spans="1:11" x14ac:dyDescent="0.45">
      <c r="A15" s="18" t="s">
        <v>11</v>
      </c>
      <c r="B15" s="18"/>
      <c r="C15" s="19">
        <v>17160</v>
      </c>
      <c r="D15" s="19"/>
      <c r="E15" s="19">
        <v>17254</v>
      </c>
      <c r="F15" s="18"/>
      <c r="G15" s="20">
        <v>17957.8</v>
      </c>
      <c r="H15" s="20"/>
      <c r="I15" s="20">
        <v>18988.7</v>
      </c>
    </row>
    <row r="16" spans="1:11" x14ac:dyDescent="0.45">
      <c r="A16" s="4" t="s">
        <v>12</v>
      </c>
      <c r="B16" s="4"/>
      <c r="C16" s="21"/>
      <c r="D16" s="21"/>
      <c r="E16" s="21"/>
      <c r="F16" s="4"/>
      <c r="G16" s="21">
        <v>2240.6999999999998</v>
      </c>
      <c r="H16" s="21"/>
      <c r="I16" s="21">
        <v>2303</v>
      </c>
    </row>
    <row r="17" spans="1:16" x14ac:dyDescent="0.45">
      <c r="A17" s="4" t="s">
        <v>13</v>
      </c>
      <c r="B17" s="4"/>
      <c r="C17" s="22">
        <v>14934</v>
      </c>
      <c r="D17" s="22"/>
      <c r="E17" s="22">
        <v>15036</v>
      </c>
      <c r="F17" s="4"/>
      <c r="G17" s="21">
        <v>15717.1</v>
      </c>
      <c r="H17" s="21"/>
      <c r="I17" s="21">
        <v>16685.7</v>
      </c>
      <c r="J17" s="23"/>
    </row>
    <row r="18" spans="1:16" x14ac:dyDescent="0.45">
      <c r="A18" s="4" t="s">
        <v>14</v>
      </c>
      <c r="B18" s="4"/>
      <c r="C18" s="21">
        <v>5951.7</v>
      </c>
      <c r="D18" s="21"/>
      <c r="E18" s="21">
        <v>5456.2</v>
      </c>
      <c r="F18" s="4"/>
      <c r="G18" s="21">
        <v>5552.1</v>
      </c>
      <c r="H18" s="21"/>
      <c r="I18" s="21">
        <v>5849.6</v>
      </c>
    </row>
    <row r="19" spans="1:16" x14ac:dyDescent="0.45">
      <c r="A19" s="4" t="s">
        <v>15</v>
      </c>
      <c r="B19" s="4"/>
      <c r="C19" s="24">
        <v>0.39900000000000002</v>
      </c>
      <c r="D19" s="25"/>
      <c r="E19" s="24">
        <v>0.36299999999999999</v>
      </c>
      <c r="F19" s="4"/>
      <c r="G19" s="24">
        <v>0.35299999999999998</v>
      </c>
      <c r="H19" s="24"/>
      <c r="I19" s="24">
        <v>0.35099999999999998</v>
      </c>
    </row>
    <row r="20" spans="1:16" x14ac:dyDescent="0.45">
      <c r="A20" s="4" t="s">
        <v>16</v>
      </c>
      <c r="B20" s="4"/>
      <c r="C20" s="21">
        <v>3361</v>
      </c>
      <c r="D20" s="21"/>
      <c r="E20" s="21">
        <v>2621</v>
      </c>
      <c r="F20" s="4"/>
      <c r="G20" s="21">
        <v>2719.6</v>
      </c>
      <c r="H20" s="21"/>
      <c r="I20" s="21">
        <v>2894</v>
      </c>
    </row>
    <row r="21" spans="1:16" x14ac:dyDescent="0.45">
      <c r="A21" s="4" t="s">
        <v>15</v>
      </c>
      <c r="B21" s="4"/>
      <c r="C21" s="24">
        <v>0.22500000000000001</v>
      </c>
      <c r="D21" s="25"/>
      <c r="E21" s="24">
        <v>0.17399999999999999</v>
      </c>
      <c r="F21" s="4"/>
      <c r="G21" s="24">
        <v>0.17299999999999999</v>
      </c>
      <c r="H21" s="24"/>
      <c r="I21" s="24">
        <v>0.17299999999999999</v>
      </c>
    </row>
    <row r="22" spans="1:16" x14ac:dyDescent="0.45">
      <c r="A22" s="4" t="s">
        <v>17</v>
      </c>
      <c r="B22" s="4"/>
      <c r="C22" s="22">
        <v>404</v>
      </c>
      <c r="D22" s="22"/>
      <c r="E22" s="22">
        <v>498</v>
      </c>
      <c r="F22" s="4"/>
      <c r="G22" s="21">
        <v>588.79999999999995</v>
      </c>
      <c r="H22" s="21"/>
      <c r="I22" s="21">
        <v>662.4</v>
      </c>
    </row>
    <row r="23" spans="1:16" x14ac:dyDescent="0.45">
      <c r="A23" s="4" t="s">
        <v>18</v>
      </c>
      <c r="B23" s="4"/>
      <c r="C23" s="22">
        <v>2119</v>
      </c>
      <c r="D23" s="22"/>
      <c r="E23" s="22">
        <v>1744</v>
      </c>
      <c r="F23" s="4"/>
      <c r="G23" s="21">
        <v>1965.2</v>
      </c>
      <c r="H23" s="21"/>
      <c r="I23" s="21">
        <v>2115.3000000000002</v>
      </c>
    </row>
    <row r="24" spans="1:16" x14ac:dyDescent="0.45">
      <c r="A24" s="4" t="s">
        <v>19</v>
      </c>
      <c r="B24" s="4"/>
      <c r="C24" s="26">
        <v>2.62</v>
      </c>
      <c r="D24" s="21"/>
      <c r="E24" s="26">
        <v>2.23</v>
      </c>
      <c r="F24" s="4"/>
      <c r="G24" s="21">
        <v>2.5299999999999998</v>
      </c>
      <c r="H24" s="21"/>
      <c r="I24" s="21">
        <v>2.79</v>
      </c>
    </row>
    <row r="25" spans="1:16" x14ac:dyDescent="0.45">
      <c r="A25" s="10" t="s">
        <v>20</v>
      </c>
      <c r="B25" s="10"/>
      <c r="C25" s="27">
        <v>808.5</v>
      </c>
      <c r="D25" s="27"/>
      <c r="E25" s="27">
        <v>780.6</v>
      </c>
      <c r="F25" s="10"/>
      <c r="G25" s="27">
        <v>777</v>
      </c>
      <c r="H25" s="27"/>
      <c r="I25" s="27">
        <v>757.1</v>
      </c>
    </row>
    <row r="27" spans="1:16" x14ac:dyDescent="0.45">
      <c r="A27" s="18" t="s">
        <v>21</v>
      </c>
      <c r="B27" s="18"/>
      <c r="C27" s="20">
        <v>3121.9</v>
      </c>
      <c r="D27" s="20"/>
      <c r="E27" s="20">
        <v>2677.5</v>
      </c>
      <c r="F27" s="18"/>
      <c r="G27" s="20">
        <v>2520.6</v>
      </c>
      <c r="H27" s="20"/>
      <c r="I27" s="20">
        <v>2963.1</v>
      </c>
    </row>
    <row r="28" spans="1:16" x14ac:dyDescent="0.45">
      <c r="A28" s="4" t="s">
        <v>22</v>
      </c>
      <c r="B28" s="4"/>
      <c r="C28" s="21">
        <v>742.8</v>
      </c>
      <c r="D28" s="21"/>
      <c r="E28" s="21">
        <v>800.8</v>
      </c>
      <c r="F28" s="4"/>
      <c r="G28" s="21">
        <v>871.6</v>
      </c>
      <c r="H28" s="21"/>
      <c r="I28" s="21">
        <v>932.4</v>
      </c>
      <c r="L28" s="28" t="s">
        <v>23</v>
      </c>
      <c r="M28" s="28" t="s">
        <v>24</v>
      </c>
      <c r="N28" s="28" t="s">
        <v>25</v>
      </c>
      <c r="P28" s="28" t="s">
        <v>26</v>
      </c>
    </row>
    <row r="29" spans="1:16" x14ac:dyDescent="0.45">
      <c r="A29" s="4" t="s">
        <v>27</v>
      </c>
      <c r="B29" s="4"/>
      <c r="C29" s="26">
        <v>0.93</v>
      </c>
      <c r="D29" s="21"/>
      <c r="E29" s="26">
        <v>1.03</v>
      </c>
      <c r="F29" s="4"/>
      <c r="G29" s="26">
        <v>1.1299999999999999</v>
      </c>
      <c r="H29" s="21"/>
      <c r="I29" s="26">
        <v>1.25</v>
      </c>
      <c r="J29" s="26">
        <f>I29*(1+P29)</f>
        <v>1.379503729427789</v>
      </c>
      <c r="K29" s="29"/>
      <c r="L29" s="30">
        <f>E29/C29-1</f>
        <v>0.10752688172043001</v>
      </c>
      <c r="M29" s="30">
        <f>G29/E29-1</f>
        <v>9.7087378640776656E-2</v>
      </c>
      <c r="N29" s="30">
        <f>I29/G29-1</f>
        <v>0.10619469026548689</v>
      </c>
      <c r="O29" s="30"/>
      <c r="P29" s="31">
        <f>AVERAGE(K29:N29)</f>
        <v>0.10360298354223119</v>
      </c>
    </row>
    <row r="30" spans="1:16" x14ac:dyDescent="0.45">
      <c r="A30" s="4" t="s">
        <v>28</v>
      </c>
      <c r="B30" s="4"/>
      <c r="C30" s="29"/>
      <c r="D30" s="29"/>
      <c r="E30" s="29"/>
      <c r="F30" s="4"/>
      <c r="G30" s="29"/>
      <c r="H30" s="29"/>
      <c r="I30" s="29"/>
    </row>
    <row r="31" spans="1:16" x14ac:dyDescent="0.45">
      <c r="A31" s="4" t="s">
        <v>29</v>
      </c>
      <c r="B31" s="4"/>
      <c r="C31" s="21">
        <v>4997.3999999999996</v>
      </c>
      <c r="D31" s="21"/>
      <c r="E31" s="21">
        <v>4419</v>
      </c>
      <c r="F31" s="4"/>
      <c r="G31" s="21">
        <v>4672.5</v>
      </c>
      <c r="H31" s="21"/>
      <c r="I31" s="21">
        <v>4989.8999999999996</v>
      </c>
      <c r="J31" s="23"/>
    </row>
    <row r="32" spans="1:16" x14ac:dyDescent="0.45">
      <c r="A32" s="4" t="s">
        <v>30</v>
      </c>
      <c r="B32" s="4"/>
      <c r="C32" s="24">
        <v>0.83299999999999996</v>
      </c>
      <c r="D32" s="25"/>
      <c r="E32" s="24">
        <v>0.61199999999999999</v>
      </c>
      <c r="F32" s="4"/>
      <c r="G32" s="24">
        <v>0.51600000000000001</v>
      </c>
      <c r="H32" s="24"/>
      <c r="I32" s="24">
        <v>0.59699999999999998</v>
      </c>
    </row>
    <row r="33" spans="1:9" x14ac:dyDescent="0.45">
      <c r="A33" s="10" t="s">
        <v>31</v>
      </c>
      <c r="B33" s="10"/>
      <c r="C33" s="32">
        <v>0.184</v>
      </c>
      <c r="D33" s="32"/>
      <c r="E33" s="32">
        <v>0.14699999999999999</v>
      </c>
      <c r="F33" s="10"/>
      <c r="G33" s="32">
        <v>0.156</v>
      </c>
      <c r="H33" s="32"/>
      <c r="I33" s="32">
        <v>0.16600000000000001</v>
      </c>
    </row>
    <row r="35" spans="1:9" x14ac:dyDescent="0.45">
      <c r="A35" s="18" t="s">
        <v>32</v>
      </c>
      <c r="B35" s="18"/>
      <c r="C35" s="20">
        <v>16173.4</v>
      </c>
      <c r="D35" s="20"/>
      <c r="E35" s="20">
        <v>16555</v>
      </c>
      <c r="F35" s="18"/>
      <c r="G35" s="20">
        <v>16377.2</v>
      </c>
      <c r="H35" s="20"/>
      <c r="I35" s="20">
        <v>17155</v>
      </c>
    </row>
    <row r="36" spans="1:9" x14ac:dyDescent="0.45">
      <c r="A36" s="4" t="s">
        <v>33</v>
      </c>
      <c r="B36" s="4"/>
      <c r="C36" s="21">
        <v>8278.6</v>
      </c>
      <c r="D36" s="21"/>
      <c r="E36" s="21">
        <v>7972.1</v>
      </c>
      <c r="F36" s="4"/>
      <c r="G36" s="21">
        <v>7653.5</v>
      </c>
      <c r="H36" s="21"/>
      <c r="I36" s="21">
        <v>9140.2999999999993</v>
      </c>
    </row>
    <row r="37" spans="1:9" x14ac:dyDescent="0.45">
      <c r="A37" s="4" t="s">
        <v>34</v>
      </c>
      <c r="B37" s="4"/>
      <c r="C37" s="21">
        <v>1089.5999999999999</v>
      </c>
      <c r="D37" s="21"/>
      <c r="E37" s="21">
        <v>1136.7</v>
      </c>
      <c r="F37" s="4"/>
      <c r="G37" s="21">
        <v>812.5</v>
      </c>
      <c r="H37" s="21"/>
      <c r="I37" s="21">
        <v>870</v>
      </c>
    </row>
    <row r="38" spans="1:9" x14ac:dyDescent="0.45">
      <c r="A38" s="4" t="s">
        <v>35</v>
      </c>
      <c r="B38" s="4"/>
      <c r="C38" s="21">
        <v>932.7</v>
      </c>
      <c r="D38" s="21"/>
      <c r="E38" s="21">
        <v>979</v>
      </c>
      <c r="F38" s="4"/>
      <c r="G38" s="21">
        <v>988.7</v>
      </c>
      <c r="H38" s="21"/>
      <c r="I38" s="21">
        <v>996.2</v>
      </c>
    </row>
    <row r="39" spans="1:9" x14ac:dyDescent="0.45">
      <c r="A39" s="4" t="s">
        <v>36</v>
      </c>
      <c r="B39" s="4"/>
      <c r="C39" s="33">
        <v>31435</v>
      </c>
      <c r="D39" s="33"/>
      <c r="E39" s="33">
        <v>31485</v>
      </c>
      <c r="F39" s="4"/>
      <c r="G39" s="33">
        <v>30183</v>
      </c>
      <c r="H39" s="33"/>
      <c r="I39" s="33">
        <v>30849</v>
      </c>
    </row>
    <row r="40" spans="1:9" x14ac:dyDescent="0.45">
      <c r="A40" s="4" t="s">
        <v>37</v>
      </c>
      <c r="B40" s="4"/>
      <c r="C40" s="33">
        <v>54654</v>
      </c>
      <c r="D40" s="33"/>
      <c r="E40" s="33">
        <v>53573</v>
      </c>
      <c r="F40" s="4"/>
      <c r="G40" s="33">
        <v>51888</v>
      </c>
      <c r="H40" s="33"/>
      <c r="I40" s="33">
        <v>49732</v>
      </c>
    </row>
    <row r="41" spans="1:9" x14ac:dyDescent="0.45">
      <c r="A41" s="10" t="s">
        <v>38</v>
      </c>
      <c r="B41" s="10"/>
      <c r="C41" s="34">
        <v>50.73</v>
      </c>
      <c r="D41" s="34"/>
      <c r="E41" s="34">
        <v>42.96</v>
      </c>
      <c r="F41" s="10"/>
      <c r="G41" s="34">
        <v>49.2</v>
      </c>
      <c r="H41" s="34"/>
      <c r="I41" s="34">
        <v>52.34</v>
      </c>
    </row>
    <row r="43" spans="1:9" x14ac:dyDescent="0.45">
      <c r="A43" s="2" t="s">
        <v>39</v>
      </c>
      <c r="C43" s="22">
        <v>2812</v>
      </c>
      <c r="D43" s="35"/>
      <c r="E43" s="22">
        <v>2057</v>
      </c>
      <c r="F43" s="36"/>
      <c r="G43" s="22">
        <v>2277</v>
      </c>
      <c r="H43" s="22"/>
      <c r="I43" s="22">
        <v>2423</v>
      </c>
    </row>
    <row r="44" spans="1:9" x14ac:dyDescent="0.45">
      <c r="C44" s="22"/>
      <c r="D44" s="35"/>
      <c r="E44" s="22"/>
      <c r="F44" s="36"/>
      <c r="G44" s="22"/>
      <c r="H44" s="22"/>
      <c r="I44" s="22"/>
    </row>
    <row r="45" spans="1:9" ht="15" customHeight="1" x14ac:dyDescent="0.45">
      <c r="A45" s="37" t="s">
        <v>40</v>
      </c>
      <c r="B45" s="37"/>
      <c r="C45" s="37"/>
      <c r="D45" s="37"/>
      <c r="E45" s="37"/>
      <c r="F45" s="37"/>
      <c r="G45" s="37"/>
      <c r="H45" s="37"/>
      <c r="I45" s="37"/>
    </row>
    <row r="46" spans="1:9" x14ac:dyDescent="0.45">
      <c r="A46" s="37"/>
      <c r="B46" s="37"/>
      <c r="C46" s="37"/>
      <c r="D46" s="37"/>
      <c r="E46" s="37"/>
      <c r="F46" s="37"/>
      <c r="G46" s="37"/>
      <c r="H46" s="37"/>
      <c r="I46" s="37"/>
    </row>
    <row r="47" spans="1:9" x14ac:dyDescent="0.45">
      <c r="A47" s="37"/>
      <c r="B47" s="37"/>
      <c r="C47" s="37"/>
      <c r="D47" s="37"/>
      <c r="E47" s="37"/>
      <c r="F47" s="37"/>
      <c r="G47" s="37"/>
      <c r="H47" s="37"/>
      <c r="I47" s="37"/>
    </row>
    <row r="48" spans="1:9" x14ac:dyDescent="0.45">
      <c r="A48" s="37" t="s">
        <v>41</v>
      </c>
      <c r="B48" s="37"/>
      <c r="C48" s="37"/>
      <c r="D48" s="37"/>
      <c r="E48" s="37"/>
      <c r="F48" s="37"/>
      <c r="G48" s="37"/>
      <c r="H48" s="37"/>
      <c r="I48" s="37"/>
    </row>
    <row r="49" spans="1:9" x14ac:dyDescent="0.45">
      <c r="A49" s="37"/>
      <c r="B49" s="37"/>
      <c r="C49" s="37"/>
      <c r="D49" s="37"/>
      <c r="E49" s="37"/>
      <c r="F49" s="37"/>
      <c r="G49" s="37"/>
      <c r="H49" s="37"/>
      <c r="I49" s="37"/>
    </row>
    <row r="51" spans="1:9" x14ac:dyDescent="0.45">
      <c r="A51" s="38" t="s">
        <v>42</v>
      </c>
    </row>
  </sheetData>
  <mergeCells count="5">
    <mergeCell ref="A1:E1"/>
    <mergeCell ref="A2:E2"/>
    <mergeCell ref="A3:E3"/>
    <mergeCell ref="A45:I47"/>
    <mergeCell ref="A48:I49"/>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E329-8122-4812-BB99-B2936728E57B}">
  <dimension ref="A1:T26"/>
  <sheetViews>
    <sheetView showGridLines="0" zoomScale="130" zoomScaleNormal="130" zoomScalePageLayoutView="90" workbookViewId="0">
      <selection activeCell="I36" sqref="I36"/>
    </sheetView>
  </sheetViews>
  <sheetFormatPr defaultColWidth="8.73046875" defaultRowHeight="14.25" outlineLevelCol="1" x14ac:dyDescent="0.45"/>
  <cols>
    <col min="1" max="1" width="30.265625" customWidth="1"/>
    <col min="2" max="2" width="4.73046875" customWidth="1"/>
    <col min="3" max="8" width="13.1328125" customWidth="1"/>
    <col min="9" max="9" width="8.73046875" customWidth="1" outlineLevel="1"/>
    <col min="10" max="15" width="8.3984375" customWidth="1" outlineLevel="1"/>
    <col min="16" max="16" width="10.265625" customWidth="1" outlineLevel="1"/>
  </cols>
  <sheetData>
    <row r="1" spans="1:20" ht="15.4" x14ac:dyDescent="0.45">
      <c r="A1" s="39" t="s">
        <v>43</v>
      </c>
      <c r="B1" s="39"/>
      <c r="C1" s="39"/>
      <c r="D1" s="39"/>
      <c r="E1" s="39"/>
    </row>
    <row r="2" spans="1:20" ht="15.4" x14ac:dyDescent="0.45">
      <c r="A2" s="5" t="s">
        <v>1</v>
      </c>
      <c r="B2" s="5"/>
      <c r="C2" s="5"/>
      <c r="D2" s="5"/>
      <c r="E2" s="5"/>
    </row>
    <row r="3" spans="1:20" ht="15.4" x14ac:dyDescent="0.45">
      <c r="A3" s="39" t="s">
        <v>44</v>
      </c>
      <c r="B3" s="39"/>
      <c r="C3" s="39"/>
      <c r="D3" s="39"/>
      <c r="E3" s="39"/>
    </row>
    <row r="4" spans="1:20" x14ac:dyDescent="0.45">
      <c r="A4" s="40"/>
    </row>
    <row r="5" spans="1:20" x14ac:dyDescent="0.45">
      <c r="A5" s="40"/>
    </row>
    <row r="6" spans="1:20" x14ac:dyDescent="0.45">
      <c r="A6" s="41"/>
      <c r="B6" s="41"/>
      <c r="C6" s="42" t="s">
        <v>6</v>
      </c>
      <c r="D6" s="42" t="s">
        <v>7</v>
      </c>
      <c r="E6" s="42"/>
      <c r="F6" s="42"/>
      <c r="G6" s="42" t="s">
        <v>45</v>
      </c>
      <c r="H6" s="42"/>
      <c r="R6" s="43" t="s">
        <v>46</v>
      </c>
      <c r="S6" s="43" t="s">
        <v>6</v>
      </c>
      <c r="T6" s="43" t="s">
        <v>47</v>
      </c>
    </row>
    <row r="7" spans="1:20" x14ac:dyDescent="0.45">
      <c r="A7" s="44">
        <v>2007</v>
      </c>
      <c r="B7" s="45"/>
      <c r="C7" s="46" t="s">
        <v>48</v>
      </c>
      <c r="D7" s="46" t="s">
        <v>48</v>
      </c>
      <c r="E7" s="46" t="s">
        <v>49</v>
      </c>
      <c r="F7" s="46" t="s">
        <v>50</v>
      </c>
      <c r="G7" s="46" t="s">
        <v>51</v>
      </c>
      <c r="H7" s="46" t="s">
        <v>52</v>
      </c>
      <c r="R7" s="47" t="s">
        <v>48</v>
      </c>
      <c r="S7" s="47" t="s">
        <v>53</v>
      </c>
      <c r="T7" s="47" t="s">
        <v>53</v>
      </c>
    </row>
    <row r="8" spans="1:20" x14ac:dyDescent="0.45">
      <c r="A8" s="38"/>
      <c r="B8" s="38"/>
      <c r="C8" s="38"/>
      <c r="D8" s="38"/>
      <c r="E8" s="38"/>
      <c r="F8" s="38"/>
      <c r="G8" s="38"/>
      <c r="H8" s="38"/>
    </row>
    <row r="9" spans="1:20" x14ac:dyDescent="0.45">
      <c r="A9" s="48" t="s">
        <v>54</v>
      </c>
      <c r="B9" s="38"/>
      <c r="C9" s="38"/>
      <c r="D9" s="38"/>
      <c r="E9" s="38"/>
      <c r="F9" s="38"/>
      <c r="G9" s="38"/>
      <c r="H9" s="38"/>
    </row>
    <row r="10" spans="1:20" x14ac:dyDescent="0.45">
      <c r="A10" t="s">
        <v>11</v>
      </c>
      <c r="B10" s="38"/>
      <c r="C10" s="49">
        <v>14158.7</v>
      </c>
      <c r="D10" s="50">
        <v>1351.7</v>
      </c>
      <c r="E10" s="50">
        <v>2632.8</v>
      </c>
      <c r="F10" s="50">
        <v>1272.7</v>
      </c>
      <c r="G10" s="38">
        <v>-427.2</v>
      </c>
      <c r="H10" s="49">
        <v>18988.7</v>
      </c>
      <c r="J10" s="51">
        <v>0.74563819534775944</v>
      </c>
      <c r="K10" s="51">
        <v>7.1184441272967608E-2</v>
      </c>
      <c r="L10" s="51">
        <v>0.13865088184025237</v>
      </c>
      <c r="M10" s="51">
        <v>6.7024072211367816E-2</v>
      </c>
      <c r="N10" s="51">
        <v>-2.2497590672347238E-2</v>
      </c>
      <c r="O10" s="52">
        <v>1</v>
      </c>
      <c r="P10" s="53"/>
      <c r="R10" s="54">
        <v>15510.400000000001</v>
      </c>
      <c r="S10" s="55">
        <v>0.91285202186919745</v>
      </c>
      <c r="T10" s="55">
        <v>8.714797813080255E-2</v>
      </c>
    </row>
    <row r="11" spans="1:20" x14ac:dyDescent="0.45">
      <c r="A11" t="s">
        <v>55</v>
      </c>
      <c r="B11" s="38"/>
      <c r="C11" s="49">
        <v>3.2</v>
      </c>
      <c r="D11" s="38">
        <v>0.6</v>
      </c>
      <c r="E11" s="38">
        <v>931.9</v>
      </c>
      <c r="F11" s="38" t="s">
        <v>56</v>
      </c>
      <c r="G11" s="38">
        <v>-935.7</v>
      </c>
      <c r="H11" s="49"/>
      <c r="J11" s="51"/>
      <c r="K11" s="51"/>
      <c r="L11" s="51"/>
      <c r="M11" s="51"/>
      <c r="N11" s="51"/>
      <c r="O11" s="52"/>
      <c r="P11" s="53"/>
    </row>
    <row r="12" spans="1:20" x14ac:dyDescent="0.45">
      <c r="A12" t="s">
        <v>57</v>
      </c>
      <c r="B12" s="38"/>
      <c r="C12" s="49">
        <v>12106.1</v>
      </c>
      <c r="D12" s="50">
        <v>1097.5</v>
      </c>
      <c r="E12" s="50">
        <v>1700.9</v>
      </c>
      <c r="F12" s="50">
        <v>1272.7</v>
      </c>
      <c r="G12" s="38">
        <v>508.5</v>
      </c>
      <c r="H12" s="49">
        <v>16685.7</v>
      </c>
      <c r="J12" s="51">
        <v>0.72553743624780498</v>
      </c>
      <c r="K12" s="51">
        <v>6.577488508123723E-2</v>
      </c>
      <c r="L12" s="51">
        <v>0.10193758727533157</v>
      </c>
      <c r="M12" s="51">
        <v>7.6274894070970947E-2</v>
      </c>
      <c r="N12" s="51">
        <v>3.0475197324655243E-2</v>
      </c>
      <c r="O12" s="52">
        <v>1</v>
      </c>
      <c r="P12" s="53"/>
    </row>
    <row r="13" spans="1:20" x14ac:dyDescent="0.45">
      <c r="A13" t="s">
        <v>35</v>
      </c>
      <c r="B13" s="38"/>
      <c r="C13" s="49">
        <v>749</v>
      </c>
      <c r="D13" s="38">
        <v>49.8</v>
      </c>
      <c r="E13" s="38">
        <v>68.900000000000006</v>
      </c>
      <c r="F13" s="38">
        <v>103</v>
      </c>
      <c r="G13" s="38">
        <v>25.5</v>
      </c>
      <c r="H13" s="49">
        <v>996.2</v>
      </c>
      <c r="J13" s="51">
        <v>0.75185705681590043</v>
      </c>
      <c r="K13" s="51">
        <v>4.9989961855049184E-2</v>
      </c>
      <c r="L13" s="51">
        <v>6.9162818711102192E-2</v>
      </c>
      <c r="M13" s="51">
        <v>0.10339289299337481</v>
      </c>
      <c r="N13" s="51">
        <v>2.5597269624573378E-2</v>
      </c>
      <c r="O13" s="52">
        <v>1</v>
      </c>
      <c r="P13" s="53"/>
    </row>
    <row r="14" spans="1:20" x14ac:dyDescent="0.45">
      <c r="A14" t="s">
        <v>58</v>
      </c>
      <c r="B14" s="38"/>
      <c r="C14" s="49">
        <v>2784</v>
      </c>
      <c r="D14" s="38">
        <v>93.3</v>
      </c>
      <c r="E14" s="38">
        <v>175.8</v>
      </c>
      <c r="F14" s="38">
        <v>262.7</v>
      </c>
      <c r="G14" s="38">
        <v>-893.1</v>
      </c>
      <c r="H14" s="49">
        <v>2422.6999999999998</v>
      </c>
      <c r="J14" s="51">
        <v>1.1491311346844431</v>
      </c>
      <c r="K14" s="51">
        <v>3.8510752466256661E-2</v>
      </c>
      <c r="L14" s="51">
        <v>7.2563668634168493E-2</v>
      </c>
      <c r="M14" s="51">
        <v>0.10843274033103563</v>
      </c>
      <c r="N14" s="51">
        <v>-0.36863829611590376</v>
      </c>
      <c r="O14" s="52">
        <v>1</v>
      </c>
      <c r="P14" s="53"/>
    </row>
    <row r="15" spans="1:20" x14ac:dyDescent="0.45">
      <c r="A15" t="s">
        <v>17</v>
      </c>
      <c r="B15" s="38"/>
      <c r="C15" s="49">
        <v>2.2999999999999998</v>
      </c>
      <c r="D15" s="38">
        <v>660.1</v>
      </c>
      <c r="E15" s="38" t="s">
        <v>56</v>
      </c>
      <c r="F15" s="38" t="s">
        <v>56</v>
      </c>
      <c r="G15" s="38" t="s">
        <v>56</v>
      </c>
      <c r="H15" s="49">
        <v>662.4</v>
      </c>
      <c r="J15" s="51">
        <v>3.472222222222222E-3</v>
      </c>
      <c r="K15" s="51">
        <v>0.9965277777777779</v>
      </c>
      <c r="L15" s="51"/>
      <c r="M15" s="51"/>
      <c r="N15" s="51"/>
      <c r="O15" s="52">
        <v>1</v>
      </c>
      <c r="P15" s="53"/>
    </row>
    <row r="16" spans="1:20" x14ac:dyDescent="0.45">
      <c r="A16" t="s">
        <v>18</v>
      </c>
      <c r="B16" s="38"/>
      <c r="C16" s="49">
        <v>1728.4</v>
      </c>
      <c r="D16" s="38">
        <v>717.9</v>
      </c>
      <c r="E16" s="38">
        <v>109</v>
      </c>
      <c r="F16" s="38">
        <v>162.9</v>
      </c>
      <c r="G16" s="38">
        <v>-602.9</v>
      </c>
      <c r="H16" s="49">
        <v>2115.3000000000002</v>
      </c>
      <c r="J16" s="51">
        <v>0.81709450196189659</v>
      </c>
      <c r="K16" s="51">
        <v>0.33938448447028785</v>
      </c>
      <c r="L16" s="51">
        <v>5.1529333900628749E-2</v>
      </c>
      <c r="M16" s="51">
        <v>7.7010353141398383E-2</v>
      </c>
      <c r="N16" s="51">
        <v>-0.28501867347421167</v>
      </c>
      <c r="O16" s="52">
        <v>1</v>
      </c>
      <c r="P16" s="53"/>
      <c r="R16" s="54">
        <v>2446.3000000000002</v>
      </c>
      <c r="S16" s="55">
        <v>0.70653640191309319</v>
      </c>
      <c r="T16" s="55">
        <v>0.29346359808690675</v>
      </c>
    </row>
    <row r="17" spans="1:20" x14ac:dyDescent="0.45">
      <c r="B17" s="38"/>
      <c r="C17" s="49"/>
      <c r="D17" s="38"/>
      <c r="E17" s="38"/>
      <c r="F17" s="38"/>
      <c r="G17" s="38"/>
      <c r="H17" s="49"/>
      <c r="J17" s="51"/>
      <c r="K17" s="51"/>
      <c r="L17" s="51"/>
      <c r="M17" s="51"/>
      <c r="N17" s="51"/>
      <c r="O17" s="52"/>
      <c r="P17" s="53"/>
    </row>
    <row r="18" spans="1:20" x14ac:dyDescent="0.45">
      <c r="A18" s="48" t="s">
        <v>59</v>
      </c>
      <c r="B18" s="38"/>
      <c r="C18" s="49"/>
      <c r="D18" s="38"/>
      <c r="E18" s="38"/>
      <c r="F18" s="38"/>
      <c r="G18" s="38"/>
      <c r="H18" s="49"/>
      <c r="J18" s="51"/>
      <c r="K18" s="51"/>
      <c r="L18" s="51"/>
      <c r="M18" s="51"/>
      <c r="N18" s="51"/>
      <c r="O18" s="52"/>
      <c r="P18" s="53"/>
    </row>
    <row r="19" spans="1:20" x14ac:dyDescent="0.45">
      <c r="A19" t="s">
        <v>32</v>
      </c>
      <c r="B19" s="38"/>
      <c r="C19" s="49">
        <v>8142</v>
      </c>
      <c r="D19" s="50">
        <v>5880.8</v>
      </c>
      <c r="E19" s="38">
        <v>772.6</v>
      </c>
      <c r="F19" s="50">
        <v>1548.3</v>
      </c>
      <c r="G19" s="38">
        <v>811.3</v>
      </c>
      <c r="H19" s="49">
        <v>17155</v>
      </c>
      <c r="J19" s="51">
        <v>0.47461381521422324</v>
      </c>
      <c r="K19" s="51">
        <v>0.34280384727484697</v>
      </c>
      <c r="L19" s="51">
        <v>4.5036432526960074E-2</v>
      </c>
      <c r="M19" s="51">
        <v>9.025357038764209E-2</v>
      </c>
      <c r="N19" s="51">
        <v>4.7292334596327597E-2</v>
      </c>
      <c r="O19" s="52">
        <v>1</v>
      </c>
      <c r="P19" s="53"/>
      <c r="R19" s="54">
        <v>14022.8</v>
      </c>
      <c r="S19" s="55">
        <v>0.58062583792110001</v>
      </c>
      <c r="T19" s="55">
        <v>0.4193741620789001</v>
      </c>
    </row>
    <row r="20" spans="1:20" x14ac:dyDescent="0.45">
      <c r="A20" t="s">
        <v>60</v>
      </c>
      <c r="B20" s="38"/>
      <c r="C20" s="49">
        <v>93.9</v>
      </c>
      <c r="D20" s="50">
        <v>3925.6</v>
      </c>
      <c r="E20" s="38" t="s">
        <v>56</v>
      </c>
      <c r="F20" s="38" t="s">
        <v>56</v>
      </c>
      <c r="G20" s="38" t="s">
        <v>56</v>
      </c>
      <c r="H20" s="49">
        <v>4019.5</v>
      </c>
      <c r="J20" s="51">
        <v>2.3361114566488369E-2</v>
      </c>
      <c r="K20" s="51">
        <v>0.97663888543351163</v>
      </c>
      <c r="L20" s="51"/>
      <c r="M20" s="51"/>
      <c r="N20" s="51"/>
      <c r="O20" s="52">
        <v>1</v>
      </c>
      <c r="P20" s="53"/>
    </row>
    <row r="21" spans="1:20" x14ac:dyDescent="0.45">
      <c r="A21" t="s">
        <v>61</v>
      </c>
      <c r="B21" s="38"/>
      <c r="C21" s="49">
        <v>21.2</v>
      </c>
      <c r="D21" s="50">
        <v>1343.3</v>
      </c>
      <c r="E21" s="38">
        <v>21.9</v>
      </c>
      <c r="F21" s="38">
        <v>288.3</v>
      </c>
      <c r="G21" s="38" t="s">
        <v>56</v>
      </c>
      <c r="H21" s="49">
        <v>1674.7</v>
      </c>
      <c r="J21" s="51">
        <v>1.2658983698572879E-2</v>
      </c>
      <c r="K21" s="51">
        <v>0.80211381142891258</v>
      </c>
      <c r="L21" s="51">
        <v>1.3076969009374812E-2</v>
      </c>
      <c r="M21" s="51">
        <v>0.17215023586313966</v>
      </c>
      <c r="N21" s="51"/>
      <c r="O21" s="52">
        <v>1</v>
      </c>
      <c r="P21" s="53"/>
    </row>
    <row r="22" spans="1:20" x14ac:dyDescent="0.45">
      <c r="A22" t="s">
        <v>62</v>
      </c>
      <c r="B22" s="38"/>
      <c r="C22" s="49">
        <v>4.5</v>
      </c>
      <c r="D22" s="38">
        <v>544.4</v>
      </c>
      <c r="E22" s="38"/>
      <c r="F22" s="38"/>
      <c r="G22" s="38"/>
      <c r="H22" s="49">
        <v>548.9</v>
      </c>
      <c r="J22" s="51">
        <v>8.1982146110402623E-3</v>
      </c>
      <c r="K22" s="51">
        <v>0.99180178538895969</v>
      </c>
      <c r="L22" s="51"/>
      <c r="M22" s="51"/>
      <c r="N22" s="51"/>
      <c r="O22" s="52">
        <v>1</v>
      </c>
      <c r="P22" s="53"/>
    </row>
    <row r="23" spans="1:20" ht="14.65" thickBot="1" x14ac:dyDescent="0.5">
      <c r="A23" s="56" t="s">
        <v>34</v>
      </c>
      <c r="B23" s="57"/>
      <c r="C23" s="58">
        <v>554.4</v>
      </c>
      <c r="D23" s="57">
        <v>59.2</v>
      </c>
      <c r="E23" s="57">
        <v>72.400000000000006</v>
      </c>
      <c r="F23" s="57">
        <v>169.4</v>
      </c>
      <c r="G23" s="57">
        <v>14.6</v>
      </c>
      <c r="H23" s="58">
        <v>870</v>
      </c>
      <c r="J23" s="51">
        <v>0.63724137931034475</v>
      </c>
      <c r="K23" s="51">
        <v>6.8045977011494257E-2</v>
      </c>
      <c r="L23" s="51">
        <v>8.3218390804597711E-2</v>
      </c>
      <c r="M23" s="51">
        <v>0.19471264367816093</v>
      </c>
      <c r="N23" s="51">
        <v>1.6781609195402298E-2</v>
      </c>
      <c r="O23" s="52">
        <v>1</v>
      </c>
      <c r="P23" s="53"/>
    </row>
    <row r="24" spans="1:20" x14ac:dyDescent="0.45">
      <c r="J24" s="53"/>
      <c r="K24" s="53"/>
      <c r="L24" s="53"/>
      <c r="M24" s="53"/>
      <c r="N24" s="53"/>
      <c r="O24" s="53"/>
      <c r="P24" s="53"/>
      <c r="Q24" s="59"/>
      <c r="R24" s="55"/>
      <c r="S24" s="55"/>
      <c r="T24" s="55"/>
    </row>
    <row r="25" spans="1:20" x14ac:dyDescent="0.45">
      <c r="A25" t="s">
        <v>63</v>
      </c>
      <c r="J25" s="60">
        <v>1.7389707688528617</v>
      </c>
      <c r="K25" s="60">
        <v>0.22984968031560332</v>
      </c>
      <c r="L25" s="60">
        <v>3.4077142117525239</v>
      </c>
      <c r="M25" s="60">
        <v>0.82199832073887491</v>
      </c>
      <c r="N25" s="60">
        <v>-0.52656230740786392</v>
      </c>
      <c r="O25" s="60">
        <v>1.1068901194986884</v>
      </c>
      <c r="P25" s="61" t="s">
        <v>64</v>
      </c>
    </row>
    <row r="26" spans="1:20" x14ac:dyDescent="0.45">
      <c r="J26" s="60">
        <v>0.2122819945959224</v>
      </c>
      <c r="K26" s="60">
        <v>0.12207522786015507</v>
      </c>
      <c r="L26" s="60">
        <v>0.14108206057468289</v>
      </c>
      <c r="M26" s="60">
        <v>0.10521216818446039</v>
      </c>
      <c r="N26" s="60">
        <v>-0.74312831258474055</v>
      </c>
      <c r="O26" s="60">
        <v>0.12330515884581755</v>
      </c>
      <c r="P26" s="61" t="s">
        <v>65</v>
      </c>
    </row>
  </sheetData>
  <mergeCells count="3">
    <mergeCell ref="A1:E1"/>
    <mergeCell ref="A2:E2"/>
    <mergeCell ref="A3:E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B50D1-8FCF-46F6-A329-5F7ECF71CC45}">
  <sheetPr>
    <pageSetUpPr fitToPage="1"/>
  </sheetPr>
  <dimension ref="A1:L52"/>
  <sheetViews>
    <sheetView showGridLines="0" zoomScale="130" zoomScaleNormal="130" workbookViewId="0">
      <selection activeCell="I36" sqref="I36"/>
    </sheetView>
  </sheetViews>
  <sheetFormatPr defaultColWidth="11.3984375" defaultRowHeight="14.25" x14ac:dyDescent="0.45"/>
  <cols>
    <col min="1" max="1" width="28.73046875" customWidth="1"/>
    <col min="3" max="3" width="10.73046875" customWidth="1"/>
    <col min="4" max="4" width="6.3984375" customWidth="1"/>
    <col min="6" max="6" width="6.73046875" customWidth="1"/>
    <col min="8" max="8" width="5.73046875" customWidth="1"/>
  </cols>
  <sheetData>
    <row r="1" spans="1:9" ht="15.4" x14ac:dyDescent="0.45">
      <c r="A1" s="39" t="s">
        <v>66</v>
      </c>
      <c r="B1" s="39"/>
      <c r="C1" s="39"/>
      <c r="D1" s="39"/>
      <c r="E1" s="39"/>
    </row>
    <row r="2" spans="1:9" ht="15.4" x14ac:dyDescent="0.45">
      <c r="A2" s="5" t="s">
        <v>1</v>
      </c>
      <c r="B2" s="5"/>
      <c r="C2" s="5"/>
      <c r="D2" s="5"/>
      <c r="E2" s="5"/>
    </row>
    <row r="3" spans="1:9" ht="15.4" x14ac:dyDescent="0.45">
      <c r="A3" s="39" t="s">
        <v>67</v>
      </c>
      <c r="B3" s="39"/>
      <c r="C3" s="39"/>
      <c r="D3" s="39"/>
      <c r="E3" s="39"/>
      <c r="F3" s="62"/>
      <c r="G3" s="62"/>
      <c r="H3" s="62"/>
    </row>
    <row r="6" spans="1:9" x14ac:dyDescent="0.45">
      <c r="C6" s="63" t="s">
        <v>68</v>
      </c>
      <c r="D6" s="48"/>
      <c r="E6" s="63" t="s">
        <v>69</v>
      </c>
      <c r="F6" s="48"/>
      <c r="G6" s="63" t="s">
        <v>70</v>
      </c>
      <c r="H6" s="48"/>
    </row>
    <row r="8" spans="1:9" ht="15.75" x14ac:dyDescent="0.5">
      <c r="A8" s="64" t="s">
        <v>71</v>
      </c>
    </row>
    <row r="9" spans="1:9" x14ac:dyDescent="0.45">
      <c r="A9" s="40"/>
    </row>
    <row r="10" spans="1:9" x14ac:dyDescent="0.45">
      <c r="A10" t="s">
        <v>72</v>
      </c>
      <c r="C10" s="54">
        <v>104.4</v>
      </c>
      <c r="D10" s="54"/>
      <c r="E10" s="54">
        <v>106.48800000000001</v>
      </c>
      <c r="F10" s="54"/>
      <c r="G10" s="54">
        <v>108.61776000000002</v>
      </c>
      <c r="H10" s="54"/>
      <c r="I10" s="65"/>
    </row>
    <row r="11" spans="1:9" x14ac:dyDescent="0.45">
      <c r="A11" t="s">
        <v>7</v>
      </c>
      <c r="C11" s="66">
        <v>24</v>
      </c>
      <c r="D11" s="66"/>
      <c r="E11" s="66">
        <v>25.200000000000003</v>
      </c>
      <c r="F11" s="66"/>
      <c r="G11" s="66">
        <v>26.712000000000003</v>
      </c>
      <c r="H11" s="66"/>
      <c r="I11" s="65"/>
    </row>
    <row r="12" spans="1:9" x14ac:dyDescent="0.45">
      <c r="A12" t="s">
        <v>73</v>
      </c>
      <c r="C12" s="54">
        <v>128.4</v>
      </c>
      <c r="D12" s="54"/>
      <c r="E12" s="54">
        <v>131.68800000000002</v>
      </c>
      <c r="F12" s="54"/>
      <c r="G12" s="54">
        <v>135.32976000000002</v>
      </c>
      <c r="H12" s="54"/>
      <c r="I12" s="65"/>
    </row>
    <row r="13" spans="1:9" x14ac:dyDescent="0.45">
      <c r="C13" s="65"/>
      <c r="D13" s="65"/>
      <c r="E13" s="65"/>
      <c r="F13" s="65"/>
      <c r="G13" s="65"/>
      <c r="H13" s="65"/>
      <c r="I13" s="65"/>
    </row>
    <row r="14" spans="1:9" x14ac:dyDescent="0.45">
      <c r="A14" s="40" t="s">
        <v>74</v>
      </c>
      <c r="C14" s="65"/>
      <c r="D14" s="65"/>
      <c r="E14" s="65"/>
      <c r="F14" s="65"/>
      <c r="G14" s="65"/>
      <c r="H14" s="65"/>
      <c r="I14" s="65"/>
    </row>
    <row r="15" spans="1:9" x14ac:dyDescent="0.45">
      <c r="A15" s="40"/>
      <c r="C15" s="65"/>
      <c r="D15" s="65"/>
      <c r="E15" s="65"/>
      <c r="F15" s="65"/>
      <c r="G15" s="65"/>
      <c r="H15" s="65"/>
      <c r="I15" s="65"/>
    </row>
    <row r="16" spans="1:9" x14ac:dyDescent="0.45">
      <c r="A16" t="s">
        <v>75</v>
      </c>
      <c r="C16" s="65">
        <v>15191</v>
      </c>
      <c r="D16" s="65"/>
      <c r="E16" s="65">
        <v>16589</v>
      </c>
      <c r="F16" s="65"/>
      <c r="G16" s="65">
        <v>17418</v>
      </c>
      <c r="H16" s="65"/>
      <c r="I16" s="65"/>
    </row>
    <row r="17" spans="1:9" x14ac:dyDescent="0.45">
      <c r="A17" t="s">
        <v>76</v>
      </c>
      <c r="C17" s="65">
        <v>2601.1917808219182</v>
      </c>
      <c r="D17" s="65"/>
      <c r="E17" s="65">
        <v>2706.1017255732995</v>
      </c>
      <c r="F17" s="65"/>
      <c r="G17" s="65">
        <v>2815.2428448920023</v>
      </c>
      <c r="H17" s="65"/>
      <c r="I17" s="65"/>
    </row>
    <row r="18" spans="1:9" x14ac:dyDescent="0.45">
      <c r="C18" s="65"/>
      <c r="D18" s="65"/>
      <c r="E18" s="65"/>
      <c r="F18" s="65"/>
      <c r="G18" s="65"/>
      <c r="H18" s="65"/>
      <c r="I18" s="65"/>
    </row>
    <row r="19" spans="1:9" hidden="1" x14ac:dyDescent="0.45">
      <c r="A19" s="40" t="s">
        <v>77</v>
      </c>
      <c r="C19" s="67">
        <v>1.32</v>
      </c>
      <c r="D19" s="67"/>
      <c r="E19" s="67">
        <v>1.32</v>
      </c>
      <c r="F19" s="67"/>
      <c r="G19" s="67">
        <v>1.32</v>
      </c>
      <c r="H19" s="67"/>
      <c r="I19" s="67"/>
    </row>
    <row r="20" spans="1:9" x14ac:dyDescent="0.45">
      <c r="A20" t="s">
        <v>78</v>
      </c>
      <c r="C20" s="65">
        <v>2303</v>
      </c>
      <c r="D20" s="65"/>
      <c r="E20" s="65">
        <v>2392.5762</v>
      </c>
      <c r="F20" s="65"/>
      <c r="G20" s="65">
        <v>2512.2050100000006</v>
      </c>
      <c r="H20" s="65"/>
      <c r="I20" s="65"/>
    </row>
    <row r="21" spans="1:9" hidden="1" x14ac:dyDescent="0.45">
      <c r="A21" s="40" t="s">
        <v>79</v>
      </c>
      <c r="C21" s="65"/>
      <c r="D21" s="65"/>
      <c r="E21" s="65"/>
      <c r="F21" s="65"/>
      <c r="G21" s="65"/>
      <c r="H21" s="65"/>
      <c r="I21" s="65"/>
    </row>
    <row r="22" spans="1:9" hidden="1" x14ac:dyDescent="0.45">
      <c r="A22" s="40"/>
      <c r="C22" s="65"/>
      <c r="D22" s="65"/>
      <c r="E22" s="65"/>
      <c r="F22" s="65"/>
      <c r="G22" s="65"/>
      <c r="H22" s="65"/>
      <c r="I22" s="65"/>
    </row>
    <row r="23" spans="1:9" hidden="1" x14ac:dyDescent="0.45">
      <c r="A23" t="s">
        <v>80</v>
      </c>
      <c r="C23" s="65">
        <v>14366.4</v>
      </c>
      <c r="D23" s="65"/>
      <c r="E23" s="65">
        <v>14366.4</v>
      </c>
      <c r="F23" s="65"/>
      <c r="G23" s="65">
        <v>14366.4</v>
      </c>
      <c r="H23" s="65"/>
      <c r="I23" s="65"/>
    </row>
    <row r="24" spans="1:9" hidden="1" x14ac:dyDescent="0.45">
      <c r="A24" t="s">
        <v>81</v>
      </c>
      <c r="C24" s="65">
        <v>3591.6000000000004</v>
      </c>
      <c r="D24" s="65"/>
      <c r="E24" s="65">
        <v>3591.6000000000004</v>
      </c>
      <c r="F24" s="65"/>
      <c r="G24" s="65">
        <v>3591.6000000000004</v>
      </c>
      <c r="H24" s="65"/>
      <c r="I24" s="65"/>
    </row>
    <row r="25" spans="1:9" hidden="1" x14ac:dyDescent="0.45"/>
    <row r="26" spans="1:9" hidden="1" x14ac:dyDescent="0.45">
      <c r="A26" s="40" t="s">
        <v>82</v>
      </c>
      <c r="C26" s="65"/>
      <c r="D26" s="65"/>
      <c r="E26" s="65"/>
      <c r="F26" s="65"/>
      <c r="G26" s="65"/>
      <c r="H26" s="65"/>
      <c r="I26" s="65"/>
    </row>
    <row r="27" spans="1:9" hidden="1" x14ac:dyDescent="0.45">
      <c r="A27" s="40"/>
      <c r="C27" s="65"/>
      <c r="D27" s="65"/>
      <c r="E27" s="65"/>
      <c r="F27" s="65"/>
      <c r="G27" s="65"/>
      <c r="H27" s="65"/>
      <c r="I27" s="65"/>
    </row>
    <row r="28" spans="1:9" hidden="1" x14ac:dyDescent="0.45">
      <c r="A28" t="s">
        <v>83</v>
      </c>
      <c r="C28" s="65">
        <v>17958</v>
      </c>
      <c r="D28" s="65"/>
      <c r="E28" s="65">
        <v>17958</v>
      </c>
      <c r="F28" s="65"/>
      <c r="G28" s="65">
        <v>17958</v>
      </c>
      <c r="H28" s="65"/>
      <c r="I28" s="65"/>
    </row>
    <row r="29" spans="1:9" x14ac:dyDescent="0.45">
      <c r="C29" s="65"/>
      <c r="D29" s="65"/>
      <c r="E29" s="65"/>
      <c r="F29" s="65"/>
      <c r="G29" s="65"/>
      <c r="H29" s="65"/>
      <c r="I29" s="65"/>
    </row>
    <row r="30" spans="1:9" x14ac:dyDescent="0.45">
      <c r="A30" t="s">
        <v>84</v>
      </c>
      <c r="C30" s="65">
        <v>10836.6</v>
      </c>
      <c r="D30" s="65"/>
      <c r="E30" s="65">
        <v>11334.430984800001</v>
      </c>
      <c r="F30" s="65"/>
      <c r="G30" s="65">
        <v>11569.541472720002</v>
      </c>
      <c r="H30" s="65"/>
      <c r="I30" s="65"/>
    </row>
    <row r="31" spans="1:9" x14ac:dyDescent="0.45">
      <c r="A31" t="s">
        <v>85</v>
      </c>
      <c r="C31" s="65">
        <v>2981.7</v>
      </c>
      <c r="D31" s="65"/>
      <c r="E31" s="65">
        <v>3158.2005840000002</v>
      </c>
      <c r="F31" s="65"/>
      <c r="G31" s="65">
        <v>3316.1106132000004</v>
      </c>
    </row>
    <row r="32" spans="1:9" x14ac:dyDescent="0.45">
      <c r="C32" s="65"/>
      <c r="D32" s="65"/>
      <c r="E32" s="65"/>
      <c r="F32" s="65"/>
      <c r="G32" s="65"/>
    </row>
    <row r="33" spans="1:12" s="68" customFormat="1" x14ac:dyDescent="0.45">
      <c r="A33" s="68" t="s">
        <v>86</v>
      </c>
      <c r="C33" s="65">
        <v>996</v>
      </c>
      <c r="D33" s="65"/>
      <c r="E33" s="65">
        <v>996.9067500000001</v>
      </c>
      <c r="F33" s="65"/>
      <c r="G33" s="65">
        <v>1046.7520875000002</v>
      </c>
      <c r="I33" s="69"/>
      <c r="J33" s="69"/>
      <c r="K33" s="69"/>
      <c r="L33" s="69"/>
    </row>
    <row r="34" spans="1:12" s="68" customFormat="1" x14ac:dyDescent="0.45">
      <c r="C34" s="69"/>
      <c r="D34" s="69"/>
      <c r="E34" s="69"/>
      <c r="F34" s="69"/>
      <c r="G34" s="69"/>
      <c r="H34" s="69"/>
      <c r="I34" s="69"/>
      <c r="J34" s="69"/>
      <c r="K34" s="69"/>
      <c r="L34" s="69"/>
    </row>
    <row r="35" spans="1:12" s="68" customFormat="1" x14ac:dyDescent="0.45">
      <c r="A35" s="68" t="s">
        <v>87</v>
      </c>
      <c r="C35" s="70">
        <v>-24</v>
      </c>
      <c r="E35" s="70">
        <v>40</v>
      </c>
      <c r="G35" s="70">
        <v>50</v>
      </c>
    </row>
    <row r="36" spans="1:12" s="68" customFormat="1" hidden="1" x14ac:dyDescent="0.45">
      <c r="A36" s="68" t="s">
        <v>88</v>
      </c>
      <c r="C36" s="70">
        <v>813</v>
      </c>
      <c r="D36" s="70"/>
      <c r="E36" s="70">
        <v>870</v>
      </c>
      <c r="F36" s="70"/>
      <c r="G36" s="70">
        <v>965</v>
      </c>
      <c r="H36" s="70"/>
    </row>
    <row r="37" spans="1:12" s="68" customFormat="1" hidden="1" x14ac:dyDescent="0.45">
      <c r="A37" s="68" t="s">
        <v>89</v>
      </c>
      <c r="C37" s="68" t="e">
        <v>#REF!</v>
      </c>
      <c r="E37" s="68" t="e">
        <v>#REF!</v>
      </c>
      <c r="G37" s="68" t="e">
        <v>#REF!</v>
      </c>
    </row>
    <row r="38" spans="1:12" s="68" customFormat="1" hidden="1" x14ac:dyDescent="0.45"/>
    <row r="39" spans="1:12" s="68" customFormat="1" hidden="1" x14ac:dyDescent="0.45">
      <c r="A39" s="68" t="s">
        <v>90</v>
      </c>
    </row>
    <row r="40" spans="1:12" s="68" customFormat="1" hidden="1" x14ac:dyDescent="0.45">
      <c r="A40" s="68" t="s">
        <v>91</v>
      </c>
    </row>
    <row r="41" spans="1:12" s="68" customFormat="1" x14ac:dyDescent="0.45"/>
    <row r="42" spans="1:12" s="68" customFormat="1" x14ac:dyDescent="0.45"/>
    <row r="43" spans="1:12" s="68" customFormat="1" x14ac:dyDescent="0.45"/>
    <row r="44" spans="1:12" s="68" customFormat="1" x14ac:dyDescent="0.45">
      <c r="A44" s="68" t="s">
        <v>92</v>
      </c>
    </row>
    <row r="45" spans="1:12" x14ac:dyDescent="0.45">
      <c r="C45" s="65"/>
      <c r="D45" s="65"/>
      <c r="E45" s="65"/>
      <c r="F45" s="65"/>
      <c r="G45" s="65"/>
      <c r="H45" s="65"/>
      <c r="I45" s="65"/>
    </row>
    <row r="46" spans="1:12" x14ac:dyDescent="0.45">
      <c r="A46" t="s">
        <v>93</v>
      </c>
      <c r="C46" s="65"/>
      <c r="D46" s="65"/>
      <c r="E46" s="65"/>
      <c r="F46" s="65"/>
      <c r="G46" s="65"/>
      <c r="H46" s="65"/>
      <c r="I46" s="65"/>
    </row>
    <row r="47" spans="1:12" x14ac:dyDescent="0.45">
      <c r="C47" s="65"/>
      <c r="D47" s="65"/>
      <c r="E47" s="65"/>
      <c r="F47" s="65"/>
      <c r="G47" s="65"/>
      <c r="H47" s="65"/>
      <c r="I47" s="65"/>
    </row>
    <row r="48" spans="1:12" x14ac:dyDescent="0.45">
      <c r="C48" s="65"/>
      <c r="D48" s="65"/>
      <c r="E48" s="65"/>
      <c r="F48" s="65"/>
      <c r="G48" s="65"/>
      <c r="H48" s="65"/>
      <c r="I48" s="65"/>
    </row>
    <row r="49" spans="3:9" x14ac:dyDescent="0.45">
      <c r="C49" s="65"/>
      <c r="D49" s="65"/>
      <c r="E49" s="65"/>
      <c r="F49" s="65"/>
      <c r="G49" s="65"/>
      <c r="H49" s="65"/>
      <c r="I49" s="65"/>
    </row>
    <row r="50" spans="3:9" x14ac:dyDescent="0.45">
      <c r="C50" s="65"/>
      <c r="D50" s="65"/>
      <c r="E50" s="65"/>
      <c r="F50" s="65"/>
      <c r="G50" s="65"/>
      <c r="H50" s="65"/>
      <c r="I50" s="65"/>
    </row>
    <row r="51" spans="3:9" x14ac:dyDescent="0.45">
      <c r="C51" s="65"/>
      <c r="D51" s="65"/>
      <c r="E51" s="65"/>
      <c r="F51" s="65"/>
      <c r="G51" s="65"/>
      <c r="H51" s="65"/>
      <c r="I51" s="65"/>
    </row>
    <row r="52" spans="3:9" x14ac:dyDescent="0.45">
      <c r="C52" s="65"/>
      <c r="D52" s="65"/>
      <c r="E52" s="65"/>
      <c r="F52" s="65"/>
      <c r="G52" s="65"/>
      <c r="H52" s="65"/>
      <c r="I52" s="65"/>
    </row>
  </sheetData>
  <mergeCells count="3">
    <mergeCell ref="A1:E1"/>
    <mergeCell ref="A2:E2"/>
    <mergeCell ref="A3:E3"/>
  </mergeCells>
  <pageMargins left="0.75" right="0.75" top="1" bottom="1" header="0.5" footer="0.5"/>
  <pageSetup scale="76"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7268-A36D-4F6D-8BD1-04836D7D5659}">
  <dimension ref="A1:N2743"/>
  <sheetViews>
    <sheetView workbookViewId="0">
      <selection activeCell="I36" sqref="I36"/>
    </sheetView>
  </sheetViews>
  <sheetFormatPr defaultColWidth="8.73046875" defaultRowHeight="14.25" x14ac:dyDescent="0.45"/>
  <cols>
    <col min="2" max="2" width="13" style="72" customWidth="1"/>
    <col min="6" max="6" width="21.1328125" customWidth="1"/>
    <col min="7" max="7" width="8.73046875" customWidth="1"/>
  </cols>
  <sheetData>
    <row r="1" spans="1:6" ht="15.4" x14ac:dyDescent="0.45">
      <c r="A1" s="39" t="s">
        <v>94</v>
      </c>
      <c r="B1" s="39"/>
      <c r="C1" s="39"/>
      <c r="D1" s="39"/>
      <c r="E1" s="39"/>
      <c r="F1" s="39"/>
    </row>
    <row r="2" spans="1:6" ht="15.4" x14ac:dyDescent="0.45">
      <c r="A2" s="5" t="s">
        <v>1</v>
      </c>
      <c r="B2" s="5"/>
      <c r="C2" s="5"/>
      <c r="D2" s="5"/>
      <c r="E2" s="5"/>
      <c r="F2" s="5"/>
    </row>
    <row r="3" spans="1:6" ht="15.4" x14ac:dyDescent="0.45">
      <c r="A3" s="71" t="s">
        <v>95</v>
      </c>
      <c r="B3" s="71"/>
      <c r="C3" s="71"/>
      <c r="D3" s="71"/>
      <c r="E3" s="71"/>
      <c r="F3" s="71"/>
    </row>
    <row r="4" spans="1:6" x14ac:dyDescent="0.45">
      <c r="A4" s="40"/>
    </row>
    <row r="5" spans="1:6" x14ac:dyDescent="0.45">
      <c r="A5" t="s">
        <v>96</v>
      </c>
      <c r="B5" s="72" t="s">
        <v>97</v>
      </c>
      <c r="C5" t="s">
        <v>98</v>
      </c>
      <c r="D5" t="s">
        <v>99</v>
      </c>
    </row>
    <row r="6" spans="1:6" x14ac:dyDescent="0.45">
      <c r="A6">
        <v>59184</v>
      </c>
      <c r="B6" s="72">
        <v>35797</v>
      </c>
      <c r="C6">
        <v>44.375</v>
      </c>
      <c r="D6">
        <v>22.1875</v>
      </c>
    </row>
    <row r="7" spans="1:6" x14ac:dyDescent="0.45">
      <c r="A7">
        <v>59184</v>
      </c>
      <c r="B7" s="72">
        <v>35800</v>
      </c>
      <c r="C7">
        <v>43.5</v>
      </c>
      <c r="D7">
        <v>21.75</v>
      </c>
    </row>
    <row r="8" spans="1:6" x14ac:dyDescent="0.45">
      <c r="A8">
        <v>59184</v>
      </c>
      <c r="B8" s="72">
        <v>35801</v>
      </c>
      <c r="C8">
        <v>43.5625</v>
      </c>
      <c r="D8">
        <v>21.78125</v>
      </c>
      <c r="F8" t="s">
        <v>100</v>
      </c>
    </row>
    <row r="9" spans="1:6" x14ac:dyDescent="0.45">
      <c r="A9">
        <v>59184</v>
      </c>
      <c r="B9" s="72">
        <v>35802</v>
      </c>
      <c r="C9">
        <v>43.4375</v>
      </c>
      <c r="D9">
        <v>21.71875</v>
      </c>
    </row>
    <row r="10" spans="1:6" x14ac:dyDescent="0.45">
      <c r="A10">
        <v>59184</v>
      </c>
      <c r="B10" s="72">
        <v>35803</v>
      </c>
      <c r="C10">
        <v>43.75</v>
      </c>
      <c r="D10">
        <v>21.875</v>
      </c>
    </row>
    <row r="11" spans="1:6" x14ac:dyDescent="0.45">
      <c r="A11">
        <v>59184</v>
      </c>
      <c r="B11" s="72">
        <v>35804</v>
      </c>
      <c r="C11">
        <v>43.9375</v>
      </c>
      <c r="D11">
        <v>21.96875</v>
      </c>
    </row>
    <row r="12" spans="1:6" x14ac:dyDescent="0.45">
      <c r="A12">
        <v>59184</v>
      </c>
      <c r="B12" s="72">
        <v>35807</v>
      </c>
      <c r="C12">
        <v>44.9375</v>
      </c>
      <c r="D12">
        <v>22.46875</v>
      </c>
    </row>
    <row r="13" spans="1:6" x14ac:dyDescent="0.45">
      <c r="A13">
        <v>59184</v>
      </c>
      <c r="B13" s="72">
        <v>35808</v>
      </c>
      <c r="C13">
        <v>43.8125</v>
      </c>
      <c r="D13">
        <v>21.90625</v>
      </c>
    </row>
    <row r="14" spans="1:6" x14ac:dyDescent="0.45">
      <c r="A14">
        <v>59184</v>
      </c>
      <c r="B14" s="72">
        <v>35809</v>
      </c>
      <c r="C14">
        <v>43.4375</v>
      </c>
      <c r="D14">
        <v>21.71875</v>
      </c>
    </row>
    <row r="15" spans="1:6" x14ac:dyDescent="0.45">
      <c r="A15">
        <v>59184</v>
      </c>
      <c r="B15" s="72">
        <v>35810</v>
      </c>
      <c r="C15">
        <v>44.0625</v>
      </c>
      <c r="D15">
        <v>22.03125</v>
      </c>
    </row>
    <row r="16" spans="1:6" x14ac:dyDescent="0.45">
      <c r="A16">
        <v>59184</v>
      </c>
      <c r="B16" s="72">
        <v>35811</v>
      </c>
      <c r="C16">
        <v>44.5</v>
      </c>
      <c r="D16">
        <v>22.25</v>
      </c>
    </row>
    <row r="17" spans="1:6" x14ac:dyDescent="0.45">
      <c r="A17">
        <v>59184</v>
      </c>
      <c r="B17" s="72">
        <v>35815</v>
      </c>
      <c r="C17">
        <v>44.875</v>
      </c>
      <c r="D17">
        <v>22.4375</v>
      </c>
    </row>
    <row r="18" spans="1:6" x14ac:dyDescent="0.45">
      <c r="A18">
        <v>59184</v>
      </c>
      <c r="B18" s="72">
        <v>35816</v>
      </c>
      <c r="C18">
        <v>44.0625</v>
      </c>
      <c r="D18">
        <v>22.03125</v>
      </c>
    </row>
    <row r="19" spans="1:6" x14ac:dyDescent="0.45">
      <c r="A19">
        <v>59184</v>
      </c>
      <c r="B19" s="72">
        <v>35817</v>
      </c>
      <c r="C19">
        <v>45.375</v>
      </c>
      <c r="D19">
        <v>22.6875</v>
      </c>
    </row>
    <row r="20" spans="1:6" x14ac:dyDescent="0.45">
      <c r="A20">
        <v>59184</v>
      </c>
      <c r="B20" s="72">
        <v>35818</v>
      </c>
      <c r="C20">
        <v>44.75</v>
      </c>
      <c r="D20">
        <v>22.375</v>
      </c>
    </row>
    <row r="21" spans="1:6" x14ac:dyDescent="0.45">
      <c r="A21">
        <v>59184</v>
      </c>
      <c r="B21" s="72">
        <v>35821</v>
      </c>
      <c r="C21">
        <v>44.5625</v>
      </c>
      <c r="D21">
        <v>22.28125</v>
      </c>
    </row>
    <row r="22" spans="1:6" x14ac:dyDescent="0.45">
      <c r="A22">
        <v>59184</v>
      </c>
      <c r="B22" s="72">
        <v>35822</v>
      </c>
      <c r="C22">
        <v>44.75</v>
      </c>
      <c r="D22">
        <v>22.375</v>
      </c>
    </row>
    <row r="23" spans="1:6" x14ac:dyDescent="0.45">
      <c r="A23">
        <v>59184</v>
      </c>
      <c r="B23" s="72">
        <v>35823</v>
      </c>
      <c r="C23">
        <v>44</v>
      </c>
      <c r="D23">
        <v>22</v>
      </c>
    </row>
    <row r="24" spans="1:6" x14ac:dyDescent="0.45">
      <c r="A24">
        <v>59184</v>
      </c>
      <c r="B24" s="72">
        <v>35824</v>
      </c>
      <c r="C24">
        <v>44.75</v>
      </c>
      <c r="D24">
        <v>22.375</v>
      </c>
    </row>
    <row r="25" spans="1:6" x14ac:dyDescent="0.45">
      <c r="A25">
        <v>59184</v>
      </c>
      <c r="B25" s="72">
        <v>35825</v>
      </c>
      <c r="C25">
        <v>44.9375</v>
      </c>
      <c r="D25">
        <v>22.46875</v>
      </c>
    </row>
    <row r="26" spans="1:6" x14ac:dyDescent="0.45">
      <c r="A26">
        <v>59184</v>
      </c>
      <c r="B26" s="72">
        <v>35828</v>
      </c>
      <c r="C26">
        <v>45.25</v>
      </c>
      <c r="D26">
        <v>22.625</v>
      </c>
    </row>
    <row r="27" spans="1:6" x14ac:dyDescent="0.45">
      <c r="A27">
        <v>59184</v>
      </c>
      <c r="B27" s="72">
        <v>35829</v>
      </c>
      <c r="C27">
        <v>44.9375</v>
      </c>
      <c r="D27">
        <v>22.46875</v>
      </c>
    </row>
    <row r="28" spans="1:6" x14ac:dyDescent="0.45">
      <c r="A28">
        <v>59184</v>
      </c>
      <c r="B28" s="72">
        <v>35830</v>
      </c>
      <c r="C28">
        <v>45.1875</v>
      </c>
      <c r="D28">
        <v>22.59375</v>
      </c>
    </row>
    <row r="29" spans="1:6" x14ac:dyDescent="0.45">
      <c r="A29">
        <v>59184</v>
      </c>
      <c r="B29" s="72">
        <v>35831</v>
      </c>
      <c r="C29">
        <v>44.6875</v>
      </c>
      <c r="D29">
        <v>22.34375</v>
      </c>
    </row>
    <row r="30" spans="1:6" x14ac:dyDescent="0.45">
      <c r="A30">
        <v>59184</v>
      </c>
      <c r="B30" s="72">
        <v>35832</v>
      </c>
      <c r="C30">
        <v>45.3125</v>
      </c>
      <c r="D30">
        <v>22.65625</v>
      </c>
    </row>
    <row r="31" spans="1:6" x14ac:dyDescent="0.45">
      <c r="A31">
        <v>59184</v>
      </c>
      <c r="B31" s="72">
        <v>35835</v>
      </c>
      <c r="C31">
        <v>46.3125</v>
      </c>
      <c r="D31">
        <v>23.15625</v>
      </c>
      <c r="F31" t="s">
        <v>101</v>
      </c>
    </row>
    <row r="32" spans="1:6" x14ac:dyDescent="0.45">
      <c r="A32">
        <v>59184</v>
      </c>
      <c r="B32" s="72">
        <v>35836</v>
      </c>
      <c r="C32">
        <v>46.5</v>
      </c>
      <c r="D32">
        <v>23.25</v>
      </c>
    </row>
    <row r="33" spans="1:4" x14ac:dyDescent="0.45">
      <c r="A33">
        <v>59184</v>
      </c>
      <c r="B33" s="72">
        <v>35837</v>
      </c>
      <c r="C33">
        <v>46.5</v>
      </c>
      <c r="D33">
        <v>23.25</v>
      </c>
    </row>
    <row r="34" spans="1:4" x14ac:dyDescent="0.45">
      <c r="A34">
        <v>59184</v>
      </c>
      <c r="B34" s="72">
        <v>35838</v>
      </c>
      <c r="C34">
        <v>46.5625</v>
      </c>
      <c r="D34">
        <v>23.28125</v>
      </c>
    </row>
    <row r="35" spans="1:4" x14ac:dyDescent="0.45">
      <c r="A35">
        <v>59184</v>
      </c>
      <c r="B35" s="72">
        <v>35839</v>
      </c>
      <c r="C35">
        <v>46.4375</v>
      </c>
      <c r="D35">
        <v>23.21875</v>
      </c>
    </row>
    <row r="36" spans="1:4" x14ac:dyDescent="0.45">
      <c r="A36">
        <v>59184</v>
      </c>
      <c r="B36" s="72">
        <v>35843</v>
      </c>
      <c r="C36">
        <v>46.625</v>
      </c>
      <c r="D36">
        <v>23.3125</v>
      </c>
    </row>
    <row r="37" spans="1:4" x14ac:dyDescent="0.45">
      <c r="A37">
        <v>59184</v>
      </c>
      <c r="B37" s="72">
        <v>35844</v>
      </c>
      <c r="C37">
        <v>47.4375</v>
      </c>
      <c r="D37">
        <v>23.71875</v>
      </c>
    </row>
    <row r="38" spans="1:4" x14ac:dyDescent="0.45">
      <c r="A38">
        <v>59184</v>
      </c>
      <c r="B38" s="72">
        <v>35845</v>
      </c>
      <c r="C38">
        <v>47.5</v>
      </c>
      <c r="D38">
        <v>23.75</v>
      </c>
    </row>
    <row r="39" spans="1:4" x14ac:dyDescent="0.45">
      <c r="A39">
        <v>59184</v>
      </c>
      <c r="B39" s="72">
        <v>35846</v>
      </c>
      <c r="C39">
        <v>46.875</v>
      </c>
      <c r="D39">
        <v>23.4375</v>
      </c>
    </row>
    <row r="40" spans="1:4" x14ac:dyDescent="0.45">
      <c r="A40">
        <v>59184</v>
      </c>
      <c r="B40" s="72">
        <v>35849</v>
      </c>
      <c r="C40">
        <v>46.4375</v>
      </c>
      <c r="D40">
        <v>23.21875</v>
      </c>
    </row>
    <row r="41" spans="1:4" x14ac:dyDescent="0.45">
      <c r="A41">
        <v>59184</v>
      </c>
      <c r="B41" s="72">
        <v>35850</v>
      </c>
      <c r="C41">
        <v>46.3125</v>
      </c>
      <c r="D41">
        <v>23.15625</v>
      </c>
    </row>
    <row r="42" spans="1:4" x14ac:dyDescent="0.45">
      <c r="A42">
        <v>59184</v>
      </c>
      <c r="B42" s="72">
        <v>35851</v>
      </c>
      <c r="C42">
        <v>46.5</v>
      </c>
      <c r="D42">
        <v>23.25</v>
      </c>
    </row>
    <row r="43" spans="1:4" x14ac:dyDescent="0.45">
      <c r="A43">
        <v>59184</v>
      </c>
      <c r="B43" s="72">
        <v>35852</v>
      </c>
      <c r="C43">
        <v>46.9375</v>
      </c>
      <c r="D43">
        <v>23.46875</v>
      </c>
    </row>
    <row r="44" spans="1:4" x14ac:dyDescent="0.45">
      <c r="A44">
        <v>59184</v>
      </c>
      <c r="B44" s="72">
        <v>35853</v>
      </c>
      <c r="C44">
        <v>46.875</v>
      </c>
      <c r="D44">
        <v>23.4375</v>
      </c>
    </row>
    <row r="45" spans="1:4" x14ac:dyDescent="0.45">
      <c r="A45">
        <v>59184</v>
      </c>
      <c r="B45" s="72">
        <v>35856</v>
      </c>
      <c r="C45">
        <v>46.875</v>
      </c>
      <c r="D45">
        <v>23.4375</v>
      </c>
    </row>
    <row r="46" spans="1:4" x14ac:dyDescent="0.45">
      <c r="A46">
        <v>59184</v>
      </c>
      <c r="B46" s="72">
        <v>35857</v>
      </c>
      <c r="C46">
        <v>46.9375</v>
      </c>
      <c r="D46">
        <v>23.46875</v>
      </c>
    </row>
    <row r="47" spans="1:4" x14ac:dyDescent="0.45">
      <c r="A47">
        <v>59184</v>
      </c>
      <c r="B47" s="72">
        <v>35858</v>
      </c>
      <c r="C47">
        <v>46.75</v>
      </c>
      <c r="D47">
        <v>23.375</v>
      </c>
    </row>
    <row r="48" spans="1:4" x14ac:dyDescent="0.45">
      <c r="A48">
        <v>59184</v>
      </c>
      <c r="B48" s="72">
        <v>35859</v>
      </c>
      <c r="C48">
        <v>46.4375</v>
      </c>
      <c r="D48">
        <v>23.21875</v>
      </c>
    </row>
    <row r="49" spans="1:4" x14ac:dyDescent="0.45">
      <c r="A49">
        <v>59184</v>
      </c>
      <c r="B49" s="72">
        <v>35860</v>
      </c>
      <c r="C49">
        <v>46.875</v>
      </c>
      <c r="D49">
        <v>23.4375</v>
      </c>
    </row>
    <row r="50" spans="1:4" x14ac:dyDescent="0.45">
      <c r="A50">
        <v>59184</v>
      </c>
      <c r="B50" s="72">
        <v>35863</v>
      </c>
      <c r="C50">
        <v>46.875</v>
      </c>
      <c r="D50">
        <v>23.4375</v>
      </c>
    </row>
    <row r="51" spans="1:4" x14ac:dyDescent="0.45">
      <c r="A51">
        <v>59184</v>
      </c>
      <c r="B51" s="72">
        <v>35864</v>
      </c>
      <c r="C51">
        <v>46.875</v>
      </c>
      <c r="D51">
        <v>23.4375</v>
      </c>
    </row>
    <row r="52" spans="1:4" x14ac:dyDescent="0.45">
      <c r="A52">
        <v>59184</v>
      </c>
      <c r="B52" s="72">
        <v>35865</v>
      </c>
      <c r="C52">
        <v>46.875</v>
      </c>
      <c r="D52">
        <v>23.4375</v>
      </c>
    </row>
    <row r="53" spans="1:4" x14ac:dyDescent="0.45">
      <c r="A53">
        <v>59184</v>
      </c>
      <c r="B53" s="72">
        <v>35866</v>
      </c>
      <c r="C53">
        <v>46.875</v>
      </c>
      <c r="D53">
        <v>23.4375</v>
      </c>
    </row>
    <row r="54" spans="1:4" x14ac:dyDescent="0.45">
      <c r="A54">
        <v>59184</v>
      </c>
      <c r="B54" s="72">
        <v>35867</v>
      </c>
      <c r="C54">
        <v>47.0625</v>
      </c>
      <c r="D54">
        <v>23.53125</v>
      </c>
    </row>
    <row r="55" spans="1:4" x14ac:dyDescent="0.45">
      <c r="A55">
        <v>59184</v>
      </c>
      <c r="B55" s="72">
        <v>35870</v>
      </c>
      <c r="C55">
        <v>46.9375</v>
      </c>
      <c r="D55">
        <v>23.46875</v>
      </c>
    </row>
    <row r="56" spans="1:4" x14ac:dyDescent="0.45">
      <c r="A56">
        <v>59184</v>
      </c>
      <c r="B56" s="72">
        <v>35871</v>
      </c>
      <c r="C56">
        <v>46.875</v>
      </c>
      <c r="D56">
        <v>23.4375</v>
      </c>
    </row>
    <row r="57" spans="1:4" x14ac:dyDescent="0.45">
      <c r="A57">
        <v>59184</v>
      </c>
      <c r="B57" s="72">
        <v>35872</v>
      </c>
      <c r="C57">
        <v>46.6875</v>
      </c>
      <c r="D57">
        <v>23.34375</v>
      </c>
    </row>
    <row r="58" spans="1:4" x14ac:dyDescent="0.45">
      <c r="A58">
        <v>59184</v>
      </c>
      <c r="B58" s="72">
        <v>35873</v>
      </c>
      <c r="C58">
        <v>46.8125</v>
      </c>
      <c r="D58">
        <v>23.40625</v>
      </c>
    </row>
    <row r="59" spans="1:4" x14ac:dyDescent="0.45">
      <c r="A59">
        <v>59184</v>
      </c>
      <c r="B59" s="72">
        <v>35874</v>
      </c>
      <c r="C59">
        <v>47.5</v>
      </c>
      <c r="D59">
        <v>23.75</v>
      </c>
    </row>
    <row r="60" spans="1:4" x14ac:dyDescent="0.45">
      <c r="A60">
        <v>59184</v>
      </c>
      <c r="B60" s="72">
        <v>35877</v>
      </c>
      <c r="C60">
        <v>47.25</v>
      </c>
      <c r="D60">
        <v>23.625</v>
      </c>
    </row>
    <row r="61" spans="1:4" x14ac:dyDescent="0.45">
      <c r="A61">
        <v>59184</v>
      </c>
      <c r="B61" s="72">
        <v>35878</v>
      </c>
      <c r="C61">
        <v>47</v>
      </c>
      <c r="D61">
        <v>23.5</v>
      </c>
    </row>
    <row r="62" spans="1:4" x14ac:dyDescent="0.45">
      <c r="A62">
        <v>59184</v>
      </c>
      <c r="B62" s="72">
        <v>35879</v>
      </c>
      <c r="C62">
        <v>46.5</v>
      </c>
      <c r="D62">
        <v>23.25</v>
      </c>
    </row>
    <row r="63" spans="1:4" x14ac:dyDescent="0.45">
      <c r="A63">
        <v>59184</v>
      </c>
      <c r="B63" s="72">
        <v>35880</v>
      </c>
      <c r="C63">
        <v>46.5625</v>
      </c>
      <c r="D63">
        <v>23.28125</v>
      </c>
    </row>
    <row r="64" spans="1:4" x14ac:dyDescent="0.45">
      <c r="A64">
        <v>59184</v>
      </c>
      <c r="B64" s="72">
        <v>35881</v>
      </c>
      <c r="C64">
        <v>46.5625</v>
      </c>
      <c r="D64">
        <v>23.28125</v>
      </c>
    </row>
    <row r="65" spans="1:4" x14ac:dyDescent="0.45">
      <c r="A65">
        <v>59184</v>
      </c>
      <c r="B65" s="72">
        <v>35884</v>
      </c>
      <c r="C65">
        <v>46.4375</v>
      </c>
      <c r="D65">
        <v>23.21875</v>
      </c>
    </row>
    <row r="66" spans="1:4" x14ac:dyDescent="0.45">
      <c r="A66">
        <v>59184</v>
      </c>
      <c r="B66" s="72">
        <v>35885</v>
      </c>
      <c r="C66">
        <v>46.25</v>
      </c>
      <c r="D66">
        <v>23.125</v>
      </c>
    </row>
    <row r="67" spans="1:4" x14ac:dyDescent="0.45">
      <c r="A67">
        <v>59184</v>
      </c>
      <c r="B67" s="72">
        <v>35886</v>
      </c>
      <c r="C67">
        <v>47.125</v>
      </c>
      <c r="D67">
        <v>23.5625</v>
      </c>
    </row>
    <row r="68" spans="1:4" x14ac:dyDescent="0.45">
      <c r="A68">
        <v>59184</v>
      </c>
      <c r="B68" s="72">
        <v>35887</v>
      </c>
      <c r="C68">
        <v>48.9375</v>
      </c>
      <c r="D68">
        <v>24.46875</v>
      </c>
    </row>
    <row r="69" spans="1:4" x14ac:dyDescent="0.45">
      <c r="A69">
        <v>59184</v>
      </c>
      <c r="B69" s="72">
        <v>35888</v>
      </c>
      <c r="C69">
        <v>49.25</v>
      </c>
      <c r="D69">
        <v>24.625</v>
      </c>
    </row>
    <row r="70" spans="1:4" x14ac:dyDescent="0.45">
      <c r="A70">
        <v>59184</v>
      </c>
      <c r="B70" s="72">
        <v>35891</v>
      </c>
      <c r="C70">
        <v>49.0625</v>
      </c>
      <c r="D70">
        <v>24.53125</v>
      </c>
    </row>
    <row r="71" spans="1:4" x14ac:dyDescent="0.45">
      <c r="A71">
        <v>59184</v>
      </c>
      <c r="B71" s="72">
        <v>35892</v>
      </c>
      <c r="C71">
        <v>48.625</v>
      </c>
      <c r="D71">
        <v>24.3125</v>
      </c>
    </row>
    <row r="72" spans="1:4" x14ac:dyDescent="0.45">
      <c r="A72">
        <v>59184</v>
      </c>
      <c r="B72" s="72">
        <v>35893</v>
      </c>
      <c r="C72">
        <v>47.5625</v>
      </c>
      <c r="D72">
        <v>23.78125</v>
      </c>
    </row>
    <row r="73" spans="1:4" x14ac:dyDescent="0.45">
      <c r="A73">
        <v>59184</v>
      </c>
      <c r="B73" s="72">
        <v>35894</v>
      </c>
      <c r="C73">
        <v>48.125</v>
      </c>
      <c r="D73">
        <v>24.0625</v>
      </c>
    </row>
    <row r="74" spans="1:4" x14ac:dyDescent="0.45">
      <c r="A74">
        <v>59184</v>
      </c>
      <c r="B74" s="72">
        <v>35898</v>
      </c>
      <c r="C74">
        <v>48</v>
      </c>
      <c r="D74">
        <v>24</v>
      </c>
    </row>
    <row r="75" spans="1:4" x14ac:dyDescent="0.45">
      <c r="A75">
        <v>59184</v>
      </c>
      <c r="B75" s="72">
        <v>35899</v>
      </c>
      <c r="C75">
        <v>48.125</v>
      </c>
      <c r="D75">
        <v>24.0625</v>
      </c>
    </row>
    <row r="76" spans="1:4" x14ac:dyDescent="0.45">
      <c r="A76">
        <v>59184</v>
      </c>
      <c r="B76" s="72">
        <v>35900</v>
      </c>
      <c r="C76">
        <v>47.875</v>
      </c>
      <c r="D76">
        <v>23.9375</v>
      </c>
    </row>
    <row r="77" spans="1:4" x14ac:dyDescent="0.45">
      <c r="A77">
        <v>59184</v>
      </c>
      <c r="B77" s="72">
        <v>35901</v>
      </c>
      <c r="C77">
        <v>47.8125</v>
      </c>
      <c r="D77">
        <v>23.90625</v>
      </c>
    </row>
    <row r="78" spans="1:4" x14ac:dyDescent="0.45">
      <c r="A78">
        <v>59184</v>
      </c>
      <c r="B78" s="72">
        <v>35902</v>
      </c>
      <c r="C78">
        <v>48.4375</v>
      </c>
      <c r="D78">
        <v>24.21875</v>
      </c>
    </row>
    <row r="79" spans="1:4" x14ac:dyDescent="0.45">
      <c r="A79">
        <v>59184</v>
      </c>
      <c r="B79" s="72">
        <v>35905</v>
      </c>
      <c r="C79">
        <v>48.1875</v>
      </c>
      <c r="D79">
        <v>24.09375</v>
      </c>
    </row>
    <row r="80" spans="1:4" x14ac:dyDescent="0.45">
      <c r="A80">
        <v>59184</v>
      </c>
      <c r="B80" s="72">
        <v>35906</v>
      </c>
      <c r="C80">
        <v>47.3125</v>
      </c>
      <c r="D80">
        <v>23.65625</v>
      </c>
    </row>
    <row r="81" spans="1:4" x14ac:dyDescent="0.45">
      <c r="A81">
        <v>59184</v>
      </c>
      <c r="B81" s="72">
        <v>35907</v>
      </c>
      <c r="C81">
        <v>47.25</v>
      </c>
      <c r="D81">
        <v>23.625</v>
      </c>
    </row>
    <row r="82" spans="1:4" x14ac:dyDescent="0.45">
      <c r="A82">
        <v>59184</v>
      </c>
      <c r="B82" s="72">
        <v>35908</v>
      </c>
      <c r="C82">
        <v>46.75</v>
      </c>
      <c r="D82">
        <v>23.375</v>
      </c>
    </row>
    <row r="83" spans="1:4" x14ac:dyDescent="0.45">
      <c r="A83">
        <v>59184</v>
      </c>
      <c r="B83" s="72">
        <v>35909</v>
      </c>
      <c r="C83">
        <v>46.3125</v>
      </c>
      <c r="D83">
        <v>23.15625</v>
      </c>
    </row>
    <row r="84" spans="1:4" x14ac:dyDescent="0.45">
      <c r="A84">
        <v>59184</v>
      </c>
      <c r="B84" s="72">
        <v>35912</v>
      </c>
      <c r="C84">
        <v>46.3125</v>
      </c>
      <c r="D84">
        <v>23.15625</v>
      </c>
    </row>
    <row r="85" spans="1:4" x14ac:dyDescent="0.45">
      <c r="A85">
        <v>59184</v>
      </c>
      <c r="B85" s="72">
        <v>35913</v>
      </c>
      <c r="C85">
        <v>45.9375</v>
      </c>
      <c r="D85">
        <v>22.96875</v>
      </c>
    </row>
    <row r="86" spans="1:4" x14ac:dyDescent="0.45">
      <c r="A86">
        <v>59184</v>
      </c>
      <c r="B86" s="72">
        <v>35914</v>
      </c>
      <c r="C86">
        <v>45.625</v>
      </c>
      <c r="D86">
        <v>22.8125</v>
      </c>
    </row>
    <row r="87" spans="1:4" x14ac:dyDescent="0.45">
      <c r="A87">
        <v>59184</v>
      </c>
      <c r="B87" s="72">
        <v>35915</v>
      </c>
      <c r="C87">
        <v>45.8125</v>
      </c>
      <c r="D87">
        <v>22.90625</v>
      </c>
    </row>
    <row r="88" spans="1:4" x14ac:dyDescent="0.45">
      <c r="A88">
        <v>59184</v>
      </c>
      <c r="B88" s="72">
        <v>35916</v>
      </c>
      <c r="C88">
        <v>46.875</v>
      </c>
      <c r="D88">
        <v>23.4375</v>
      </c>
    </row>
    <row r="89" spans="1:4" x14ac:dyDescent="0.45">
      <c r="A89">
        <v>59184</v>
      </c>
      <c r="B89" s="72">
        <v>35919</v>
      </c>
      <c r="C89">
        <v>47.1875</v>
      </c>
      <c r="D89">
        <v>23.59375</v>
      </c>
    </row>
    <row r="90" spans="1:4" x14ac:dyDescent="0.45">
      <c r="A90">
        <v>59184</v>
      </c>
      <c r="B90" s="72">
        <v>35920</v>
      </c>
      <c r="C90">
        <v>46.1875</v>
      </c>
      <c r="D90">
        <v>23.09375</v>
      </c>
    </row>
    <row r="91" spans="1:4" x14ac:dyDescent="0.45">
      <c r="A91">
        <v>59184</v>
      </c>
      <c r="B91" s="72">
        <v>35921</v>
      </c>
      <c r="C91">
        <v>45.5</v>
      </c>
      <c r="D91">
        <v>22.75</v>
      </c>
    </row>
    <row r="92" spans="1:4" x14ac:dyDescent="0.45">
      <c r="A92">
        <v>59184</v>
      </c>
      <c r="B92" s="72">
        <v>35922</v>
      </c>
      <c r="C92">
        <v>45.4375</v>
      </c>
      <c r="D92">
        <v>22.71875</v>
      </c>
    </row>
    <row r="93" spans="1:4" x14ac:dyDescent="0.45">
      <c r="A93">
        <v>59184</v>
      </c>
      <c r="B93" s="72">
        <v>35923</v>
      </c>
      <c r="C93">
        <v>46.1875</v>
      </c>
      <c r="D93">
        <v>23.09375</v>
      </c>
    </row>
    <row r="94" spans="1:4" x14ac:dyDescent="0.45">
      <c r="A94">
        <v>59184</v>
      </c>
      <c r="B94" s="72">
        <v>35926</v>
      </c>
      <c r="C94">
        <v>46.9375</v>
      </c>
      <c r="D94">
        <v>23.46875</v>
      </c>
    </row>
    <row r="95" spans="1:4" x14ac:dyDescent="0.45">
      <c r="A95">
        <v>59184</v>
      </c>
      <c r="B95" s="72">
        <v>35927</v>
      </c>
      <c r="C95">
        <v>47.1875</v>
      </c>
      <c r="D95">
        <v>23.59375</v>
      </c>
    </row>
    <row r="96" spans="1:4" x14ac:dyDescent="0.45">
      <c r="A96">
        <v>59184</v>
      </c>
      <c r="B96" s="72">
        <v>35928</v>
      </c>
      <c r="C96">
        <v>46.9375</v>
      </c>
      <c r="D96">
        <v>23.46875</v>
      </c>
    </row>
    <row r="97" spans="1:4" x14ac:dyDescent="0.45">
      <c r="A97">
        <v>59184</v>
      </c>
      <c r="B97" s="72">
        <v>35929</v>
      </c>
      <c r="C97">
        <v>47.125</v>
      </c>
      <c r="D97">
        <v>23.5625</v>
      </c>
    </row>
    <row r="98" spans="1:4" x14ac:dyDescent="0.45">
      <c r="A98">
        <v>59184</v>
      </c>
      <c r="B98" s="72">
        <v>35930</v>
      </c>
      <c r="C98">
        <v>46.5625</v>
      </c>
      <c r="D98">
        <v>23.28125</v>
      </c>
    </row>
    <row r="99" spans="1:4" x14ac:dyDescent="0.45">
      <c r="A99">
        <v>59184</v>
      </c>
      <c r="B99" s="72">
        <v>35933</v>
      </c>
      <c r="C99">
        <v>46.5625</v>
      </c>
      <c r="D99">
        <v>23.28125</v>
      </c>
    </row>
    <row r="100" spans="1:4" x14ac:dyDescent="0.45">
      <c r="A100">
        <v>59184</v>
      </c>
      <c r="B100" s="72">
        <v>35934</v>
      </c>
      <c r="C100">
        <v>46.9375</v>
      </c>
      <c r="D100">
        <v>23.46875</v>
      </c>
    </row>
    <row r="101" spans="1:4" x14ac:dyDescent="0.45">
      <c r="A101">
        <v>59184</v>
      </c>
      <c r="B101" s="72">
        <v>35935</v>
      </c>
      <c r="C101">
        <v>46.75</v>
      </c>
      <c r="D101">
        <v>23.375</v>
      </c>
    </row>
    <row r="102" spans="1:4" x14ac:dyDescent="0.45">
      <c r="A102">
        <v>59184</v>
      </c>
      <c r="B102" s="72">
        <v>35936</v>
      </c>
      <c r="C102">
        <v>46.4375</v>
      </c>
      <c r="D102">
        <v>23.21875</v>
      </c>
    </row>
    <row r="103" spans="1:4" x14ac:dyDescent="0.45">
      <c r="A103">
        <v>59184</v>
      </c>
      <c r="B103" s="72">
        <v>35937</v>
      </c>
      <c r="C103">
        <v>46.125</v>
      </c>
      <c r="D103">
        <v>23.0625</v>
      </c>
    </row>
    <row r="104" spans="1:4" x14ac:dyDescent="0.45">
      <c r="A104">
        <v>59184</v>
      </c>
      <c r="B104" s="72">
        <v>35941</v>
      </c>
      <c r="C104">
        <v>46.0625</v>
      </c>
      <c r="D104">
        <v>23.03125</v>
      </c>
    </row>
    <row r="105" spans="1:4" x14ac:dyDescent="0.45">
      <c r="A105">
        <v>59184</v>
      </c>
      <c r="B105" s="72">
        <v>35942</v>
      </c>
      <c r="C105">
        <v>46.1875</v>
      </c>
      <c r="D105">
        <v>23.09375</v>
      </c>
    </row>
    <row r="106" spans="1:4" x14ac:dyDescent="0.45">
      <c r="A106">
        <v>59184</v>
      </c>
      <c r="B106" s="72">
        <v>35943</v>
      </c>
      <c r="C106">
        <v>46.125</v>
      </c>
      <c r="D106">
        <v>23.0625</v>
      </c>
    </row>
    <row r="107" spans="1:4" x14ac:dyDescent="0.45">
      <c r="A107">
        <v>59184</v>
      </c>
      <c r="B107" s="72">
        <v>35944</v>
      </c>
      <c r="C107">
        <v>45.9375</v>
      </c>
      <c r="D107">
        <v>22.96875</v>
      </c>
    </row>
    <row r="108" spans="1:4" x14ac:dyDescent="0.45">
      <c r="A108">
        <v>59184</v>
      </c>
      <c r="B108" s="72">
        <v>35947</v>
      </c>
      <c r="C108">
        <v>46.8125</v>
      </c>
      <c r="D108">
        <v>23.40625</v>
      </c>
    </row>
    <row r="109" spans="1:4" x14ac:dyDescent="0.45">
      <c r="A109">
        <v>59184</v>
      </c>
      <c r="B109" s="72">
        <v>35948</v>
      </c>
      <c r="C109">
        <v>46.875</v>
      </c>
      <c r="D109">
        <v>23.4375</v>
      </c>
    </row>
    <row r="110" spans="1:4" x14ac:dyDescent="0.45">
      <c r="A110">
        <v>59184</v>
      </c>
      <c r="B110" s="72">
        <v>35949</v>
      </c>
      <c r="C110">
        <v>46.625</v>
      </c>
      <c r="D110">
        <v>23.3125</v>
      </c>
    </row>
    <row r="111" spans="1:4" x14ac:dyDescent="0.45">
      <c r="A111">
        <v>59184</v>
      </c>
      <c r="B111" s="72">
        <v>35950</v>
      </c>
      <c r="C111">
        <v>46.5</v>
      </c>
      <c r="D111">
        <v>23.25</v>
      </c>
    </row>
    <row r="112" spans="1:4" x14ac:dyDescent="0.45">
      <c r="A112">
        <v>59184</v>
      </c>
      <c r="B112" s="72">
        <v>35951</v>
      </c>
      <c r="C112">
        <v>47.625</v>
      </c>
      <c r="D112">
        <v>23.8125</v>
      </c>
    </row>
    <row r="113" spans="1:4" x14ac:dyDescent="0.45">
      <c r="A113">
        <v>59184</v>
      </c>
      <c r="B113" s="72">
        <v>35954</v>
      </c>
      <c r="C113">
        <v>47.6875</v>
      </c>
      <c r="D113">
        <v>23.84375</v>
      </c>
    </row>
    <row r="114" spans="1:4" x14ac:dyDescent="0.45">
      <c r="A114">
        <v>59184</v>
      </c>
      <c r="B114" s="72">
        <v>35955</v>
      </c>
      <c r="C114">
        <v>47.75</v>
      </c>
      <c r="D114">
        <v>23.875</v>
      </c>
    </row>
    <row r="115" spans="1:4" x14ac:dyDescent="0.45">
      <c r="A115">
        <v>59184</v>
      </c>
      <c r="B115" s="72">
        <v>35956</v>
      </c>
      <c r="C115">
        <v>47.9375</v>
      </c>
      <c r="D115">
        <v>23.96875</v>
      </c>
    </row>
    <row r="116" spans="1:4" x14ac:dyDescent="0.45">
      <c r="A116">
        <v>59184</v>
      </c>
      <c r="B116" s="72">
        <v>35957</v>
      </c>
      <c r="C116">
        <v>47.5625</v>
      </c>
      <c r="D116">
        <v>23.78125</v>
      </c>
    </row>
    <row r="117" spans="1:4" x14ac:dyDescent="0.45">
      <c r="A117">
        <v>59184</v>
      </c>
      <c r="B117" s="72">
        <v>35958</v>
      </c>
      <c r="C117">
        <v>47.5625</v>
      </c>
      <c r="D117">
        <v>23.78125</v>
      </c>
    </row>
    <row r="118" spans="1:4" x14ac:dyDescent="0.45">
      <c r="A118">
        <v>59184</v>
      </c>
      <c r="B118" s="72">
        <v>35961</v>
      </c>
      <c r="C118">
        <v>47.5</v>
      </c>
      <c r="D118">
        <v>23.75</v>
      </c>
    </row>
    <row r="119" spans="1:4" x14ac:dyDescent="0.45">
      <c r="A119">
        <v>59184</v>
      </c>
      <c r="B119" s="72">
        <v>35962</v>
      </c>
      <c r="C119">
        <v>47.5</v>
      </c>
      <c r="D119">
        <v>23.75</v>
      </c>
    </row>
    <row r="120" spans="1:4" x14ac:dyDescent="0.45">
      <c r="A120">
        <v>59184</v>
      </c>
      <c r="B120" s="72">
        <v>35963</v>
      </c>
      <c r="C120">
        <v>47.5</v>
      </c>
      <c r="D120">
        <v>23.75</v>
      </c>
    </row>
    <row r="121" spans="1:4" x14ac:dyDescent="0.45">
      <c r="A121">
        <v>59184</v>
      </c>
      <c r="B121" s="72">
        <v>35964</v>
      </c>
      <c r="C121">
        <v>47.5</v>
      </c>
      <c r="D121">
        <v>23.75</v>
      </c>
    </row>
    <row r="122" spans="1:4" x14ac:dyDescent="0.45">
      <c r="A122">
        <v>59184</v>
      </c>
      <c r="B122" s="72">
        <v>35965</v>
      </c>
      <c r="C122">
        <v>47.3125</v>
      </c>
      <c r="D122">
        <v>23.65625</v>
      </c>
    </row>
    <row r="123" spans="1:4" x14ac:dyDescent="0.45">
      <c r="A123">
        <v>59184</v>
      </c>
      <c r="B123" s="72">
        <v>35968</v>
      </c>
      <c r="C123">
        <v>47.75</v>
      </c>
      <c r="D123">
        <v>23.875</v>
      </c>
    </row>
    <row r="124" spans="1:4" x14ac:dyDescent="0.45">
      <c r="A124">
        <v>59184</v>
      </c>
      <c r="B124" s="72">
        <v>35969</v>
      </c>
      <c r="C124">
        <v>48.625</v>
      </c>
      <c r="D124">
        <v>24.3125</v>
      </c>
    </row>
    <row r="125" spans="1:4" x14ac:dyDescent="0.45">
      <c r="A125">
        <v>59184</v>
      </c>
      <c r="B125" s="72">
        <v>35970</v>
      </c>
      <c r="C125">
        <v>47.25</v>
      </c>
      <c r="D125">
        <v>23.625</v>
      </c>
    </row>
    <row r="126" spans="1:4" x14ac:dyDescent="0.45">
      <c r="A126">
        <v>59184</v>
      </c>
      <c r="B126" s="72">
        <v>35971</v>
      </c>
      <c r="C126">
        <v>46.6875</v>
      </c>
      <c r="D126">
        <v>23.34375</v>
      </c>
    </row>
    <row r="127" spans="1:4" x14ac:dyDescent="0.45">
      <c r="A127">
        <v>59184</v>
      </c>
      <c r="B127" s="72">
        <v>35972</v>
      </c>
      <c r="C127">
        <v>47.625</v>
      </c>
      <c r="D127">
        <v>23.8125</v>
      </c>
    </row>
    <row r="128" spans="1:4" x14ac:dyDescent="0.45">
      <c r="A128">
        <v>59184</v>
      </c>
      <c r="B128" s="72">
        <v>35975</v>
      </c>
      <c r="C128">
        <v>47.4375</v>
      </c>
      <c r="D128">
        <v>23.71875</v>
      </c>
    </row>
    <row r="129" spans="1:4" x14ac:dyDescent="0.45">
      <c r="A129">
        <v>59184</v>
      </c>
      <c r="B129" s="72">
        <v>35976</v>
      </c>
      <c r="C129">
        <v>47.1875</v>
      </c>
      <c r="D129">
        <v>23.59375</v>
      </c>
    </row>
    <row r="130" spans="1:4" x14ac:dyDescent="0.45">
      <c r="A130">
        <v>59184</v>
      </c>
      <c r="B130" s="72">
        <v>35977</v>
      </c>
      <c r="C130">
        <v>48</v>
      </c>
      <c r="D130">
        <v>24</v>
      </c>
    </row>
    <row r="131" spans="1:4" x14ac:dyDescent="0.45">
      <c r="A131">
        <v>59184</v>
      </c>
      <c r="B131" s="72">
        <v>35978</v>
      </c>
      <c r="C131">
        <v>48.0625</v>
      </c>
      <c r="D131">
        <v>24.03125</v>
      </c>
    </row>
    <row r="132" spans="1:4" x14ac:dyDescent="0.45">
      <c r="A132">
        <v>59184</v>
      </c>
      <c r="B132" s="72">
        <v>35982</v>
      </c>
      <c r="C132">
        <v>48.3125</v>
      </c>
      <c r="D132">
        <v>24.15625</v>
      </c>
    </row>
    <row r="133" spans="1:4" x14ac:dyDescent="0.45">
      <c r="A133">
        <v>59184</v>
      </c>
      <c r="B133" s="72">
        <v>35983</v>
      </c>
      <c r="C133">
        <v>48.0625</v>
      </c>
      <c r="D133">
        <v>24.03125</v>
      </c>
    </row>
    <row r="134" spans="1:4" x14ac:dyDescent="0.45">
      <c r="A134">
        <v>59184</v>
      </c>
      <c r="B134" s="72">
        <v>35984</v>
      </c>
      <c r="C134">
        <v>48</v>
      </c>
      <c r="D134">
        <v>24</v>
      </c>
    </row>
    <row r="135" spans="1:4" x14ac:dyDescent="0.45">
      <c r="A135">
        <v>59184</v>
      </c>
      <c r="B135" s="72">
        <v>35985</v>
      </c>
      <c r="C135">
        <v>47.9375</v>
      </c>
      <c r="D135">
        <v>23.96875</v>
      </c>
    </row>
    <row r="136" spans="1:4" x14ac:dyDescent="0.45">
      <c r="A136">
        <v>59184</v>
      </c>
      <c r="B136" s="72">
        <v>35986</v>
      </c>
      <c r="C136">
        <v>48</v>
      </c>
      <c r="D136">
        <v>24</v>
      </c>
    </row>
    <row r="137" spans="1:4" x14ac:dyDescent="0.45">
      <c r="A137">
        <v>59184</v>
      </c>
      <c r="B137" s="72">
        <v>35989</v>
      </c>
      <c r="C137">
        <v>48.125</v>
      </c>
      <c r="D137">
        <v>24.0625</v>
      </c>
    </row>
    <row r="138" spans="1:4" x14ac:dyDescent="0.45">
      <c r="A138">
        <v>59184</v>
      </c>
      <c r="B138" s="72">
        <v>35990</v>
      </c>
      <c r="C138">
        <v>48.625</v>
      </c>
      <c r="D138">
        <v>24.3125</v>
      </c>
    </row>
    <row r="139" spans="1:4" x14ac:dyDescent="0.45">
      <c r="A139">
        <v>59184</v>
      </c>
      <c r="B139" s="72">
        <v>35991</v>
      </c>
      <c r="C139">
        <v>48.875</v>
      </c>
      <c r="D139">
        <v>24.4375</v>
      </c>
    </row>
    <row r="140" spans="1:4" x14ac:dyDescent="0.45">
      <c r="A140">
        <v>59184</v>
      </c>
      <c r="B140" s="72">
        <v>35992</v>
      </c>
      <c r="C140">
        <v>50.8125</v>
      </c>
      <c r="D140">
        <v>25.40625</v>
      </c>
    </row>
    <row r="141" spans="1:4" x14ac:dyDescent="0.45">
      <c r="A141">
        <v>59184</v>
      </c>
      <c r="B141" s="72">
        <v>35993</v>
      </c>
      <c r="C141">
        <v>50.875</v>
      </c>
      <c r="D141">
        <v>25.4375</v>
      </c>
    </row>
    <row r="142" spans="1:4" x14ac:dyDescent="0.45">
      <c r="A142">
        <v>59184</v>
      </c>
      <c r="B142" s="72">
        <v>35996</v>
      </c>
      <c r="C142">
        <v>49.9375</v>
      </c>
      <c r="D142">
        <v>24.96875</v>
      </c>
    </row>
    <row r="143" spans="1:4" x14ac:dyDescent="0.45">
      <c r="A143">
        <v>59184</v>
      </c>
      <c r="B143" s="72">
        <v>35997</v>
      </c>
      <c r="C143">
        <v>49.6875</v>
      </c>
      <c r="D143">
        <v>24.84375</v>
      </c>
    </row>
    <row r="144" spans="1:4" x14ac:dyDescent="0.45">
      <c r="A144">
        <v>59184</v>
      </c>
      <c r="B144" s="72">
        <v>35998</v>
      </c>
      <c r="C144">
        <v>50.75</v>
      </c>
      <c r="D144">
        <v>25.375</v>
      </c>
    </row>
    <row r="145" spans="1:4" x14ac:dyDescent="0.45">
      <c r="A145">
        <v>59184</v>
      </c>
      <c r="B145" s="72">
        <v>35999</v>
      </c>
      <c r="C145">
        <v>52.375</v>
      </c>
      <c r="D145">
        <v>26.1875</v>
      </c>
    </row>
    <row r="146" spans="1:4" x14ac:dyDescent="0.45">
      <c r="A146">
        <v>59184</v>
      </c>
      <c r="B146" s="72">
        <v>36000</v>
      </c>
      <c r="C146">
        <v>53.125</v>
      </c>
      <c r="D146">
        <v>26.5625</v>
      </c>
    </row>
    <row r="147" spans="1:4" x14ac:dyDescent="0.45">
      <c r="A147">
        <v>59184</v>
      </c>
      <c r="B147" s="72">
        <v>36003</v>
      </c>
      <c r="C147">
        <v>52</v>
      </c>
      <c r="D147">
        <v>26</v>
      </c>
    </row>
    <row r="148" spans="1:4" x14ac:dyDescent="0.45">
      <c r="A148">
        <v>59184</v>
      </c>
      <c r="B148" s="72">
        <v>36004</v>
      </c>
      <c r="C148">
        <v>50.9375</v>
      </c>
      <c r="D148">
        <v>25.46875</v>
      </c>
    </row>
    <row r="149" spans="1:4" x14ac:dyDescent="0.45">
      <c r="A149">
        <v>59184</v>
      </c>
      <c r="B149" s="72">
        <v>36005</v>
      </c>
      <c r="C149">
        <v>50.125</v>
      </c>
      <c r="D149">
        <v>25.0625</v>
      </c>
    </row>
    <row r="150" spans="1:4" x14ac:dyDescent="0.45">
      <c r="A150">
        <v>59184</v>
      </c>
      <c r="B150" s="72">
        <v>36006</v>
      </c>
      <c r="C150">
        <v>50.625</v>
      </c>
      <c r="D150">
        <v>25.3125</v>
      </c>
    </row>
    <row r="151" spans="1:4" x14ac:dyDescent="0.45">
      <c r="A151">
        <v>59184</v>
      </c>
      <c r="B151" s="72">
        <v>36007</v>
      </c>
      <c r="C151">
        <v>51.8125</v>
      </c>
      <c r="D151">
        <v>25.90625</v>
      </c>
    </row>
    <row r="152" spans="1:4" x14ac:dyDescent="0.45">
      <c r="A152">
        <v>59184</v>
      </c>
      <c r="B152" s="72">
        <v>36010</v>
      </c>
      <c r="C152">
        <v>51.6875</v>
      </c>
      <c r="D152">
        <v>25.84375</v>
      </c>
    </row>
    <row r="153" spans="1:4" x14ac:dyDescent="0.45">
      <c r="A153">
        <v>59184</v>
      </c>
      <c r="B153" s="72">
        <v>36011</v>
      </c>
      <c r="C153">
        <v>51.6875</v>
      </c>
      <c r="D153">
        <v>25.84375</v>
      </c>
    </row>
    <row r="154" spans="1:4" x14ac:dyDescent="0.45">
      <c r="A154">
        <v>59184</v>
      </c>
      <c r="B154" s="72">
        <v>36012</v>
      </c>
      <c r="C154">
        <v>50.875</v>
      </c>
      <c r="D154">
        <v>25.4375</v>
      </c>
    </row>
    <row r="155" spans="1:4" x14ac:dyDescent="0.45">
      <c r="A155">
        <v>59184</v>
      </c>
      <c r="B155" s="72">
        <v>36013</v>
      </c>
      <c r="C155">
        <v>50.75</v>
      </c>
      <c r="D155">
        <v>25.375</v>
      </c>
    </row>
    <row r="156" spans="1:4" x14ac:dyDescent="0.45">
      <c r="A156">
        <v>59184</v>
      </c>
      <c r="B156" s="72">
        <v>36014</v>
      </c>
      <c r="C156">
        <v>50.125</v>
      </c>
      <c r="D156">
        <v>25.0625</v>
      </c>
    </row>
    <row r="157" spans="1:4" x14ac:dyDescent="0.45">
      <c r="A157">
        <v>59184</v>
      </c>
      <c r="B157" s="72">
        <v>36017</v>
      </c>
      <c r="C157">
        <v>50.625</v>
      </c>
      <c r="D157">
        <v>25.3125</v>
      </c>
    </row>
    <row r="158" spans="1:4" x14ac:dyDescent="0.45">
      <c r="A158">
        <v>59184</v>
      </c>
      <c r="B158" s="72">
        <v>36018</v>
      </c>
      <c r="C158">
        <v>50.4375</v>
      </c>
      <c r="D158">
        <v>25.21875</v>
      </c>
    </row>
    <row r="159" spans="1:4" x14ac:dyDescent="0.45">
      <c r="A159">
        <v>59184</v>
      </c>
      <c r="B159" s="72">
        <v>36019</v>
      </c>
      <c r="C159">
        <v>50.875</v>
      </c>
      <c r="D159">
        <v>25.4375</v>
      </c>
    </row>
    <row r="160" spans="1:4" x14ac:dyDescent="0.45">
      <c r="A160">
        <v>59184</v>
      </c>
      <c r="B160" s="72">
        <v>36020</v>
      </c>
      <c r="C160">
        <v>50.375</v>
      </c>
      <c r="D160">
        <v>25.1875</v>
      </c>
    </row>
    <row r="161" spans="1:4" x14ac:dyDescent="0.45">
      <c r="A161">
        <v>59184</v>
      </c>
      <c r="B161" s="72">
        <v>36021</v>
      </c>
      <c r="C161">
        <v>50.3125</v>
      </c>
      <c r="D161">
        <v>25.15625</v>
      </c>
    </row>
    <row r="162" spans="1:4" x14ac:dyDescent="0.45">
      <c r="A162">
        <v>59184</v>
      </c>
      <c r="B162" s="72">
        <v>36024</v>
      </c>
      <c r="C162">
        <v>50.25</v>
      </c>
      <c r="D162">
        <v>25.125</v>
      </c>
    </row>
    <row r="163" spans="1:4" x14ac:dyDescent="0.45">
      <c r="A163">
        <v>59184</v>
      </c>
      <c r="B163" s="72">
        <v>36025</v>
      </c>
      <c r="C163">
        <v>50.625</v>
      </c>
      <c r="D163">
        <v>25.3125</v>
      </c>
    </row>
    <row r="164" spans="1:4" x14ac:dyDescent="0.45">
      <c r="A164">
        <v>59184</v>
      </c>
      <c r="B164" s="72">
        <v>36026</v>
      </c>
      <c r="C164">
        <v>50.5</v>
      </c>
      <c r="D164">
        <v>25.25</v>
      </c>
    </row>
    <row r="165" spans="1:4" x14ac:dyDescent="0.45">
      <c r="A165">
        <v>59184</v>
      </c>
      <c r="B165" s="72">
        <v>36027</v>
      </c>
      <c r="C165">
        <v>49.9375</v>
      </c>
      <c r="D165">
        <v>24.96875</v>
      </c>
    </row>
    <row r="166" spans="1:4" x14ac:dyDescent="0.45">
      <c r="A166">
        <v>59184</v>
      </c>
      <c r="B166" s="72">
        <v>36028</v>
      </c>
      <c r="C166">
        <v>49.6875</v>
      </c>
      <c r="D166">
        <v>24.84375</v>
      </c>
    </row>
    <row r="167" spans="1:4" x14ac:dyDescent="0.45">
      <c r="A167">
        <v>59184</v>
      </c>
      <c r="B167" s="72">
        <v>36031</v>
      </c>
      <c r="C167">
        <v>50.5</v>
      </c>
      <c r="D167">
        <v>25.25</v>
      </c>
    </row>
    <row r="168" spans="1:4" x14ac:dyDescent="0.45">
      <c r="A168">
        <v>59184</v>
      </c>
      <c r="B168" s="72">
        <v>36032</v>
      </c>
      <c r="C168">
        <v>50.125</v>
      </c>
      <c r="D168">
        <v>25.0625</v>
      </c>
    </row>
    <row r="169" spans="1:4" x14ac:dyDescent="0.45">
      <c r="A169">
        <v>59184</v>
      </c>
      <c r="B169" s="72">
        <v>36033</v>
      </c>
      <c r="C169">
        <v>49.1875</v>
      </c>
      <c r="D169">
        <v>24.59375</v>
      </c>
    </row>
    <row r="170" spans="1:4" x14ac:dyDescent="0.45">
      <c r="A170">
        <v>59184</v>
      </c>
      <c r="B170" s="72">
        <v>36034</v>
      </c>
      <c r="C170">
        <v>49.375</v>
      </c>
      <c r="D170">
        <v>24.6875</v>
      </c>
    </row>
    <row r="171" spans="1:4" x14ac:dyDescent="0.45">
      <c r="A171">
        <v>59184</v>
      </c>
      <c r="B171" s="72">
        <v>36035</v>
      </c>
      <c r="C171">
        <v>48.5</v>
      </c>
      <c r="D171">
        <v>24.25</v>
      </c>
    </row>
    <row r="172" spans="1:4" x14ac:dyDescent="0.45">
      <c r="A172">
        <v>59184</v>
      </c>
      <c r="B172" s="72">
        <v>36038</v>
      </c>
      <c r="C172">
        <v>46.75</v>
      </c>
      <c r="D172">
        <v>23.375</v>
      </c>
    </row>
    <row r="173" spans="1:4" x14ac:dyDescent="0.45">
      <c r="A173">
        <v>59184</v>
      </c>
      <c r="B173" s="72">
        <v>36039</v>
      </c>
      <c r="C173">
        <v>48.8125</v>
      </c>
      <c r="D173">
        <v>24.40625</v>
      </c>
    </row>
    <row r="174" spans="1:4" x14ac:dyDescent="0.45">
      <c r="A174">
        <v>59184</v>
      </c>
      <c r="B174" s="72">
        <v>36040</v>
      </c>
      <c r="C174">
        <v>48.75</v>
      </c>
      <c r="D174">
        <v>24.375</v>
      </c>
    </row>
    <row r="175" spans="1:4" x14ac:dyDescent="0.45">
      <c r="A175">
        <v>59184</v>
      </c>
      <c r="B175" s="72">
        <v>36041</v>
      </c>
      <c r="C175">
        <v>49.8125</v>
      </c>
      <c r="D175">
        <v>24.90625</v>
      </c>
    </row>
    <row r="176" spans="1:4" x14ac:dyDescent="0.45">
      <c r="A176">
        <v>59184</v>
      </c>
      <c r="B176" s="72">
        <v>36042</v>
      </c>
      <c r="C176">
        <v>51.1875</v>
      </c>
      <c r="D176">
        <v>25.59375</v>
      </c>
    </row>
    <row r="177" spans="1:4" x14ac:dyDescent="0.45">
      <c r="A177">
        <v>59184</v>
      </c>
      <c r="B177" s="72">
        <v>36046</v>
      </c>
      <c r="C177">
        <v>52.25</v>
      </c>
      <c r="D177">
        <v>26.125</v>
      </c>
    </row>
    <row r="178" spans="1:4" x14ac:dyDescent="0.45">
      <c r="A178">
        <v>59184</v>
      </c>
      <c r="B178" s="72">
        <v>36047</v>
      </c>
      <c r="C178">
        <v>52.625</v>
      </c>
      <c r="D178">
        <v>26.3125</v>
      </c>
    </row>
    <row r="179" spans="1:4" x14ac:dyDescent="0.45">
      <c r="A179">
        <v>59184</v>
      </c>
      <c r="B179" s="72">
        <v>36048</v>
      </c>
      <c r="C179">
        <v>52.5</v>
      </c>
      <c r="D179">
        <v>26.25</v>
      </c>
    </row>
    <row r="180" spans="1:4" x14ac:dyDescent="0.45">
      <c r="A180">
        <v>59184</v>
      </c>
      <c r="B180" s="72">
        <v>36049</v>
      </c>
      <c r="C180">
        <v>54.1875</v>
      </c>
      <c r="D180">
        <v>27.09375</v>
      </c>
    </row>
    <row r="181" spans="1:4" x14ac:dyDescent="0.45">
      <c r="A181">
        <v>59184</v>
      </c>
      <c r="B181" s="72">
        <v>36052</v>
      </c>
      <c r="C181">
        <v>56.1875</v>
      </c>
      <c r="D181">
        <v>28.09375</v>
      </c>
    </row>
    <row r="182" spans="1:4" x14ac:dyDescent="0.45">
      <c r="A182">
        <v>59184</v>
      </c>
      <c r="B182" s="72">
        <v>36053</v>
      </c>
      <c r="C182">
        <v>56.6875</v>
      </c>
      <c r="D182">
        <v>28.34375</v>
      </c>
    </row>
    <row r="183" spans="1:4" x14ac:dyDescent="0.45">
      <c r="A183">
        <v>59184</v>
      </c>
      <c r="B183" s="72">
        <v>36054</v>
      </c>
      <c r="C183">
        <v>56.25</v>
      </c>
      <c r="D183">
        <v>28.125</v>
      </c>
    </row>
    <row r="184" spans="1:4" x14ac:dyDescent="0.45">
      <c r="A184">
        <v>59184</v>
      </c>
      <c r="B184" s="72">
        <v>36055</v>
      </c>
      <c r="C184">
        <v>55.125</v>
      </c>
      <c r="D184">
        <v>27.5625</v>
      </c>
    </row>
    <row r="185" spans="1:4" x14ac:dyDescent="0.45">
      <c r="A185">
        <v>59184</v>
      </c>
      <c r="B185" s="72">
        <v>36056</v>
      </c>
      <c r="C185">
        <v>55.5625</v>
      </c>
      <c r="D185">
        <v>27.78125</v>
      </c>
    </row>
    <row r="186" spans="1:4" x14ac:dyDescent="0.45">
      <c r="A186">
        <v>59184</v>
      </c>
      <c r="B186" s="72">
        <v>36059</v>
      </c>
      <c r="C186">
        <v>57.25</v>
      </c>
      <c r="D186">
        <v>28.625</v>
      </c>
    </row>
    <row r="187" spans="1:4" x14ac:dyDescent="0.45">
      <c r="A187">
        <v>59184</v>
      </c>
      <c r="B187" s="72">
        <v>36060</v>
      </c>
      <c r="C187">
        <v>57.375</v>
      </c>
      <c r="D187">
        <v>28.6875</v>
      </c>
    </row>
    <row r="188" spans="1:4" x14ac:dyDescent="0.45">
      <c r="A188">
        <v>59184</v>
      </c>
      <c r="B188" s="72">
        <v>36061</v>
      </c>
      <c r="C188">
        <v>56.9375</v>
      </c>
      <c r="D188">
        <v>28.46875</v>
      </c>
    </row>
    <row r="189" spans="1:4" x14ac:dyDescent="0.45">
      <c r="A189">
        <v>59184</v>
      </c>
      <c r="B189" s="72">
        <v>36062</v>
      </c>
      <c r="C189">
        <v>54.5</v>
      </c>
      <c r="D189">
        <v>27.25</v>
      </c>
    </row>
    <row r="190" spans="1:4" x14ac:dyDescent="0.45">
      <c r="A190">
        <v>59184</v>
      </c>
      <c r="B190" s="72">
        <v>36063</v>
      </c>
      <c r="C190">
        <v>54.4375</v>
      </c>
      <c r="D190">
        <v>27.21875</v>
      </c>
    </row>
    <row r="191" spans="1:4" x14ac:dyDescent="0.45">
      <c r="A191">
        <v>59184</v>
      </c>
      <c r="B191" s="72">
        <v>36066</v>
      </c>
      <c r="C191">
        <v>54.625</v>
      </c>
      <c r="D191">
        <v>27.3125</v>
      </c>
    </row>
    <row r="192" spans="1:4" x14ac:dyDescent="0.45">
      <c r="A192">
        <v>59184</v>
      </c>
      <c r="B192" s="72">
        <v>36067</v>
      </c>
      <c r="C192">
        <v>54.0625</v>
      </c>
      <c r="D192">
        <v>27.03125</v>
      </c>
    </row>
    <row r="193" spans="1:4" x14ac:dyDescent="0.45">
      <c r="A193">
        <v>59184</v>
      </c>
      <c r="B193" s="72">
        <v>36068</v>
      </c>
      <c r="C193">
        <v>54</v>
      </c>
      <c r="D193">
        <v>27</v>
      </c>
    </row>
    <row r="194" spans="1:4" x14ac:dyDescent="0.45">
      <c r="A194">
        <v>59184</v>
      </c>
      <c r="B194" s="72">
        <v>36069</v>
      </c>
      <c r="C194">
        <v>52.5</v>
      </c>
      <c r="D194">
        <v>26.25</v>
      </c>
    </row>
    <row r="195" spans="1:4" x14ac:dyDescent="0.45">
      <c r="A195">
        <v>59184</v>
      </c>
      <c r="B195" s="72">
        <v>36070</v>
      </c>
      <c r="C195">
        <v>54.375</v>
      </c>
      <c r="D195">
        <v>27.1875</v>
      </c>
    </row>
    <row r="196" spans="1:4" x14ac:dyDescent="0.45">
      <c r="A196">
        <v>59184</v>
      </c>
      <c r="B196" s="72">
        <v>36073</v>
      </c>
      <c r="C196">
        <v>54.8125</v>
      </c>
      <c r="D196">
        <v>27.40625</v>
      </c>
    </row>
    <row r="197" spans="1:4" x14ac:dyDescent="0.45">
      <c r="A197">
        <v>59184</v>
      </c>
      <c r="B197" s="72">
        <v>36074</v>
      </c>
      <c r="C197">
        <v>56.8125</v>
      </c>
      <c r="D197">
        <v>28.40625</v>
      </c>
    </row>
    <row r="198" spans="1:4" x14ac:dyDescent="0.45">
      <c r="A198">
        <v>59184</v>
      </c>
      <c r="B198" s="72">
        <v>36075</v>
      </c>
      <c r="C198">
        <v>57.4375</v>
      </c>
      <c r="D198">
        <v>28.71875</v>
      </c>
    </row>
    <row r="199" spans="1:4" x14ac:dyDescent="0.45">
      <c r="A199">
        <v>59184</v>
      </c>
      <c r="B199" s="72">
        <v>36076</v>
      </c>
      <c r="C199">
        <v>55.875</v>
      </c>
      <c r="D199">
        <v>27.9375</v>
      </c>
    </row>
    <row r="200" spans="1:4" x14ac:dyDescent="0.45">
      <c r="A200">
        <v>59184</v>
      </c>
      <c r="B200" s="72">
        <v>36077</v>
      </c>
      <c r="C200">
        <v>56.75</v>
      </c>
      <c r="D200">
        <v>28.375</v>
      </c>
    </row>
    <row r="201" spans="1:4" x14ac:dyDescent="0.45">
      <c r="A201">
        <v>59184</v>
      </c>
      <c r="B201" s="72">
        <v>36080</v>
      </c>
      <c r="C201">
        <v>56.9375</v>
      </c>
      <c r="D201">
        <v>28.46875</v>
      </c>
    </row>
    <row r="202" spans="1:4" x14ac:dyDescent="0.45">
      <c r="A202">
        <v>59184</v>
      </c>
      <c r="B202" s="72">
        <v>36081</v>
      </c>
      <c r="C202">
        <v>57.8125</v>
      </c>
      <c r="D202">
        <v>28.90625</v>
      </c>
    </row>
    <row r="203" spans="1:4" x14ac:dyDescent="0.45">
      <c r="A203">
        <v>59184</v>
      </c>
      <c r="B203" s="72">
        <v>36082</v>
      </c>
      <c r="C203">
        <v>57.25</v>
      </c>
      <c r="D203">
        <v>28.625</v>
      </c>
    </row>
    <row r="204" spans="1:4" x14ac:dyDescent="0.45">
      <c r="A204">
        <v>59184</v>
      </c>
      <c r="B204" s="72">
        <v>36083</v>
      </c>
      <c r="C204">
        <v>56.9375</v>
      </c>
      <c r="D204">
        <v>28.46875</v>
      </c>
    </row>
    <row r="205" spans="1:4" x14ac:dyDescent="0.45">
      <c r="A205">
        <v>59184</v>
      </c>
      <c r="B205" s="72">
        <v>36084</v>
      </c>
      <c r="C205">
        <v>55.625</v>
      </c>
      <c r="D205">
        <v>27.8125</v>
      </c>
    </row>
    <row r="206" spans="1:4" x14ac:dyDescent="0.45">
      <c r="A206">
        <v>59184</v>
      </c>
      <c r="B206" s="72">
        <v>36087</v>
      </c>
      <c r="C206">
        <v>55.125</v>
      </c>
      <c r="D206">
        <v>27.5625</v>
      </c>
    </row>
    <row r="207" spans="1:4" x14ac:dyDescent="0.45">
      <c r="A207">
        <v>59184</v>
      </c>
      <c r="B207" s="72">
        <v>36088</v>
      </c>
      <c r="C207">
        <v>56.9375</v>
      </c>
      <c r="D207">
        <v>28.46875</v>
      </c>
    </row>
    <row r="208" spans="1:4" x14ac:dyDescent="0.45">
      <c r="A208">
        <v>59184</v>
      </c>
      <c r="B208" s="72">
        <v>36089</v>
      </c>
      <c r="C208">
        <v>59.25</v>
      </c>
      <c r="D208">
        <v>29.625</v>
      </c>
    </row>
    <row r="209" spans="1:4" x14ac:dyDescent="0.45">
      <c r="A209">
        <v>59184</v>
      </c>
      <c r="B209" s="72">
        <v>36090</v>
      </c>
      <c r="C209">
        <v>59.25</v>
      </c>
      <c r="D209">
        <v>29.625</v>
      </c>
    </row>
    <row r="210" spans="1:4" x14ac:dyDescent="0.45">
      <c r="A210">
        <v>59184</v>
      </c>
      <c r="B210" s="72">
        <v>36091</v>
      </c>
      <c r="C210">
        <v>57.6875</v>
      </c>
      <c r="D210">
        <v>28.84375</v>
      </c>
    </row>
    <row r="211" spans="1:4" x14ac:dyDescent="0.45">
      <c r="A211">
        <v>59184</v>
      </c>
      <c r="B211" s="72">
        <v>36094</v>
      </c>
      <c r="C211">
        <v>57.375</v>
      </c>
      <c r="D211">
        <v>28.6875</v>
      </c>
    </row>
    <row r="212" spans="1:4" x14ac:dyDescent="0.45">
      <c r="A212">
        <v>59184</v>
      </c>
      <c r="B212" s="72">
        <v>36095</v>
      </c>
      <c r="C212">
        <v>58.25</v>
      </c>
      <c r="D212">
        <v>29.125</v>
      </c>
    </row>
    <row r="213" spans="1:4" x14ac:dyDescent="0.45">
      <c r="A213">
        <v>59184</v>
      </c>
      <c r="B213" s="72">
        <v>36096</v>
      </c>
      <c r="C213">
        <v>58</v>
      </c>
      <c r="D213">
        <v>29</v>
      </c>
    </row>
    <row r="214" spans="1:4" x14ac:dyDescent="0.45">
      <c r="A214">
        <v>59184</v>
      </c>
      <c r="B214" s="72">
        <v>36097</v>
      </c>
      <c r="C214">
        <v>57.5</v>
      </c>
      <c r="D214">
        <v>28.75</v>
      </c>
    </row>
    <row r="215" spans="1:4" x14ac:dyDescent="0.45">
      <c r="A215">
        <v>59184</v>
      </c>
      <c r="B215" s="72">
        <v>36098</v>
      </c>
      <c r="C215">
        <v>59.5</v>
      </c>
      <c r="D215">
        <v>29.75</v>
      </c>
    </row>
    <row r="216" spans="1:4" x14ac:dyDescent="0.45">
      <c r="A216">
        <v>59184</v>
      </c>
      <c r="B216" s="72">
        <v>36101</v>
      </c>
      <c r="C216">
        <v>58.875</v>
      </c>
      <c r="D216">
        <v>29.4375</v>
      </c>
    </row>
    <row r="217" spans="1:4" x14ac:dyDescent="0.45">
      <c r="A217">
        <v>59184</v>
      </c>
      <c r="B217" s="72">
        <v>36102</v>
      </c>
      <c r="C217">
        <v>57</v>
      </c>
      <c r="D217">
        <v>28.5</v>
      </c>
    </row>
    <row r="218" spans="1:4" x14ac:dyDescent="0.45">
      <c r="A218">
        <v>59184</v>
      </c>
      <c r="B218" s="72">
        <v>36103</v>
      </c>
      <c r="C218">
        <v>57.0625</v>
      </c>
      <c r="D218">
        <v>28.53125</v>
      </c>
    </row>
    <row r="219" spans="1:4" x14ac:dyDescent="0.45">
      <c r="A219">
        <v>59184</v>
      </c>
      <c r="B219" s="72">
        <v>36104</v>
      </c>
      <c r="C219">
        <v>57.625</v>
      </c>
      <c r="D219">
        <v>28.8125</v>
      </c>
    </row>
    <row r="220" spans="1:4" x14ac:dyDescent="0.45">
      <c r="A220">
        <v>59184</v>
      </c>
      <c r="B220" s="72">
        <v>36105</v>
      </c>
      <c r="C220">
        <v>57</v>
      </c>
      <c r="D220">
        <v>28.5</v>
      </c>
    </row>
    <row r="221" spans="1:4" x14ac:dyDescent="0.45">
      <c r="A221">
        <v>59184</v>
      </c>
      <c r="B221" s="72">
        <v>36108</v>
      </c>
      <c r="C221">
        <v>57.1875</v>
      </c>
      <c r="D221">
        <v>28.59375</v>
      </c>
    </row>
    <row r="222" spans="1:4" x14ac:dyDescent="0.45">
      <c r="A222">
        <v>59184</v>
      </c>
      <c r="B222" s="72">
        <v>36109</v>
      </c>
      <c r="C222">
        <v>57</v>
      </c>
      <c r="D222">
        <v>28.5</v>
      </c>
    </row>
    <row r="223" spans="1:4" x14ac:dyDescent="0.45">
      <c r="A223">
        <v>59184</v>
      </c>
      <c r="B223" s="72">
        <v>36110</v>
      </c>
      <c r="C223">
        <v>57.5</v>
      </c>
      <c r="D223">
        <v>28.75</v>
      </c>
    </row>
    <row r="224" spans="1:4" x14ac:dyDescent="0.45">
      <c r="A224">
        <v>59184</v>
      </c>
      <c r="B224" s="72">
        <v>36111</v>
      </c>
      <c r="C224">
        <v>59.375</v>
      </c>
      <c r="D224">
        <v>29.6875</v>
      </c>
    </row>
    <row r="225" spans="1:4" x14ac:dyDescent="0.45">
      <c r="A225">
        <v>59184</v>
      </c>
      <c r="B225" s="72">
        <v>36112</v>
      </c>
      <c r="C225">
        <v>58.3125</v>
      </c>
      <c r="D225">
        <v>29.15625</v>
      </c>
    </row>
    <row r="226" spans="1:4" x14ac:dyDescent="0.45">
      <c r="A226">
        <v>59184</v>
      </c>
      <c r="B226" s="72">
        <v>36115</v>
      </c>
      <c r="C226">
        <v>58.3125</v>
      </c>
      <c r="D226">
        <v>29.15625</v>
      </c>
    </row>
    <row r="227" spans="1:4" x14ac:dyDescent="0.45">
      <c r="A227">
        <v>59184</v>
      </c>
      <c r="B227" s="72">
        <v>36116</v>
      </c>
      <c r="C227">
        <v>57.875</v>
      </c>
      <c r="D227">
        <v>28.9375</v>
      </c>
    </row>
    <row r="228" spans="1:4" x14ac:dyDescent="0.45">
      <c r="A228">
        <v>59184</v>
      </c>
      <c r="B228" s="72">
        <v>36117</v>
      </c>
      <c r="C228">
        <v>58.5625</v>
      </c>
      <c r="D228">
        <v>29.28125</v>
      </c>
    </row>
    <row r="229" spans="1:4" x14ac:dyDescent="0.45">
      <c r="A229">
        <v>59184</v>
      </c>
      <c r="B229" s="72">
        <v>36118</v>
      </c>
      <c r="C229">
        <v>59.25</v>
      </c>
      <c r="D229">
        <v>29.625</v>
      </c>
    </row>
    <row r="230" spans="1:4" x14ac:dyDescent="0.45">
      <c r="A230">
        <v>59184</v>
      </c>
      <c r="B230" s="72">
        <v>36119</v>
      </c>
      <c r="C230">
        <v>58.5</v>
      </c>
      <c r="D230">
        <v>29.25</v>
      </c>
    </row>
    <row r="231" spans="1:4" x14ac:dyDescent="0.45">
      <c r="A231">
        <v>59184</v>
      </c>
      <c r="B231" s="72">
        <v>36122</v>
      </c>
      <c r="C231">
        <v>60.0625</v>
      </c>
      <c r="D231">
        <v>30.03125</v>
      </c>
    </row>
    <row r="232" spans="1:4" x14ac:dyDescent="0.45">
      <c r="A232">
        <v>59184</v>
      </c>
      <c r="B232" s="72">
        <v>36123</v>
      </c>
      <c r="C232">
        <v>59.8125</v>
      </c>
      <c r="D232">
        <v>29.90625</v>
      </c>
    </row>
    <row r="233" spans="1:4" x14ac:dyDescent="0.45">
      <c r="A233">
        <v>59184</v>
      </c>
      <c r="B233" s="72">
        <v>36124</v>
      </c>
      <c r="C233">
        <v>60.125</v>
      </c>
      <c r="D233">
        <v>30.0625</v>
      </c>
    </row>
    <row r="234" spans="1:4" x14ac:dyDescent="0.45">
      <c r="A234">
        <v>59184</v>
      </c>
      <c r="B234" s="72">
        <v>36126</v>
      </c>
      <c r="C234">
        <v>60</v>
      </c>
      <c r="D234">
        <v>30</v>
      </c>
    </row>
    <row r="235" spans="1:4" x14ac:dyDescent="0.45">
      <c r="A235">
        <v>59184</v>
      </c>
      <c r="B235" s="72">
        <v>36129</v>
      </c>
      <c r="C235">
        <v>60.625</v>
      </c>
      <c r="D235">
        <v>30.3125</v>
      </c>
    </row>
    <row r="236" spans="1:4" x14ac:dyDescent="0.45">
      <c r="A236">
        <v>59184</v>
      </c>
      <c r="B236" s="72">
        <v>36130</v>
      </c>
      <c r="C236">
        <v>61.9375</v>
      </c>
      <c r="D236">
        <v>30.96875</v>
      </c>
    </row>
    <row r="237" spans="1:4" x14ac:dyDescent="0.45">
      <c r="A237">
        <v>59184</v>
      </c>
      <c r="B237" s="72">
        <v>36131</v>
      </c>
      <c r="C237">
        <v>62.5625</v>
      </c>
      <c r="D237">
        <v>31.28125</v>
      </c>
    </row>
    <row r="238" spans="1:4" x14ac:dyDescent="0.45">
      <c r="A238">
        <v>59184</v>
      </c>
      <c r="B238" s="72">
        <v>36132</v>
      </c>
      <c r="C238">
        <v>63.625</v>
      </c>
      <c r="D238">
        <v>31.8125</v>
      </c>
    </row>
    <row r="239" spans="1:4" x14ac:dyDescent="0.45">
      <c r="A239">
        <v>59184</v>
      </c>
      <c r="B239" s="72">
        <v>36133</v>
      </c>
      <c r="C239">
        <v>63.5625</v>
      </c>
      <c r="D239">
        <v>31.78125</v>
      </c>
    </row>
    <row r="240" spans="1:4" x14ac:dyDescent="0.45">
      <c r="A240">
        <v>59184</v>
      </c>
      <c r="B240" s="72">
        <v>36136</v>
      </c>
      <c r="C240">
        <v>63.5625</v>
      </c>
      <c r="D240">
        <v>31.78125</v>
      </c>
    </row>
    <row r="241" spans="1:4" x14ac:dyDescent="0.45">
      <c r="A241">
        <v>59184</v>
      </c>
      <c r="B241" s="72">
        <v>36137</v>
      </c>
      <c r="C241">
        <v>64</v>
      </c>
      <c r="D241">
        <v>32</v>
      </c>
    </row>
    <row r="242" spans="1:4" x14ac:dyDescent="0.45">
      <c r="A242">
        <v>59184</v>
      </c>
      <c r="B242" s="72">
        <v>36138</v>
      </c>
      <c r="C242">
        <v>64.0625</v>
      </c>
      <c r="D242">
        <v>32.03125</v>
      </c>
    </row>
    <row r="243" spans="1:4" x14ac:dyDescent="0.45">
      <c r="A243">
        <v>59184</v>
      </c>
      <c r="B243" s="72">
        <v>36139</v>
      </c>
      <c r="C243">
        <v>61.25</v>
      </c>
      <c r="D243">
        <v>30.625</v>
      </c>
    </row>
    <row r="244" spans="1:4" x14ac:dyDescent="0.45">
      <c r="A244">
        <v>59184</v>
      </c>
      <c r="B244" s="72">
        <v>36140</v>
      </c>
      <c r="C244">
        <v>63.25</v>
      </c>
      <c r="D244">
        <v>31.625</v>
      </c>
    </row>
    <row r="245" spans="1:4" x14ac:dyDescent="0.45">
      <c r="A245">
        <v>59184</v>
      </c>
      <c r="B245" s="72">
        <v>36143</v>
      </c>
      <c r="C245">
        <v>62.125</v>
      </c>
      <c r="D245">
        <v>31.0625</v>
      </c>
    </row>
    <row r="246" spans="1:4" x14ac:dyDescent="0.45">
      <c r="A246">
        <v>59184</v>
      </c>
      <c r="B246" s="72">
        <v>36144</v>
      </c>
      <c r="C246">
        <v>64.5</v>
      </c>
      <c r="D246">
        <v>32.25</v>
      </c>
    </row>
    <row r="247" spans="1:4" x14ac:dyDescent="0.45">
      <c r="A247">
        <v>59184</v>
      </c>
      <c r="B247" s="72">
        <v>36145</v>
      </c>
      <c r="C247">
        <v>63.75</v>
      </c>
      <c r="D247">
        <v>31.875</v>
      </c>
    </row>
    <row r="248" spans="1:4" x14ac:dyDescent="0.45">
      <c r="A248">
        <v>59184</v>
      </c>
      <c r="B248" s="72">
        <v>36146</v>
      </c>
      <c r="C248">
        <v>64.0625</v>
      </c>
      <c r="D248">
        <v>32.03125</v>
      </c>
    </row>
    <row r="249" spans="1:4" x14ac:dyDescent="0.45">
      <c r="A249">
        <v>59184</v>
      </c>
      <c r="B249" s="72">
        <v>36147</v>
      </c>
      <c r="C249">
        <v>64.125</v>
      </c>
      <c r="D249">
        <v>32.0625</v>
      </c>
    </row>
    <row r="250" spans="1:4" x14ac:dyDescent="0.45">
      <c r="A250">
        <v>59184</v>
      </c>
      <c r="B250" s="72">
        <v>36150</v>
      </c>
      <c r="C250">
        <v>63.3125</v>
      </c>
      <c r="D250">
        <v>31.65625</v>
      </c>
    </row>
    <row r="251" spans="1:4" x14ac:dyDescent="0.45">
      <c r="A251">
        <v>59184</v>
      </c>
      <c r="B251" s="72">
        <v>36151</v>
      </c>
      <c r="C251">
        <v>64.5</v>
      </c>
      <c r="D251">
        <v>32.25</v>
      </c>
    </row>
    <row r="252" spans="1:4" x14ac:dyDescent="0.45">
      <c r="A252">
        <v>59184</v>
      </c>
      <c r="B252" s="72">
        <v>36152</v>
      </c>
      <c r="C252">
        <v>66.5</v>
      </c>
      <c r="D252">
        <v>33.25</v>
      </c>
    </row>
    <row r="253" spans="1:4" x14ac:dyDescent="0.45">
      <c r="A253">
        <v>59184</v>
      </c>
      <c r="B253" s="72">
        <v>36153</v>
      </c>
      <c r="C253">
        <v>66.125</v>
      </c>
      <c r="D253">
        <v>33.0625</v>
      </c>
    </row>
    <row r="254" spans="1:4" x14ac:dyDescent="0.45">
      <c r="A254">
        <v>59184</v>
      </c>
      <c r="B254" s="72">
        <v>36157</v>
      </c>
      <c r="C254">
        <v>66.375</v>
      </c>
      <c r="D254">
        <v>33.1875</v>
      </c>
    </row>
    <row r="255" spans="1:4" x14ac:dyDescent="0.45">
      <c r="A255">
        <v>59184</v>
      </c>
      <c r="B255" s="72">
        <v>36158</v>
      </c>
      <c r="C255">
        <v>68.25</v>
      </c>
      <c r="D255">
        <v>34.125</v>
      </c>
    </row>
    <row r="256" spans="1:4" x14ac:dyDescent="0.45">
      <c r="A256">
        <v>59184</v>
      </c>
      <c r="B256" s="72">
        <v>36159</v>
      </c>
      <c r="C256">
        <v>67.625</v>
      </c>
      <c r="D256">
        <v>33.8125</v>
      </c>
    </row>
    <row r="257" spans="1:4" x14ac:dyDescent="0.45">
      <c r="A257">
        <v>59184</v>
      </c>
      <c r="B257" s="72">
        <v>36160</v>
      </c>
      <c r="C257">
        <v>65.625</v>
      </c>
      <c r="D257">
        <v>32.8125</v>
      </c>
    </row>
    <row r="258" spans="1:4" x14ac:dyDescent="0.45">
      <c r="A258">
        <v>59184</v>
      </c>
      <c r="B258" s="72">
        <v>36164</v>
      </c>
      <c r="C258">
        <v>66.0625</v>
      </c>
      <c r="D258">
        <v>33.03125</v>
      </c>
    </row>
    <row r="259" spans="1:4" x14ac:dyDescent="0.45">
      <c r="A259">
        <v>59184</v>
      </c>
      <c r="B259" s="72">
        <v>36165</v>
      </c>
      <c r="C259">
        <v>67.75</v>
      </c>
      <c r="D259">
        <v>33.875</v>
      </c>
    </row>
    <row r="260" spans="1:4" x14ac:dyDescent="0.45">
      <c r="A260">
        <v>59184</v>
      </c>
      <c r="B260" s="72">
        <v>36166</v>
      </c>
      <c r="C260">
        <v>67.375</v>
      </c>
      <c r="D260">
        <v>33.6875</v>
      </c>
    </row>
    <row r="261" spans="1:4" x14ac:dyDescent="0.45">
      <c r="A261">
        <v>59184</v>
      </c>
      <c r="B261" s="72">
        <v>36167</v>
      </c>
      <c r="C261">
        <v>66.3125</v>
      </c>
      <c r="D261">
        <v>33.15625</v>
      </c>
    </row>
    <row r="262" spans="1:4" x14ac:dyDescent="0.45">
      <c r="A262">
        <v>59184</v>
      </c>
      <c r="B262" s="72">
        <v>36168</v>
      </c>
      <c r="C262">
        <v>66.5625</v>
      </c>
      <c r="D262">
        <v>33.28125</v>
      </c>
    </row>
    <row r="263" spans="1:4" x14ac:dyDescent="0.45">
      <c r="A263">
        <v>59184</v>
      </c>
      <c r="B263" s="72">
        <v>36171</v>
      </c>
      <c r="C263">
        <v>65.625</v>
      </c>
      <c r="D263">
        <v>32.8125</v>
      </c>
    </row>
    <row r="264" spans="1:4" x14ac:dyDescent="0.45">
      <c r="A264">
        <v>59184</v>
      </c>
      <c r="B264" s="72">
        <v>36172</v>
      </c>
      <c r="C264">
        <v>65.1875</v>
      </c>
      <c r="D264">
        <v>32.59375</v>
      </c>
    </row>
    <row r="265" spans="1:4" x14ac:dyDescent="0.45">
      <c r="A265">
        <v>59184</v>
      </c>
      <c r="B265" s="72">
        <v>36173</v>
      </c>
      <c r="C265">
        <v>66.9375</v>
      </c>
      <c r="D265">
        <v>33.46875</v>
      </c>
    </row>
    <row r="266" spans="1:4" x14ac:dyDescent="0.45">
      <c r="A266">
        <v>59184</v>
      </c>
      <c r="B266" s="72">
        <v>36174</v>
      </c>
      <c r="C266">
        <v>66.6875</v>
      </c>
      <c r="D266">
        <v>33.34375</v>
      </c>
    </row>
    <row r="267" spans="1:4" x14ac:dyDescent="0.45">
      <c r="A267">
        <v>59184</v>
      </c>
      <c r="B267" s="72">
        <v>36175</v>
      </c>
      <c r="C267">
        <v>67.75</v>
      </c>
      <c r="D267">
        <v>33.875</v>
      </c>
    </row>
    <row r="268" spans="1:4" x14ac:dyDescent="0.45">
      <c r="A268">
        <v>59184</v>
      </c>
      <c r="B268" s="72">
        <v>36179</v>
      </c>
      <c r="C268">
        <v>65.875</v>
      </c>
      <c r="D268">
        <v>32.9375</v>
      </c>
    </row>
    <row r="269" spans="1:4" x14ac:dyDescent="0.45">
      <c r="A269">
        <v>59184</v>
      </c>
      <c r="B269" s="72">
        <v>36180</v>
      </c>
      <c r="C269">
        <v>67.5</v>
      </c>
      <c r="D269">
        <v>33.75</v>
      </c>
    </row>
    <row r="270" spans="1:4" x14ac:dyDescent="0.45">
      <c r="A270">
        <v>59184</v>
      </c>
      <c r="B270" s="72">
        <v>36181</v>
      </c>
      <c r="C270">
        <v>67.25</v>
      </c>
      <c r="D270">
        <v>33.625</v>
      </c>
    </row>
    <row r="271" spans="1:4" x14ac:dyDescent="0.45">
      <c r="A271">
        <v>59184</v>
      </c>
      <c r="B271" s="72">
        <v>36182</v>
      </c>
      <c r="C271">
        <v>67.1875</v>
      </c>
      <c r="D271">
        <v>33.59375</v>
      </c>
    </row>
    <row r="272" spans="1:4" x14ac:dyDescent="0.45">
      <c r="A272">
        <v>59184</v>
      </c>
      <c r="B272" s="72">
        <v>36185</v>
      </c>
      <c r="C272">
        <v>67.625</v>
      </c>
      <c r="D272">
        <v>33.8125</v>
      </c>
    </row>
    <row r="273" spans="1:4" x14ac:dyDescent="0.45">
      <c r="A273">
        <v>59184</v>
      </c>
      <c r="B273" s="72">
        <v>36186</v>
      </c>
      <c r="C273">
        <v>67.75</v>
      </c>
      <c r="D273">
        <v>33.875</v>
      </c>
    </row>
    <row r="274" spans="1:4" x14ac:dyDescent="0.45">
      <c r="A274">
        <v>59184</v>
      </c>
      <c r="B274" s="72">
        <v>36187</v>
      </c>
      <c r="C274">
        <v>69.25</v>
      </c>
      <c r="D274">
        <v>34.625</v>
      </c>
    </row>
    <row r="275" spans="1:4" x14ac:dyDescent="0.45">
      <c r="A275">
        <v>59184</v>
      </c>
      <c r="B275" s="72">
        <v>36188</v>
      </c>
      <c r="C275">
        <v>69.9375</v>
      </c>
      <c r="D275">
        <v>34.96875</v>
      </c>
    </row>
    <row r="276" spans="1:4" x14ac:dyDescent="0.45">
      <c r="A276">
        <v>59184</v>
      </c>
      <c r="B276" s="72">
        <v>36189</v>
      </c>
      <c r="C276">
        <v>70.6875</v>
      </c>
      <c r="D276">
        <v>35.34375</v>
      </c>
    </row>
    <row r="277" spans="1:4" x14ac:dyDescent="0.45">
      <c r="A277">
        <v>59184</v>
      </c>
      <c r="B277" s="72">
        <v>36192</v>
      </c>
      <c r="C277">
        <v>69.9375</v>
      </c>
      <c r="D277">
        <v>34.96875</v>
      </c>
    </row>
    <row r="278" spans="1:4" x14ac:dyDescent="0.45">
      <c r="A278">
        <v>59184</v>
      </c>
      <c r="B278" s="72">
        <v>36193</v>
      </c>
      <c r="C278">
        <v>70</v>
      </c>
      <c r="D278">
        <v>35</v>
      </c>
    </row>
    <row r="279" spans="1:4" x14ac:dyDescent="0.45">
      <c r="A279">
        <v>59184</v>
      </c>
      <c r="B279" s="72">
        <v>36194</v>
      </c>
      <c r="C279">
        <v>68.9375</v>
      </c>
      <c r="D279">
        <v>34.46875</v>
      </c>
    </row>
    <row r="280" spans="1:4" x14ac:dyDescent="0.45">
      <c r="A280">
        <v>59184</v>
      </c>
      <c r="B280" s="72">
        <v>36195</v>
      </c>
      <c r="C280">
        <v>68.75</v>
      </c>
      <c r="D280">
        <v>34.375</v>
      </c>
    </row>
    <row r="281" spans="1:4" x14ac:dyDescent="0.45">
      <c r="A281">
        <v>59184</v>
      </c>
      <c r="B281" s="72">
        <v>36196</v>
      </c>
      <c r="C281">
        <v>68.75</v>
      </c>
      <c r="D281">
        <v>34.375</v>
      </c>
    </row>
    <row r="282" spans="1:4" x14ac:dyDescent="0.45">
      <c r="A282">
        <v>59184</v>
      </c>
      <c r="B282" s="72">
        <v>36199</v>
      </c>
      <c r="C282">
        <v>68</v>
      </c>
      <c r="D282">
        <v>34</v>
      </c>
    </row>
    <row r="283" spans="1:4" x14ac:dyDescent="0.45">
      <c r="A283">
        <v>59184</v>
      </c>
      <c r="B283" s="72">
        <v>36200</v>
      </c>
      <c r="C283">
        <v>70.25</v>
      </c>
      <c r="D283">
        <v>35.125</v>
      </c>
    </row>
    <row r="284" spans="1:4" x14ac:dyDescent="0.45">
      <c r="A284">
        <v>59184</v>
      </c>
      <c r="B284" s="72">
        <v>36201</v>
      </c>
      <c r="C284">
        <v>71.9375</v>
      </c>
      <c r="D284">
        <v>35.96875</v>
      </c>
    </row>
    <row r="285" spans="1:4" x14ac:dyDescent="0.45">
      <c r="A285">
        <v>59184</v>
      </c>
      <c r="B285" s="72">
        <v>36202</v>
      </c>
      <c r="C285">
        <v>72.8125</v>
      </c>
      <c r="D285">
        <v>36.40625</v>
      </c>
    </row>
    <row r="286" spans="1:4" x14ac:dyDescent="0.45">
      <c r="A286">
        <v>59184</v>
      </c>
      <c r="B286" s="72">
        <v>36203</v>
      </c>
      <c r="C286">
        <v>71.875</v>
      </c>
      <c r="D286">
        <v>35.9375</v>
      </c>
    </row>
    <row r="287" spans="1:4" x14ac:dyDescent="0.45">
      <c r="A287">
        <v>59184</v>
      </c>
      <c r="B287" s="72">
        <v>36207</v>
      </c>
      <c r="C287">
        <v>72</v>
      </c>
      <c r="D287">
        <v>36</v>
      </c>
    </row>
    <row r="288" spans="1:4" x14ac:dyDescent="0.45">
      <c r="A288">
        <v>59184</v>
      </c>
      <c r="B288" s="72">
        <v>36208</v>
      </c>
      <c r="C288">
        <v>69.9375</v>
      </c>
      <c r="D288">
        <v>34.96875</v>
      </c>
    </row>
    <row r="289" spans="1:4" x14ac:dyDescent="0.45">
      <c r="A289">
        <v>59184</v>
      </c>
      <c r="B289" s="72">
        <v>36209</v>
      </c>
      <c r="C289">
        <v>70.9375</v>
      </c>
      <c r="D289">
        <v>35.46875</v>
      </c>
    </row>
    <row r="290" spans="1:4" x14ac:dyDescent="0.45">
      <c r="A290">
        <v>59184</v>
      </c>
      <c r="B290" s="72">
        <v>36210</v>
      </c>
      <c r="C290">
        <v>70.75</v>
      </c>
      <c r="D290">
        <v>35.375</v>
      </c>
    </row>
    <row r="291" spans="1:4" x14ac:dyDescent="0.45">
      <c r="A291">
        <v>59184</v>
      </c>
      <c r="B291" s="72">
        <v>36213</v>
      </c>
      <c r="C291">
        <v>73.5</v>
      </c>
      <c r="D291">
        <v>36.75</v>
      </c>
    </row>
    <row r="292" spans="1:4" x14ac:dyDescent="0.45">
      <c r="A292">
        <v>59184</v>
      </c>
      <c r="B292" s="72">
        <v>36214</v>
      </c>
      <c r="C292">
        <v>72.25</v>
      </c>
      <c r="D292">
        <v>36.125</v>
      </c>
    </row>
    <row r="293" spans="1:4" x14ac:dyDescent="0.45">
      <c r="A293">
        <v>59184</v>
      </c>
      <c r="B293" s="72">
        <v>36215</v>
      </c>
      <c r="C293">
        <v>73.25</v>
      </c>
      <c r="D293">
        <v>36.625</v>
      </c>
    </row>
    <row r="294" spans="1:4" x14ac:dyDescent="0.45">
      <c r="A294">
        <v>59184</v>
      </c>
      <c r="B294" s="72">
        <v>36216</v>
      </c>
      <c r="C294">
        <v>75.4375</v>
      </c>
      <c r="D294">
        <v>37.71875</v>
      </c>
    </row>
    <row r="295" spans="1:4" x14ac:dyDescent="0.45">
      <c r="A295">
        <v>59184</v>
      </c>
      <c r="B295" s="72">
        <v>36217</v>
      </c>
      <c r="C295">
        <v>76.6875</v>
      </c>
      <c r="D295">
        <v>38.34375</v>
      </c>
    </row>
    <row r="296" spans="1:4" x14ac:dyDescent="0.45">
      <c r="A296">
        <v>59184</v>
      </c>
      <c r="B296" s="72">
        <v>36220</v>
      </c>
      <c r="C296">
        <v>76.625</v>
      </c>
      <c r="D296">
        <v>38.3125</v>
      </c>
    </row>
    <row r="297" spans="1:4" x14ac:dyDescent="0.45">
      <c r="A297">
        <v>59184</v>
      </c>
      <c r="B297" s="72">
        <v>36221</v>
      </c>
      <c r="C297">
        <v>77.8125</v>
      </c>
      <c r="D297">
        <v>38.90625</v>
      </c>
    </row>
    <row r="298" spans="1:4" x14ac:dyDescent="0.45">
      <c r="A298">
        <v>59184</v>
      </c>
      <c r="B298" s="72">
        <v>36222</v>
      </c>
      <c r="C298">
        <v>78.4375</v>
      </c>
      <c r="D298">
        <v>39.21875</v>
      </c>
    </row>
    <row r="299" spans="1:4" x14ac:dyDescent="0.45">
      <c r="A299">
        <v>59184</v>
      </c>
      <c r="B299" s="72">
        <v>36223</v>
      </c>
      <c r="C299">
        <v>77</v>
      </c>
      <c r="D299">
        <v>38.5</v>
      </c>
    </row>
    <row r="300" spans="1:4" x14ac:dyDescent="0.45">
      <c r="A300">
        <v>59184</v>
      </c>
      <c r="B300" s="72">
        <v>36224</v>
      </c>
      <c r="C300">
        <v>77.625</v>
      </c>
      <c r="D300">
        <v>38.8125</v>
      </c>
    </row>
    <row r="301" spans="1:4" x14ac:dyDescent="0.45">
      <c r="A301">
        <v>59184</v>
      </c>
      <c r="B301" s="72">
        <v>36227</v>
      </c>
      <c r="C301">
        <v>78.0625</v>
      </c>
      <c r="D301">
        <v>39.03125</v>
      </c>
    </row>
    <row r="302" spans="1:4" x14ac:dyDescent="0.45">
      <c r="A302">
        <v>59184</v>
      </c>
      <c r="B302" s="72">
        <v>36228</v>
      </c>
      <c r="C302">
        <v>78.25</v>
      </c>
      <c r="D302">
        <v>39.125</v>
      </c>
    </row>
    <row r="303" spans="1:4" x14ac:dyDescent="0.45">
      <c r="A303">
        <v>59184</v>
      </c>
      <c r="B303" s="72">
        <v>36229</v>
      </c>
      <c r="C303">
        <v>77.25</v>
      </c>
      <c r="D303">
        <v>38.625</v>
      </c>
    </row>
    <row r="304" spans="1:4" x14ac:dyDescent="0.45">
      <c r="A304">
        <v>59184</v>
      </c>
      <c r="B304" s="72">
        <v>36230</v>
      </c>
      <c r="C304">
        <v>77.5625</v>
      </c>
      <c r="D304">
        <v>38.78125</v>
      </c>
    </row>
    <row r="305" spans="1:4" x14ac:dyDescent="0.45">
      <c r="A305">
        <v>59184</v>
      </c>
      <c r="B305" s="72">
        <v>36231</v>
      </c>
      <c r="C305">
        <v>76.5</v>
      </c>
      <c r="D305">
        <v>38.25</v>
      </c>
    </row>
    <row r="306" spans="1:4" x14ac:dyDescent="0.45">
      <c r="A306">
        <v>59184</v>
      </c>
      <c r="B306" s="72">
        <v>36234</v>
      </c>
      <c r="C306">
        <v>75.4375</v>
      </c>
      <c r="D306">
        <v>37.71875</v>
      </c>
    </row>
    <row r="307" spans="1:4" x14ac:dyDescent="0.45">
      <c r="A307">
        <v>59184</v>
      </c>
      <c r="B307" s="72">
        <v>36235</v>
      </c>
      <c r="C307">
        <v>76.125</v>
      </c>
      <c r="D307">
        <v>38.0625</v>
      </c>
    </row>
    <row r="308" spans="1:4" x14ac:dyDescent="0.45">
      <c r="A308">
        <v>59184</v>
      </c>
      <c r="B308" s="72">
        <v>36236</v>
      </c>
      <c r="C308">
        <v>77</v>
      </c>
      <c r="D308">
        <v>38.5</v>
      </c>
    </row>
    <row r="309" spans="1:4" x14ac:dyDescent="0.45">
      <c r="A309">
        <v>59184</v>
      </c>
      <c r="B309" s="72">
        <v>36237</v>
      </c>
      <c r="C309">
        <v>77</v>
      </c>
      <c r="D309">
        <v>38.5</v>
      </c>
    </row>
    <row r="310" spans="1:4" x14ac:dyDescent="0.45">
      <c r="A310">
        <v>59184</v>
      </c>
      <c r="B310" s="72">
        <v>36238</v>
      </c>
      <c r="C310">
        <v>76.0625</v>
      </c>
      <c r="D310">
        <v>38.03125</v>
      </c>
    </row>
    <row r="311" spans="1:4" x14ac:dyDescent="0.45">
      <c r="A311">
        <v>59184</v>
      </c>
      <c r="B311" s="72">
        <v>36241</v>
      </c>
      <c r="C311">
        <v>77.5</v>
      </c>
      <c r="D311">
        <v>38.75</v>
      </c>
    </row>
    <row r="312" spans="1:4" x14ac:dyDescent="0.45">
      <c r="A312">
        <v>59184</v>
      </c>
      <c r="B312" s="72">
        <v>36242</v>
      </c>
      <c r="C312">
        <v>77.5</v>
      </c>
      <c r="D312">
        <v>38.75</v>
      </c>
    </row>
    <row r="313" spans="1:4" x14ac:dyDescent="0.45">
      <c r="A313">
        <v>59184</v>
      </c>
      <c r="B313" s="72">
        <v>36243</v>
      </c>
      <c r="C313">
        <v>76.5625</v>
      </c>
      <c r="D313">
        <v>38.28125</v>
      </c>
    </row>
    <row r="314" spans="1:4" x14ac:dyDescent="0.45">
      <c r="A314">
        <v>59184</v>
      </c>
      <c r="B314" s="72">
        <v>36244</v>
      </c>
      <c r="C314">
        <v>75.4375</v>
      </c>
      <c r="D314">
        <v>37.71875</v>
      </c>
    </row>
    <row r="315" spans="1:4" x14ac:dyDescent="0.45">
      <c r="A315">
        <v>59184</v>
      </c>
      <c r="B315" s="72">
        <v>36245</v>
      </c>
      <c r="C315">
        <v>74</v>
      </c>
      <c r="D315">
        <v>37</v>
      </c>
    </row>
    <row r="316" spans="1:4" x14ac:dyDescent="0.45">
      <c r="A316">
        <v>59184</v>
      </c>
      <c r="B316" s="72">
        <v>36248</v>
      </c>
      <c r="C316">
        <v>74.1875</v>
      </c>
      <c r="D316">
        <v>37.09375</v>
      </c>
    </row>
    <row r="317" spans="1:4" x14ac:dyDescent="0.45">
      <c r="A317">
        <v>59184</v>
      </c>
      <c r="B317" s="72">
        <v>36249</v>
      </c>
      <c r="C317">
        <v>74.25</v>
      </c>
      <c r="D317">
        <v>37.125</v>
      </c>
    </row>
    <row r="318" spans="1:4" x14ac:dyDescent="0.45">
      <c r="A318">
        <v>59184</v>
      </c>
      <c r="B318" s="72">
        <v>36250</v>
      </c>
      <c r="C318">
        <v>76.125</v>
      </c>
      <c r="D318">
        <v>38.0625</v>
      </c>
    </row>
    <row r="319" spans="1:4" x14ac:dyDescent="0.45">
      <c r="A319">
        <v>59184</v>
      </c>
      <c r="B319" s="72">
        <v>36251</v>
      </c>
      <c r="C319">
        <v>75.9375</v>
      </c>
      <c r="D319">
        <v>37.96875</v>
      </c>
    </row>
    <row r="320" spans="1:4" x14ac:dyDescent="0.45">
      <c r="A320">
        <v>59184</v>
      </c>
      <c r="B320" s="72">
        <v>36255</v>
      </c>
      <c r="C320">
        <v>75.0625</v>
      </c>
      <c r="D320">
        <v>37.53125</v>
      </c>
    </row>
    <row r="321" spans="1:4" x14ac:dyDescent="0.45">
      <c r="A321">
        <v>59184</v>
      </c>
      <c r="B321" s="72">
        <v>36256</v>
      </c>
      <c r="C321">
        <v>74.5625</v>
      </c>
      <c r="D321">
        <v>37.28125</v>
      </c>
    </row>
    <row r="322" spans="1:4" x14ac:dyDescent="0.45">
      <c r="A322">
        <v>59184</v>
      </c>
      <c r="B322" s="72">
        <v>36257</v>
      </c>
      <c r="C322">
        <v>75.75</v>
      </c>
      <c r="D322">
        <v>37.875</v>
      </c>
    </row>
    <row r="323" spans="1:4" x14ac:dyDescent="0.45">
      <c r="A323">
        <v>59184</v>
      </c>
      <c r="B323" s="72">
        <v>36258</v>
      </c>
      <c r="C323">
        <v>77.875</v>
      </c>
      <c r="D323">
        <v>38.9375</v>
      </c>
    </row>
    <row r="324" spans="1:4" x14ac:dyDescent="0.45">
      <c r="A324">
        <v>59184</v>
      </c>
      <c r="B324" s="72">
        <v>36259</v>
      </c>
      <c r="C324">
        <v>77.5</v>
      </c>
      <c r="D324">
        <v>38.75</v>
      </c>
    </row>
    <row r="325" spans="1:4" x14ac:dyDescent="0.45">
      <c r="A325">
        <v>59184</v>
      </c>
      <c r="B325" s="72">
        <v>36262</v>
      </c>
      <c r="C325">
        <v>78.875</v>
      </c>
      <c r="D325">
        <v>39.4375</v>
      </c>
    </row>
    <row r="326" spans="1:4" x14ac:dyDescent="0.45">
      <c r="A326">
        <v>59184</v>
      </c>
      <c r="B326" s="72">
        <v>36263</v>
      </c>
      <c r="C326">
        <v>77</v>
      </c>
      <c r="D326">
        <v>38.5</v>
      </c>
    </row>
    <row r="327" spans="1:4" x14ac:dyDescent="0.45">
      <c r="A327">
        <v>59184</v>
      </c>
      <c r="B327" s="72">
        <v>36264</v>
      </c>
      <c r="C327">
        <v>73</v>
      </c>
      <c r="D327">
        <v>36.5</v>
      </c>
    </row>
    <row r="328" spans="1:4" x14ac:dyDescent="0.45">
      <c r="A328">
        <v>59184</v>
      </c>
      <c r="B328" s="72">
        <v>36265</v>
      </c>
      <c r="C328">
        <v>73.75</v>
      </c>
      <c r="D328">
        <v>36.875</v>
      </c>
    </row>
    <row r="329" spans="1:4" x14ac:dyDescent="0.45">
      <c r="A329">
        <v>59184</v>
      </c>
      <c r="B329" s="72">
        <v>36266</v>
      </c>
      <c r="C329">
        <v>73.75</v>
      </c>
      <c r="D329">
        <v>36.875</v>
      </c>
    </row>
    <row r="330" spans="1:4" x14ac:dyDescent="0.45">
      <c r="A330">
        <v>59184</v>
      </c>
      <c r="B330" s="72">
        <v>36269</v>
      </c>
      <c r="C330">
        <v>71.375</v>
      </c>
      <c r="D330">
        <v>35.6875</v>
      </c>
    </row>
    <row r="331" spans="1:4" x14ac:dyDescent="0.45">
      <c r="A331">
        <v>59184</v>
      </c>
      <c r="B331" s="72">
        <v>36270</v>
      </c>
      <c r="C331">
        <v>72.1875</v>
      </c>
      <c r="D331">
        <v>36.09375</v>
      </c>
    </row>
    <row r="332" spans="1:4" x14ac:dyDescent="0.45">
      <c r="A332">
        <v>59184</v>
      </c>
      <c r="B332" s="72">
        <v>36271</v>
      </c>
      <c r="C332">
        <v>74.9375</v>
      </c>
      <c r="D332">
        <v>37.46875</v>
      </c>
    </row>
    <row r="333" spans="1:4" x14ac:dyDescent="0.45">
      <c r="A333">
        <v>59184</v>
      </c>
      <c r="B333" s="72">
        <v>36272</v>
      </c>
      <c r="C333">
        <v>75.0625</v>
      </c>
      <c r="D333">
        <v>37.53125</v>
      </c>
    </row>
    <row r="334" spans="1:4" x14ac:dyDescent="0.45">
      <c r="A334">
        <v>59184</v>
      </c>
      <c r="B334" s="72">
        <v>36273</v>
      </c>
      <c r="C334">
        <v>73.8125</v>
      </c>
      <c r="D334">
        <v>36.90625</v>
      </c>
    </row>
    <row r="335" spans="1:4" x14ac:dyDescent="0.45">
      <c r="A335">
        <v>59184</v>
      </c>
      <c r="B335" s="72">
        <v>36276</v>
      </c>
      <c r="C335">
        <v>75.9375</v>
      </c>
      <c r="D335">
        <v>37.96875</v>
      </c>
    </row>
    <row r="336" spans="1:4" x14ac:dyDescent="0.45">
      <c r="A336">
        <v>59184</v>
      </c>
      <c r="B336" s="72">
        <v>36277</v>
      </c>
      <c r="C336">
        <v>75</v>
      </c>
      <c r="D336">
        <v>37.5</v>
      </c>
    </row>
    <row r="337" spans="1:4" x14ac:dyDescent="0.45">
      <c r="A337">
        <v>59184</v>
      </c>
      <c r="B337" s="72">
        <v>36278</v>
      </c>
      <c r="C337">
        <v>75.375</v>
      </c>
      <c r="D337">
        <v>37.6875</v>
      </c>
    </row>
    <row r="338" spans="1:4" x14ac:dyDescent="0.45">
      <c r="A338">
        <v>59184</v>
      </c>
      <c r="B338" s="72">
        <v>36279</v>
      </c>
      <c r="C338">
        <v>72.5625</v>
      </c>
      <c r="D338">
        <v>36.28125</v>
      </c>
    </row>
    <row r="339" spans="1:4" x14ac:dyDescent="0.45">
      <c r="A339">
        <v>59184</v>
      </c>
      <c r="B339" s="72">
        <v>36280</v>
      </c>
      <c r="C339">
        <v>73.125</v>
      </c>
      <c r="D339">
        <v>36.5625</v>
      </c>
    </row>
    <row r="340" spans="1:4" x14ac:dyDescent="0.45">
      <c r="A340">
        <v>59184</v>
      </c>
      <c r="B340" s="72">
        <v>36283</v>
      </c>
      <c r="C340">
        <v>73</v>
      </c>
      <c r="D340">
        <v>36.5</v>
      </c>
    </row>
    <row r="341" spans="1:4" x14ac:dyDescent="0.45">
      <c r="A341">
        <v>59184</v>
      </c>
      <c r="B341" s="72">
        <v>36284</v>
      </c>
      <c r="C341">
        <v>70.5</v>
      </c>
      <c r="D341">
        <v>35.25</v>
      </c>
    </row>
    <row r="342" spans="1:4" x14ac:dyDescent="0.45">
      <c r="A342">
        <v>59184</v>
      </c>
      <c r="B342" s="72">
        <v>36285</v>
      </c>
      <c r="C342">
        <v>68.9375</v>
      </c>
      <c r="D342">
        <v>34.46875</v>
      </c>
    </row>
    <row r="343" spans="1:4" x14ac:dyDescent="0.45">
      <c r="A343">
        <v>59184</v>
      </c>
      <c r="B343" s="72">
        <v>36286</v>
      </c>
      <c r="C343">
        <v>69.75</v>
      </c>
      <c r="D343">
        <v>34.875</v>
      </c>
    </row>
    <row r="344" spans="1:4" x14ac:dyDescent="0.45">
      <c r="A344">
        <v>59184</v>
      </c>
      <c r="B344" s="72">
        <v>36287</v>
      </c>
      <c r="C344">
        <v>71.0625</v>
      </c>
      <c r="D344">
        <v>35.53125</v>
      </c>
    </row>
    <row r="345" spans="1:4" x14ac:dyDescent="0.45">
      <c r="A345">
        <v>59184</v>
      </c>
      <c r="B345" s="72">
        <v>36290</v>
      </c>
      <c r="C345">
        <v>69.1875</v>
      </c>
      <c r="D345">
        <v>34.59375</v>
      </c>
    </row>
    <row r="346" spans="1:4" x14ac:dyDescent="0.45">
      <c r="A346">
        <v>59184</v>
      </c>
      <c r="B346" s="72">
        <v>36291</v>
      </c>
      <c r="C346">
        <v>70.375</v>
      </c>
      <c r="D346">
        <v>35.1875</v>
      </c>
    </row>
    <row r="347" spans="1:4" x14ac:dyDescent="0.45">
      <c r="A347">
        <v>59184</v>
      </c>
      <c r="B347" s="72">
        <v>36292</v>
      </c>
      <c r="C347">
        <v>71.25</v>
      </c>
      <c r="D347">
        <v>35.625</v>
      </c>
    </row>
    <row r="348" spans="1:4" x14ac:dyDescent="0.45">
      <c r="A348">
        <v>59184</v>
      </c>
      <c r="B348" s="72">
        <v>36293</v>
      </c>
      <c r="C348">
        <v>73.0625</v>
      </c>
      <c r="D348">
        <v>36.53125</v>
      </c>
    </row>
    <row r="349" spans="1:4" x14ac:dyDescent="0.45">
      <c r="A349">
        <v>59184</v>
      </c>
      <c r="B349" s="72">
        <v>36294</v>
      </c>
      <c r="C349">
        <v>72</v>
      </c>
      <c r="D349">
        <v>36</v>
      </c>
    </row>
    <row r="350" spans="1:4" x14ac:dyDescent="0.45">
      <c r="A350">
        <v>59184</v>
      </c>
      <c r="B350" s="72">
        <v>36297</v>
      </c>
      <c r="C350">
        <v>73.25</v>
      </c>
      <c r="D350">
        <v>36.625</v>
      </c>
    </row>
    <row r="351" spans="1:4" x14ac:dyDescent="0.45">
      <c r="A351">
        <v>59184</v>
      </c>
      <c r="B351" s="72">
        <v>36298</v>
      </c>
      <c r="C351">
        <v>74.75</v>
      </c>
      <c r="D351">
        <v>37.375</v>
      </c>
    </row>
    <row r="352" spans="1:4" x14ac:dyDescent="0.45">
      <c r="A352">
        <v>59184</v>
      </c>
      <c r="B352" s="72">
        <v>36299</v>
      </c>
      <c r="C352">
        <v>74.6875</v>
      </c>
      <c r="D352">
        <v>37.34375</v>
      </c>
    </row>
    <row r="353" spans="1:4" x14ac:dyDescent="0.45">
      <c r="A353">
        <v>59184</v>
      </c>
      <c r="B353" s="72">
        <v>36300</v>
      </c>
      <c r="C353">
        <v>74.6875</v>
      </c>
      <c r="D353">
        <v>37.34375</v>
      </c>
    </row>
    <row r="354" spans="1:4" x14ac:dyDescent="0.45">
      <c r="A354">
        <v>59184</v>
      </c>
      <c r="B354" s="72">
        <v>36301</v>
      </c>
      <c r="C354">
        <v>74.1875</v>
      </c>
      <c r="D354">
        <v>37.09375</v>
      </c>
    </row>
    <row r="355" spans="1:4" x14ac:dyDescent="0.45">
      <c r="A355">
        <v>59184</v>
      </c>
      <c r="B355" s="72">
        <v>36304</v>
      </c>
      <c r="C355">
        <v>73.25</v>
      </c>
      <c r="D355">
        <v>36.625</v>
      </c>
    </row>
    <row r="356" spans="1:4" x14ac:dyDescent="0.45">
      <c r="A356">
        <v>59184</v>
      </c>
      <c r="B356" s="72">
        <v>36305</v>
      </c>
      <c r="C356">
        <v>72.375</v>
      </c>
      <c r="D356">
        <v>36.1875</v>
      </c>
    </row>
    <row r="357" spans="1:4" x14ac:dyDescent="0.45">
      <c r="A357">
        <v>59184</v>
      </c>
      <c r="B357" s="72">
        <v>36306</v>
      </c>
      <c r="C357">
        <v>72.75</v>
      </c>
      <c r="D357">
        <v>36.375</v>
      </c>
    </row>
    <row r="358" spans="1:4" x14ac:dyDescent="0.45">
      <c r="A358">
        <v>59184</v>
      </c>
      <c r="B358" s="72">
        <v>36307</v>
      </c>
      <c r="C358">
        <v>72.375</v>
      </c>
      <c r="D358">
        <v>36.1875</v>
      </c>
    </row>
    <row r="359" spans="1:4" x14ac:dyDescent="0.45">
      <c r="A359">
        <v>59184</v>
      </c>
      <c r="B359" s="72">
        <v>36308</v>
      </c>
      <c r="C359">
        <v>73.0625</v>
      </c>
      <c r="D359">
        <v>36.53125</v>
      </c>
    </row>
    <row r="360" spans="1:4" x14ac:dyDescent="0.45">
      <c r="A360">
        <v>59184</v>
      </c>
      <c r="B360" s="72">
        <v>36312</v>
      </c>
      <c r="C360">
        <v>73.6875</v>
      </c>
      <c r="D360">
        <v>36.84375</v>
      </c>
    </row>
    <row r="361" spans="1:4" x14ac:dyDescent="0.45">
      <c r="A361">
        <v>59184</v>
      </c>
      <c r="B361" s="72">
        <v>36313</v>
      </c>
      <c r="C361">
        <v>73.375</v>
      </c>
      <c r="D361">
        <v>36.6875</v>
      </c>
    </row>
    <row r="362" spans="1:4" x14ac:dyDescent="0.45">
      <c r="A362">
        <v>59184</v>
      </c>
      <c r="B362" s="72">
        <v>36314</v>
      </c>
      <c r="C362">
        <v>72.625</v>
      </c>
      <c r="D362">
        <v>36.3125</v>
      </c>
    </row>
    <row r="363" spans="1:4" x14ac:dyDescent="0.45">
      <c r="A363">
        <v>59184</v>
      </c>
      <c r="B363" s="72">
        <v>36315</v>
      </c>
      <c r="C363">
        <v>73.25</v>
      </c>
      <c r="D363">
        <v>36.625</v>
      </c>
    </row>
    <row r="364" spans="1:4" x14ac:dyDescent="0.45">
      <c r="A364">
        <v>59184</v>
      </c>
      <c r="B364" s="72">
        <v>36318</v>
      </c>
      <c r="C364">
        <v>74.0625</v>
      </c>
      <c r="D364">
        <v>37.03125</v>
      </c>
    </row>
    <row r="365" spans="1:4" x14ac:dyDescent="0.45">
      <c r="A365">
        <v>59184</v>
      </c>
      <c r="B365" s="72">
        <v>36319</v>
      </c>
      <c r="C365">
        <v>74.875</v>
      </c>
      <c r="D365">
        <v>37.4375</v>
      </c>
    </row>
    <row r="366" spans="1:4" x14ac:dyDescent="0.45">
      <c r="A366">
        <v>59184</v>
      </c>
      <c r="B366" s="72">
        <v>36320</v>
      </c>
      <c r="C366">
        <v>75.6875</v>
      </c>
      <c r="D366">
        <v>37.84375</v>
      </c>
    </row>
    <row r="367" spans="1:4" x14ac:dyDescent="0.45">
      <c r="A367">
        <v>59184</v>
      </c>
      <c r="B367" s="72">
        <v>36321</v>
      </c>
      <c r="C367">
        <v>73.8125</v>
      </c>
      <c r="D367">
        <v>36.90625</v>
      </c>
    </row>
    <row r="368" spans="1:4" x14ac:dyDescent="0.45">
      <c r="A368">
        <v>59184</v>
      </c>
      <c r="B368" s="72">
        <v>36322</v>
      </c>
      <c r="C368">
        <v>72.875</v>
      </c>
      <c r="D368">
        <v>36.4375</v>
      </c>
    </row>
    <row r="369" spans="1:4" x14ac:dyDescent="0.45">
      <c r="A369">
        <v>59184</v>
      </c>
      <c r="B369" s="72">
        <v>36325</v>
      </c>
      <c r="C369">
        <v>72.5</v>
      </c>
      <c r="D369">
        <v>36.25</v>
      </c>
    </row>
    <row r="370" spans="1:4" x14ac:dyDescent="0.45">
      <c r="A370">
        <v>59184</v>
      </c>
      <c r="B370" s="72">
        <v>36326</v>
      </c>
      <c r="C370">
        <v>72.5</v>
      </c>
      <c r="D370">
        <v>36.25</v>
      </c>
    </row>
    <row r="371" spans="1:4" x14ac:dyDescent="0.45">
      <c r="A371">
        <v>59184</v>
      </c>
      <c r="B371" s="72">
        <v>36327</v>
      </c>
      <c r="C371">
        <v>73.1875</v>
      </c>
      <c r="D371">
        <v>36.59375</v>
      </c>
    </row>
    <row r="372" spans="1:4" x14ac:dyDescent="0.45">
      <c r="A372">
        <v>59184</v>
      </c>
      <c r="B372" s="72">
        <v>36328</v>
      </c>
      <c r="C372">
        <v>73.8125</v>
      </c>
      <c r="D372">
        <v>36.90625</v>
      </c>
    </row>
    <row r="373" spans="1:4" x14ac:dyDescent="0.45">
      <c r="A373">
        <v>59184</v>
      </c>
      <c r="B373" s="72">
        <v>36329</v>
      </c>
      <c r="C373">
        <v>72.625</v>
      </c>
      <c r="D373">
        <v>36.3125</v>
      </c>
    </row>
    <row r="374" spans="1:4" x14ac:dyDescent="0.45">
      <c r="A374">
        <v>59184</v>
      </c>
      <c r="B374" s="72">
        <v>36332</v>
      </c>
      <c r="C374">
        <v>71.125</v>
      </c>
      <c r="D374">
        <v>35.5625</v>
      </c>
    </row>
    <row r="375" spans="1:4" x14ac:dyDescent="0.45">
      <c r="A375">
        <v>59184</v>
      </c>
      <c r="B375" s="72">
        <v>36333</v>
      </c>
      <c r="C375">
        <v>70.625</v>
      </c>
      <c r="D375">
        <v>35.3125</v>
      </c>
    </row>
    <row r="376" spans="1:4" x14ac:dyDescent="0.45">
      <c r="A376">
        <v>59184</v>
      </c>
      <c r="B376" s="72">
        <v>36334</v>
      </c>
      <c r="C376">
        <v>69.9375</v>
      </c>
      <c r="D376">
        <v>34.96875</v>
      </c>
    </row>
    <row r="377" spans="1:4" x14ac:dyDescent="0.45">
      <c r="A377">
        <v>59184</v>
      </c>
      <c r="B377" s="72">
        <v>36335</v>
      </c>
      <c r="C377">
        <v>70.875</v>
      </c>
      <c r="D377">
        <v>35.4375</v>
      </c>
    </row>
    <row r="378" spans="1:4" x14ac:dyDescent="0.45">
      <c r="A378">
        <v>59184</v>
      </c>
      <c r="B378" s="72">
        <v>36336</v>
      </c>
      <c r="C378">
        <v>70.9375</v>
      </c>
      <c r="D378">
        <v>35.46875</v>
      </c>
    </row>
    <row r="379" spans="1:4" x14ac:dyDescent="0.45">
      <c r="A379">
        <v>59184</v>
      </c>
      <c r="B379" s="72">
        <v>36339</v>
      </c>
      <c r="C379">
        <v>70.5</v>
      </c>
      <c r="D379">
        <v>35.25</v>
      </c>
    </row>
    <row r="380" spans="1:4" x14ac:dyDescent="0.45">
      <c r="A380">
        <v>59184</v>
      </c>
      <c r="B380" s="72">
        <v>36340</v>
      </c>
      <c r="C380">
        <v>71.25</v>
      </c>
      <c r="D380">
        <v>35.625</v>
      </c>
    </row>
    <row r="381" spans="1:4" x14ac:dyDescent="0.45">
      <c r="A381">
        <v>59184</v>
      </c>
      <c r="B381" s="72">
        <v>36341</v>
      </c>
      <c r="C381">
        <v>70.9375</v>
      </c>
      <c r="D381">
        <v>35.46875</v>
      </c>
    </row>
    <row r="382" spans="1:4" x14ac:dyDescent="0.45">
      <c r="A382">
        <v>59184</v>
      </c>
      <c r="B382" s="72">
        <v>36342</v>
      </c>
      <c r="C382">
        <v>72.125</v>
      </c>
      <c r="D382">
        <v>36.0625</v>
      </c>
    </row>
    <row r="383" spans="1:4" x14ac:dyDescent="0.45">
      <c r="A383">
        <v>59184</v>
      </c>
      <c r="B383" s="72">
        <v>36343</v>
      </c>
      <c r="C383">
        <v>74.125</v>
      </c>
      <c r="D383">
        <v>37.0625</v>
      </c>
    </row>
    <row r="384" spans="1:4" x14ac:dyDescent="0.45">
      <c r="A384">
        <v>59184</v>
      </c>
      <c r="B384" s="72">
        <v>36347</v>
      </c>
      <c r="C384">
        <v>71.625</v>
      </c>
      <c r="D384">
        <v>35.8125</v>
      </c>
    </row>
    <row r="385" spans="1:4" x14ac:dyDescent="0.45">
      <c r="A385">
        <v>59184</v>
      </c>
      <c r="B385" s="72">
        <v>36348</v>
      </c>
      <c r="C385">
        <v>72.375</v>
      </c>
      <c r="D385">
        <v>36.1875</v>
      </c>
    </row>
    <row r="386" spans="1:4" x14ac:dyDescent="0.45">
      <c r="A386">
        <v>59184</v>
      </c>
      <c r="B386" s="72">
        <v>36349</v>
      </c>
      <c r="C386">
        <v>73.75</v>
      </c>
      <c r="D386">
        <v>36.875</v>
      </c>
    </row>
    <row r="387" spans="1:4" x14ac:dyDescent="0.45">
      <c r="A387">
        <v>59184</v>
      </c>
      <c r="B387" s="72">
        <v>36350</v>
      </c>
      <c r="C387">
        <v>74.5</v>
      </c>
      <c r="D387">
        <v>37.25</v>
      </c>
    </row>
    <row r="388" spans="1:4" x14ac:dyDescent="0.45">
      <c r="A388">
        <v>59184</v>
      </c>
      <c r="B388" s="72">
        <v>36353</v>
      </c>
      <c r="C388">
        <v>74.9375</v>
      </c>
      <c r="D388">
        <v>37.46875</v>
      </c>
    </row>
    <row r="389" spans="1:4" x14ac:dyDescent="0.45">
      <c r="A389">
        <v>59184</v>
      </c>
      <c r="B389" s="72">
        <v>36354</v>
      </c>
      <c r="C389">
        <v>76.125</v>
      </c>
      <c r="D389">
        <v>38.0625</v>
      </c>
    </row>
    <row r="390" spans="1:4" x14ac:dyDescent="0.45">
      <c r="A390">
        <v>59184</v>
      </c>
      <c r="B390" s="72">
        <v>36355</v>
      </c>
      <c r="C390">
        <v>76.8125</v>
      </c>
      <c r="D390">
        <v>38.40625</v>
      </c>
    </row>
    <row r="391" spans="1:4" x14ac:dyDescent="0.45">
      <c r="A391">
        <v>59184</v>
      </c>
      <c r="B391" s="72">
        <v>36356</v>
      </c>
      <c r="C391">
        <v>77.375</v>
      </c>
      <c r="D391">
        <v>38.6875</v>
      </c>
    </row>
    <row r="392" spans="1:4" x14ac:dyDescent="0.45">
      <c r="A392">
        <v>59184</v>
      </c>
      <c r="B392" s="72">
        <v>36357</v>
      </c>
      <c r="C392">
        <v>78.1875</v>
      </c>
      <c r="D392">
        <v>39.09375</v>
      </c>
    </row>
    <row r="393" spans="1:4" x14ac:dyDescent="0.45">
      <c r="A393">
        <v>59184</v>
      </c>
      <c r="B393" s="72">
        <v>36360</v>
      </c>
      <c r="C393">
        <v>78.625</v>
      </c>
      <c r="D393">
        <v>39.3125</v>
      </c>
    </row>
    <row r="394" spans="1:4" x14ac:dyDescent="0.45">
      <c r="A394">
        <v>59184</v>
      </c>
      <c r="B394" s="72">
        <v>36361</v>
      </c>
      <c r="C394">
        <v>77.5</v>
      </c>
      <c r="D394">
        <v>38.75</v>
      </c>
    </row>
    <row r="395" spans="1:4" x14ac:dyDescent="0.45">
      <c r="A395">
        <v>59184</v>
      </c>
      <c r="B395" s="72">
        <v>36362</v>
      </c>
      <c r="C395">
        <v>77.25</v>
      </c>
      <c r="D395">
        <v>38.625</v>
      </c>
    </row>
    <row r="396" spans="1:4" x14ac:dyDescent="0.45">
      <c r="A396">
        <v>59184</v>
      </c>
      <c r="B396" s="72">
        <v>36363</v>
      </c>
      <c r="C396">
        <v>75.75</v>
      </c>
      <c r="D396">
        <v>37.875</v>
      </c>
    </row>
    <row r="397" spans="1:4" x14ac:dyDescent="0.45">
      <c r="A397">
        <v>59184</v>
      </c>
      <c r="B397" s="72">
        <v>36364</v>
      </c>
      <c r="C397">
        <v>74.375</v>
      </c>
      <c r="D397">
        <v>37.1875</v>
      </c>
    </row>
    <row r="398" spans="1:4" x14ac:dyDescent="0.45">
      <c r="A398">
        <v>59184</v>
      </c>
      <c r="B398" s="72">
        <v>36367</v>
      </c>
      <c r="C398">
        <v>76.75</v>
      </c>
      <c r="D398">
        <v>38.375</v>
      </c>
    </row>
    <row r="399" spans="1:4" x14ac:dyDescent="0.45">
      <c r="A399">
        <v>59184</v>
      </c>
      <c r="B399" s="72">
        <v>36368</v>
      </c>
      <c r="C399">
        <v>77.4375</v>
      </c>
      <c r="D399">
        <v>38.71875</v>
      </c>
    </row>
    <row r="400" spans="1:4" x14ac:dyDescent="0.45">
      <c r="A400">
        <v>59184</v>
      </c>
      <c r="B400" s="72">
        <v>36369</v>
      </c>
      <c r="C400">
        <v>77.75</v>
      </c>
      <c r="D400">
        <v>38.875</v>
      </c>
    </row>
    <row r="401" spans="1:4" x14ac:dyDescent="0.45">
      <c r="A401">
        <v>59184</v>
      </c>
      <c r="B401" s="72">
        <v>36370</v>
      </c>
      <c r="C401">
        <v>78</v>
      </c>
      <c r="D401">
        <v>39</v>
      </c>
    </row>
    <row r="402" spans="1:4" x14ac:dyDescent="0.45">
      <c r="A402">
        <v>59184</v>
      </c>
      <c r="B402" s="72">
        <v>36371</v>
      </c>
      <c r="C402">
        <v>78.9375</v>
      </c>
      <c r="D402">
        <v>39.46875</v>
      </c>
    </row>
    <row r="403" spans="1:4" x14ac:dyDescent="0.45">
      <c r="A403">
        <v>59184</v>
      </c>
      <c r="B403" s="72">
        <v>36374</v>
      </c>
      <c r="C403">
        <v>76.25</v>
      </c>
      <c r="D403">
        <v>38.125</v>
      </c>
    </row>
    <row r="404" spans="1:4" x14ac:dyDescent="0.45">
      <c r="A404">
        <v>59184</v>
      </c>
      <c r="B404" s="72">
        <v>36375</v>
      </c>
      <c r="C404">
        <v>75.3125</v>
      </c>
      <c r="D404">
        <v>37.65625</v>
      </c>
    </row>
    <row r="405" spans="1:4" x14ac:dyDescent="0.45">
      <c r="A405">
        <v>59184</v>
      </c>
      <c r="B405" s="72">
        <v>36376</v>
      </c>
      <c r="C405">
        <v>74.75</v>
      </c>
      <c r="D405">
        <v>37.375</v>
      </c>
    </row>
    <row r="406" spans="1:4" x14ac:dyDescent="0.45">
      <c r="A406">
        <v>59184</v>
      </c>
      <c r="B406" s="72">
        <v>36377</v>
      </c>
      <c r="C406">
        <v>73.25</v>
      </c>
      <c r="D406">
        <v>36.625</v>
      </c>
    </row>
    <row r="407" spans="1:4" x14ac:dyDescent="0.45">
      <c r="A407">
        <v>59184</v>
      </c>
      <c r="B407" s="72">
        <v>36378</v>
      </c>
      <c r="C407">
        <v>73.875</v>
      </c>
      <c r="D407">
        <v>36.9375</v>
      </c>
    </row>
    <row r="408" spans="1:4" x14ac:dyDescent="0.45">
      <c r="A408">
        <v>59184</v>
      </c>
      <c r="B408" s="72">
        <v>36381</v>
      </c>
      <c r="C408">
        <v>74.75</v>
      </c>
      <c r="D408">
        <v>37.375</v>
      </c>
    </row>
    <row r="409" spans="1:4" x14ac:dyDescent="0.45">
      <c r="A409">
        <v>59184</v>
      </c>
      <c r="B409" s="72">
        <v>36382</v>
      </c>
      <c r="C409">
        <v>74.6875</v>
      </c>
      <c r="D409">
        <v>37.34375</v>
      </c>
    </row>
    <row r="410" spans="1:4" x14ac:dyDescent="0.45">
      <c r="A410">
        <v>59184</v>
      </c>
      <c r="B410" s="72">
        <v>36383</v>
      </c>
      <c r="C410">
        <v>75.8125</v>
      </c>
      <c r="D410">
        <v>37.90625</v>
      </c>
    </row>
    <row r="411" spans="1:4" x14ac:dyDescent="0.45">
      <c r="A411">
        <v>59184</v>
      </c>
      <c r="B411" s="72">
        <v>36384</v>
      </c>
      <c r="C411">
        <v>76.3125</v>
      </c>
      <c r="D411">
        <v>38.15625</v>
      </c>
    </row>
    <row r="412" spans="1:4" x14ac:dyDescent="0.45">
      <c r="A412">
        <v>59184</v>
      </c>
      <c r="B412" s="72">
        <v>36385</v>
      </c>
      <c r="C412">
        <v>77</v>
      </c>
      <c r="D412">
        <v>38.5</v>
      </c>
    </row>
    <row r="413" spans="1:4" x14ac:dyDescent="0.45">
      <c r="A413">
        <v>59184</v>
      </c>
      <c r="B413" s="72">
        <v>36388</v>
      </c>
      <c r="C413">
        <v>75.875</v>
      </c>
      <c r="D413">
        <v>37.9375</v>
      </c>
    </row>
    <row r="414" spans="1:4" x14ac:dyDescent="0.45">
      <c r="A414">
        <v>59184</v>
      </c>
      <c r="B414" s="72">
        <v>36389</v>
      </c>
      <c r="C414">
        <v>76.875</v>
      </c>
      <c r="D414">
        <v>38.4375</v>
      </c>
    </row>
    <row r="415" spans="1:4" x14ac:dyDescent="0.45">
      <c r="A415">
        <v>59184</v>
      </c>
      <c r="B415" s="72">
        <v>36390</v>
      </c>
      <c r="C415">
        <v>75.375</v>
      </c>
      <c r="D415">
        <v>37.6875</v>
      </c>
    </row>
    <row r="416" spans="1:4" x14ac:dyDescent="0.45">
      <c r="A416">
        <v>59184</v>
      </c>
      <c r="B416" s="72">
        <v>36391</v>
      </c>
      <c r="C416">
        <v>74.5625</v>
      </c>
      <c r="D416">
        <v>37.28125</v>
      </c>
    </row>
    <row r="417" spans="1:4" x14ac:dyDescent="0.45">
      <c r="A417">
        <v>59184</v>
      </c>
      <c r="B417" s="72">
        <v>36392</v>
      </c>
      <c r="C417">
        <v>76.6875</v>
      </c>
      <c r="D417">
        <v>38.34375</v>
      </c>
    </row>
    <row r="418" spans="1:4" x14ac:dyDescent="0.45">
      <c r="A418">
        <v>59184</v>
      </c>
      <c r="B418" s="72">
        <v>36395</v>
      </c>
      <c r="C418">
        <v>77.375</v>
      </c>
      <c r="D418">
        <v>38.6875</v>
      </c>
    </row>
    <row r="419" spans="1:4" x14ac:dyDescent="0.45">
      <c r="A419">
        <v>59184</v>
      </c>
      <c r="B419" s="72">
        <v>36396</v>
      </c>
      <c r="C419">
        <v>77.375</v>
      </c>
      <c r="D419">
        <v>38.6875</v>
      </c>
    </row>
    <row r="420" spans="1:4" x14ac:dyDescent="0.45">
      <c r="A420">
        <v>59184</v>
      </c>
      <c r="B420" s="72">
        <v>36397</v>
      </c>
      <c r="C420">
        <v>80.125</v>
      </c>
      <c r="D420">
        <v>40.0625</v>
      </c>
    </row>
    <row r="421" spans="1:4" x14ac:dyDescent="0.45">
      <c r="A421">
        <v>59184</v>
      </c>
      <c r="B421" s="72">
        <v>36398</v>
      </c>
      <c r="C421">
        <v>79.1875</v>
      </c>
      <c r="D421">
        <v>39.59375</v>
      </c>
    </row>
    <row r="422" spans="1:4" x14ac:dyDescent="0.45">
      <c r="A422">
        <v>59184</v>
      </c>
      <c r="B422" s="72">
        <v>36399</v>
      </c>
      <c r="C422">
        <v>77.375</v>
      </c>
      <c r="D422">
        <v>38.6875</v>
      </c>
    </row>
    <row r="423" spans="1:4" x14ac:dyDescent="0.45">
      <c r="A423">
        <v>59184</v>
      </c>
      <c r="B423" s="72">
        <v>36402</v>
      </c>
      <c r="C423">
        <v>77.4375</v>
      </c>
      <c r="D423">
        <v>38.71875</v>
      </c>
    </row>
    <row r="424" spans="1:4" x14ac:dyDescent="0.45">
      <c r="A424">
        <v>59184</v>
      </c>
      <c r="B424" s="72">
        <v>36403</v>
      </c>
      <c r="C424">
        <v>77</v>
      </c>
      <c r="D424">
        <v>38.5</v>
      </c>
    </row>
    <row r="425" spans="1:4" x14ac:dyDescent="0.45">
      <c r="A425">
        <v>59184</v>
      </c>
      <c r="B425" s="72">
        <v>36404</v>
      </c>
      <c r="C425">
        <v>77</v>
      </c>
      <c r="D425">
        <v>38.5</v>
      </c>
    </row>
    <row r="426" spans="1:4" x14ac:dyDescent="0.45">
      <c r="A426">
        <v>59184</v>
      </c>
      <c r="B426" s="72">
        <v>36405</v>
      </c>
      <c r="C426">
        <v>77.25</v>
      </c>
      <c r="D426">
        <v>38.625</v>
      </c>
    </row>
    <row r="427" spans="1:4" x14ac:dyDescent="0.45">
      <c r="A427">
        <v>59184</v>
      </c>
      <c r="B427" s="72">
        <v>36406</v>
      </c>
      <c r="C427">
        <v>80</v>
      </c>
      <c r="D427">
        <v>40</v>
      </c>
    </row>
    <row r="428" spans="1:4" x14ac:dyDescent="0.45">
      <c r="A428">
        <v>59184</v>
      </c>
      <c r="B428" s="72">
        <v>36410</v>
      </c>
      <c r="C428">
        <v>80.75</v>
      </c>
      <c r="D428">
        <v>40.375</v>
      </c>
    </row>
    <row r="429" spans="1:4" x14ac:dyDescent="0.45">
      <c r="A429">
        <v>59184</v>
      </c>
      <c r="B429" s="72">
        <v>36411</v>
      </c>
      <c r="C429">
        <v>81.25</v>
      </c>
      <c r="D429">
        <v>40.625</v>
      </c>
    </row>
    <row r="430" spans="1:4" x14ac:dyDescent="0.45">
      <c r="A430">
        <v>59184</v>
      </c>
      <c r="B430" s="72">
        <v>36412</v>
      </c>
      <c r="C430">
        <v>81.625</v>
      </c>
      <c r="D430">
        <v>40.8125</v>
      </c>
    </row>
    <row r="431" spans="1:4" x14ac:dyDescent="0.45">
      <c r="A431">
        <v>59184</v>
      </c>
      <c r="B431" s="72">
        <v>36413</v>
      </c>
      <c r="C431">
        <v>76</v>
      </c>
      <c r="D431">
        <v>38</v>
      </c>
    </row>
    <row r="432" spans="1:4" x14ac:dyDescent="0.45">
      <c r="A432">
        <v>59184</v>
      </c>
      <c r="B432" s="72">
        <v>36416</v>
      </c>
      <c r="C432">
        <v>75.875</v>
      </c>
      <c r="D432">
        <v>37.9375</v>
      </c>
    </row>
    <row r="433" spans="1:4" x14ac:dyDescent="0.45">
      <c r="A433">
        <v>59184</v>
      </c>
      <c r="B433" s="72">
        <v>36417</v>
      </c>
      <c r="C433">
        <v>75.375</v>
      </c>
      <c r="D433">
        <v>37.6875</v>
      </c>
    </row>
    <row r="434" spans="1:4" x14ac:dyDescent="0.45">
      <c r="A434">
        <v>59184</v>
      </c>
      <c r="B434" s="72">
        <v>36418</v>
      </c>
      <c r="C434">
        <v>74.5</v>
      </c>
      <c r="D434">
        <v>37.25</v>
      </c>
    </row>
    <row r="435" spans="1:4" x14ac:dyDescent="0.45">
      <c r="A435">
        <v>59184</v>
      </c>
      <c r="B435" s="72">
        <v>36419</v>
      </c>
      <c r="C435">
        <v>74.3125</v>
      </c>
      <c r="D435">
        <v>37.15625</v>
      </c>
    </row>
    <row r="436" spans="1:4" x14ac:dyDescent="0.45">
      <c r="A436">
        <v>59184</v>
      </c>
      <c r="B436" s="72">
        <v>36420</v>
      </c>
      <c r="C436">
        <v>74</v>
      </c>
      <c r="D436">
        <v>37</v>
      </c>
    </row>
    <row r="437" spans="1:4" x14ac:dyDescent="0.45">
      <c r="A437">
        <v>59184</v>
      </c>
      <c r="B437" s="72">
        <v>36423</v>
      </c>
      <c r="C437">
        <v>73.4375</v>
      </c>
      <c r="D437">
        <v>36.71875</v>
      </c>
    </row>
    <row r="438" spans="1:4" x14ac:dyDescent="0.45">
      <c r="A438">
        <v>59184</v>
      </c>
      <c r="B438" s="72">
        <v>36424</v>
      </c>
      <c r="C438">
        <v>72.3125</v>
      </c>
      <c r="D438">
        <v>36.15625</v>
      </c>
    </row>
    <row r="439" spans="1:4" x14ac:dyDescent="0.45">
      <c r="A439">
        <v>59184</v>
      </c>
      <c r="B439" s="72">
        <v>36425</v>
      </c>
      <c r="C439">
        <v>71.3125</v>
      </c>
      <c r="D439">
        <v>35.65625</v>
      </c>
    </row>
    <row r="440" spans="1:4" x14ac:dyDescent="0.45">
      <c r="A440">
        <v>59184</v>
      </c>
      <c r="B440" s="72">
        <v>36426</v>
      </c>
      <c r="C440">
        <v>69.6875</v>
      </c>
      <c r="D440">
        <v>34.84375</v>
      </c>
    </row>
    <row r="441" spans="1:4" x14ac:dyDescent="0.45">
      <c r="A441">
        <v>59184</v>
      </c>
      <c r="B441" s="72">
        <v>36427</v>
      </c>
      <c r="C441">
        <v>71.75</v>
      </c>
      <c r="D441">
        <v>35.875</v>
      </c>
    </row>
    <row r="442" spans="1:4" x14ac:dyDescent="0.45">
      <c r="A442">
        <v>59184</v>
      </c>
      <c r="B442" s="72">
        <v>36430</v>
      </c>
      <c r="C442">
        <v>72.5</v>
      </c>
      <c r="D442">
        <v>36.25</v>
      </c>
    </row>
    <row r="443" spans="1:4" x14ac:dyDescent="0.45">
      <c r="A443">
        <v>59184</v>
      </c>
      <c r="B443" s="72">
        <v>36431</v>
      </c>
      <c r="C443">
        <v>71.625</v>
      </c>
      <c r="D443">
        <v>35.8125</v>
      </c>
    </row>
    <row r="444" spans="1:4" x14ac:dyDescent="0.45">
      <c r="A444">
        <v>59184</v>
      </c>
      <c r="B444" s="72">
        <v>36432</v>
      </c>
      <c r="C444">
        <v>69.8125</v>
      </c>
      <c r="D444">
        <v>34.90625</v>
      </c>
    </row>
    <row r="445" spans="1:4" x14ac:dyDescent="0.45">
      <c r="A445">
        <v>59184</v>
      </c>
      <c r="B445" s="72">
        <v>36433</v>
      </c>
      <c r="C445">
        <v>70.0625</v>
      </c>
      <c r="D445">
        <v>35.03125</v>
      </c>
    </row>
    <row r="446" spans="1:4" x14ac:dyDescent="0.45">
      <c r="A446">
        <v>59184</v>
      </c>
      <c r="B446" s="72">
        <v>36434</v>
      </c>
      <c r="C446">
        <v>71.875</v>
      </c>
      <c r="D446">
        <v>35.9375</v>
      </c>
    </row>
    <row r="447" spans="1:4" x14ac:dyDescent="0.45">
      <c r="A447">
        <v>59184</v>
      </c>
      <c r="B447" s="72">
        <v>36437</v>
      </c>
      <c r="C447">
        <v>72.125</v>
      </c>
      <c r="D447">
        <v>36.0625</v>
      </c>
    </row>
    <row r="448" spans="1:4" x14ac:dyDescent="0.45">
      <c r="A448">
        <v>59184</v>
      </c>
      <c r="B448" s="72">
        <v>36438</v>
      </c>
      <c r="C448">
        <v>70.625</v>
      </c>
      <c r="D448">
        <v>35.3125</v>
      </c>
    </row>
    <row r="449" spans="1:4" x14ac:dyDescent="0.45">
      <c r="A449">
        <v>59184</v>
      </c>
      <c r="B449" s="72">
        <v>36439</v>
      </c>
      <c r="C449">
        <v>68.3125</v>
      </c>
      <c r="D449">
        <v>34.15625</v>
      </c>
    </row>
    <row r="450" spans="1:4" x14ac:dyDescent="0.45">
      <c r="A450">
        <v>59184</v>
      </c>
      <c r="B450" s="72">
        <v>36440</v>
      </c>
      <c r="C450">
        <v>69.75</v>
      </c>
      <c r="D450">
        <v>34.875</v>
      </c>
    </row>
    <row r="451" spans="1:4" x14ac:dyDescent="0.45">
      <c r="A451">
        <v>59184</v>
      </c>
      <c r="B451" s="72">
        <v>36441</v>
      </c>
      <c r="C451">
        <v>70.4375</v>
      </c>
      <c r="D451">
        <v>35.21875</v>
      </c>
    </row>
    <row r="452" spans="1:4" x14ac:dyDescent="0.45">
      <c r="A452">
        <v>59184</v>
      </c>
      <c r="B452" s="72">
        <v>36444</v>
      </c>
      <c r="C452">
        <v>69.9375</v>
      </c>
      <c r="D452">
        <v>34.96875</v>
      </c>
    </row>
    <row r="453" spans="1:4" x14ac:dyDescent="0.45">
      <c r="A453">
        <v>59184</v>
      </c>
      <c r="B453" s="72">
        <v>36445</v>
      </c>
      <c r="C453">
        <v>70.0625</v>
      </c>
      <c r="D453">
        <v>35.03125</v>
      </c>
    </row>
    <row r="454" spans="1:4" x14ac:dyDescent="0.45">
      <c r="A454">
        <v>59184</v>
      </c>
      <c r="B454" s="72">
        <v>36446</v>
      </c>
      <c r="C454">
        <v>68.4375</v>
      </c>
      <c r="D454">
        <v>34.21875</v>
      </c>
    </row>
    <row r="455" spans="1:4" x14ac:dyDescent="0.45">
      <c r="A455">
        <v>59184</v>
      </c>
      <c r="B455" s="72">
        <v>36447</v>
      </c>
      <c r="C455">
        <v>68.875</v>
      </c>
      <c r="D455">
        <v>34.4375</v>
      </c>
    </row>
    <row r="456" spans="1:4" x14ac:dyDescent="0.45">
      <c r="A456">
        <v>59184</v>
      </c>
      <c r="B456" s="72">
        <v>36448</v>
      </c>
      <c r="C456">
        <v>67.25</v>
      </c>
      <c r="D456">
        <v>33.625</v>
      </c>
    </row>
    <row r="457" spans="1:4" x14ac:dyDescent="0.45">
      <c r="A457">
        <v>59184</v>
      </c>
      <c r="B457" s="72">
        <v>36451</v>
      </c>
      <c r="C457">
        <v>68.375</v>
      </c>
      <c r="D457">
        <v>34.1875</v>
      </c>
    </row>
    <row r="458" spans="1:4" x14ac:dyDescent="0.45">
      <c r="A458">
        <v>59184</v>
      </c>
      <c r="B458" s="72">
        <v>36452</v>
      </c>
      <c r="C458">
        <v>69.5</v>
      </c>
      <c r="D458">
        <v>34.75</v>
      </c>
    </row>
    <row r="459" spans="1:4" x14ac:dyDescent="0.45">
      <c r="A459">
        <v>59184</v>
      </c>
      <c r="B459" s="72">
        <v>36453</v>
      </c>
      <c r="C459">
        <v>71.375</v>
      </c>
      <c r="D459">
        <v>35.6875</v>
      </c>
    </row>
    <row r="460" spans="1:4" x14ac:dyDescent="0.45">
      <c r="A460">
        <v>59184</v>
      </c>
      <c r="B460" s="72">
        <v>36454</v>
      </c>
      <c r="C460">
        <v>70.5</v>
      </c>
      <c r="D460">
        <v>35.25</v>
      </c>
    </row>
    <row r="461" spans="1:4" x14ac:dyDescent="0.45">
      <c r="A461">
        <v>59184</v>
      </c>
      <c r="B461" s="72">
        <v>36455</v>
      </c>
      <c r="C461">
        <v>73.125</v>
      </c>
      <c r="D461">
        <v>36.5625</v>
      </c>
    </row>
    <row r="462" spans="1:4" x14ac:dyDescent="0.45">
      <c r="A462">
        <v>59184</v>
      </c>
      <c r="B462" s="72">
        <v>36458</v>
      </c>
      <c r="C462">
        <v>73</v>
      </c>
      <c r="D462">
        <v>36.5</v>
      </c>
    </row>
    <row r="463" spans="1:4" x14ac:dyDescent="0.45">
      <c r="A463">
        <v>59184</v>
      </c>
      <c r="B463" s="72">
        <v>36459</v>
      </c>
      <c r="C463">
        <v>69.375</v>
      </c>
      <c r="D463">
        <v>34.6875</v>
      </c>
    </row>
    <row r="464" spans="1:4" x14ac:dyDescent="0.45">
      <c r="A464">
        <v>59184</v>
      </c>
      <c r="B464" s="72">
        <v>36460</v>
      </c>
      <c r="C464">
        <v>67.875</v>
      </c>
      <c r="D464">
        <v>33.9375</v>
      </c>
    </row>
    <row r="465" spans="1:4" x14ac:dyDescent="0.45">
      <c r="A465">
        <v>59184</v>
      </c>
      <c r="B465" s="72">
        <v>36461</v>
      </c>
      <c r="C465">
        <v>71</v>
      </c>
      <c r="D465">
        <v>35.5</v>
      </c>
    </row>
    <row r="466" spans="1:4" x14ac:dyDescent="0.45">
      <c r="A466">
        <v>59184</v>
      </c>
      <c r="B466" s="72">
        <v>36462</v>
      </c>
      <c r="C466">
        <v>71.9375</v>
      </c>
      <c r="D466">
        <v>35.96875</v>
      </c>
    </row>
    <row r="467" spans="1:4" x14ac:dyDescent="0.45">
      <c r="A467">
        <v>59184</v>
      </c>
      <c r="B467" s="72">
        <v>36465</v>
      </c>
      <c r="C467">
        <v>70.125</v>
      </c>
      <c r="D467">
        <v>35.0625</v>
      </c>
    </row>
    <row r="468" spans="1:4" x14ac:dyDescent="0.45">
      <c r="A468">
        <v>59184</v>
      </c>
      <c r="B468" s="72">
        <v>36466</v>
      </c>
      <c r="C468">
        <v>70.9375</v>
      </c>
      <c r="D468">
        <v>35.46875</v>
      </c>
    </row>
    <row r="469" spans="1:4" x14ac:dyDescent="0.45">
      <c r="A469">
        <v>59184</v>
      </c>
      <c r="B469" s="72">
        <v>36467</v>
      </c>
      <c r="C469">
        <v>71.5625</v>
      </c>
      <c r="D469">
        <v>35.78125</v>
      </c>
    </row>
    <row r="470" spans="1:4" x14ac:dyDescent="0.45">
      <c r="A470">
        <v>59184</v>
      </c>
      <c r="B470" s="72">
        <v>36468</v>
      </c>
      <c r="C470">
        <v>72.5625</v>
      </c>
      <c r="D470">
        <v>36.28125</v>
      </c>
    </row>
    <row r="471" spans="1:4" x14ac:dyDescent="0.45">
      <c r="A471">
        <v>59184</v>
      </c>
      <c r="B471" s="72">
        <v>36469</v>
      </c>
      <c r="C471">
        <v>73.375</v>
      </c>
      <c r="D471">
        <v>36.6875</v>
      </c>
    </row>
    <row r="472" spans="1:4" x14ac:dyDescent="0.45">
      <c r="A472">
        <v>59184</v>
      </c>
      <c r="B472" s="72">
        <v>36472</v>
      </c>
      <c r="C472">
        <v>72.3125</v>
      </c>
      <c r="D472">
        <v>36.15625</v>
      </c>
    </row>
    <row r="473" spans="1:4" x14ac:dyDescent="0.45">
      <c r="A473">
        <v>59184</v>
      </c>
      <c r="B473" s="72">
        <v>36473</v>
      </c>
      <c r="C473">
        <v>71.5</v>
      </c>
      <c r="D473">
        <v>35.75</v>
      </c>
    </row>
    <row r="474" spans="1:4" x14ac:dyDescent="0.45">
      <c r="A474">
        <v>59184</v>
      </c>
      <c r="B474" s="72">
        <v>36474</v>
      </c>
      <c r="C474">
        <v>71</v>
      </c>
      <c r="D474">
        <v>35.5</v>
      </c>
    </row>
    <row r="475" spans="1:4" x14ac:dyDescent="0.45">
      <c r="A475">
        <v>59184</v>
      </c>
      <c r="B475" s="72">
        <v>36475</v>
      </c>
      <c r="C475">
        <v>70.9375</v>
      </c>
      <c r="D475">
        <v>35.46875</v>
      </c>
    </row>
    <row r="476" spans="1:4" x14ac:dyDescent="0.45">
      <c r="A476">
        <v>59184</v>
      </c>
      <c r="B476" s="72">
        <v>36476</v>
      </c>
      <c r="C476">
        <v>71.1875</v>
      </c>
      <c r="D476">
        <v>35.59375</v>
      </c>
    </row>
    <row r="477" spans="1:4" x14ac:dyDescent="0.45">
      <c r="A477">
        <v>59184</v>
      </c>
      <c r="B477" s="72">
        <v>36479</v>
      </c>
      <c r="C477">
        <v>71</v>
      </c>
      <c r="D477">
        <v>35.5</v>
      </c>
    </row>
    <row r="478" spans="1:4" x14ac:dyDescent="0.45">
      <c r="A478">
        <v>59184</v>
      </c>
      <c r="B478" s="72">
        <v>36480</v>
      </c>
      <c r="C478">
        <v>72.25</v>
      </c>
      <c r="D478">
        <v>36.125</v>
      </c>
    </row>
    <row r="479" spans="1:4" x14ac:dyDescent="0.45">
      <c r="A479">
        <v>59184</v>
      </c>
      <c r="B479" s="72">
        <v>36481</v>
      </c>
      <c r="C479">
        <v>75.3125</v>
      </c>
      <c r="D479">
        <v>37.65625</v>
      </c>
    </row>
    <row r="480" spans="1:4" x14ac:dyDescent="0.45">
      <c r="A480">
        <v>59184</v>
      </c>
      <c r="B480" s="72">
        <v>36482</v>
      </c>
      <c r="C480">
        <v>76.375</v>
      </c>
      <c r="D480">
        <v>38.1875</v>
      </c>
    </row>
    <row r="481" spans="1:4" x14ac:dyDescent="0.45">
      <c r="A481">
        <v>59184</v>
      </c>
      <c r="B481" s="72">
        <v>36483</v>
      </c>
      <c r="C481">
        <v>76.125</v>
      </c>
      <c r="D481">
        <v>38.0625</v>
      </c>
    </row>
    <row r="482" spans="1:4" x14ac:dyDescent="0.45">
      <c r="A482">
        <v>59184</v>
      </c>
      <c r="B482" s="72">
        <v>36486</v>
      </c>
      <c r="C482">
        <v>76</v>
      </c>
      <c r="D482">
        <v>38</v>
      </c>
    </row>
    <row r="483" spans="1:4" x14ac:dyDescent="0.45">
      <c r="A483">
        <v>59184</v>
      </c>
      <c r="B483" s="72">
        <v>36487</v>
      </c>
      <c r="C483">
        <v>74.6875</v>
      </c>
      <c r="D483">
        <v>37.34375</v>
      </c>
    </row>
    <row r="484" spans="1:4" x14ac:dyDescent="0.45">
      <c r="A484">
        <v>59184</v>
      </c>
      <c r="B484" s="72">
        <v>36488</v>
      </c>
      <c r="C484">
        <v>76.125</v>
      </c>
      <c r="D484">
        <v>38.0625</v>
      </c>
    </row>
    <row r="485" spans="1:4" x14ac:dyDescent="0.45">
      <c r="A485">
        <v>59184</v>
      </c>
      <c r="B485" s="72">
        <v>36490</v>
      </c>
      <c r="C485">
        <v>75.875</v>
      </c>
      <c r="D485">
        <v>37.9375</v>
      </c>
    </row>
    <row r="486" spans="1:4" x14ac:dyDescent="0.45">
      <c r="A486">
        <v>59184</v>
      </c>
      <c r="B486" s="72">
        <v>36493</v>
      </c>
      <c r="C486">
        <v>75</v>
      </c>
      <c r="D486">
        <v>37.5</v>
      </c>
    </row>
    <row r="487" spans="1:4" x14ac:dyDescent="0.45">
      <c r="A487">
        <v>59184</v>
      </c>
      <c r="B487" s="72">
        <v>36494</v>
      </c>
      <c r="C487">
        <v>74.8125</v>
      </c>
      <c r="D487">
        <v>37.40625</v>
      </c>
    </row>
    <row r="488" spans="1:4" x14ac:dyDescent="0.45">
      <c r="A488">
        <v>59184</v>
      </c>
      <c r="B488" s="72">
        <v>36495</v>
      </c>
      <c r="C488">
        <v>75</v>
      </c>
      <c r="D488">
        <v>37.5</v>
      </c>
    </row>
    <row r="489" spans="1:4" x14ac:dyDescent="0.45">
      <c r="A489">
        <v>59184</v>
      </c>
      <c r="B489" s="72">
        <v>36496</v>
      </c>
      <c r="C489">
        <v>74.34375</v>
      </c>
      <c r="D489">
        <v>37.171875</v>
      </c>
    </row>
    <row r="490" spans="1:4" x14ac:dyDescent="0.45">
      <c r="A490">
        <v>59184</v>
      </c>
      <c r="B490" s="72">
        <v>36497</v>
      </c>
      <c r="C490">
        <v>73.4375</v>
      </c>
      <c r="D490">
        <v>36.71875</v>
      </c>
    </row>
    <row r="491" spans="1:4" x14ac:dyDescent="0.45">
      <c r="A491">
        <v>59184</v>
      </c>
      <c r="B491" s="72">
        <v>36500</v>
      </c>
      <c r="C491">
        <v>73</v>
      </c>
      <c r="D491">
        <v>36.5</v>
      </c>
    </row>
    <row r="492" spans="1:4" x14ac:dyDescent="0.45">
      <c r="A492">
        <v>59184</v>
      </c>
      <c r="B492" s="72">
        <v>36501</v>
      </c>
      <c r="C492">
        <v>73</v>
      </c>
      <c r="D492">
        <v>36.5</v>
      </c>
    </row>
    <row r="493" spans="1:4" x14ac:dyDescent="0.45">
      <c r="A493">
        <v>59184</v>
      </c>
      <c r="B493" s="72">
        <v>36502</v>
      </c>
      <c r="C493">
        <v>74</v>
      </c>
      <c r="D493">
        <v>37</v>
      </c>
    </row>
    <row r="494" spans="1:4" x14ac:dyDescent="0.45">
      <c r="A494">
        <v>59184</v>
      </c>
      <c r="B494" s="72">
        <v>36503</v>
      </c>
      <c r="C494">
        <v>73.125</v>
      </c>
      <c r="D494">
        <v>36.5625</v>
      </c>
    </row>
    <row r="495" spans="1:4" x14ac:dyDescent="0.45">
      <c r="A495">
        <v>59184</v>
      </c>
      <c r="B495" s="72">
        <v>36504</v>
      </c>
      <c r="C495">
        <v>73</v>
      </c>
      <c r="D495">
        <v>36.5</v>
      </c>
    </row>
    <row r="496" spans="1:4" x14ac:dyDescent="0.45">
      <c r="A496">
        <v>59184</v>
      </c>
      <c r="B496" s="72">
        <v>36507</v>
      </c>
      <c r="C496">
        <v>72.375</v>
      </c>
      <c r="D496">
        <v>36.1875</v>
      </c>
    </row>
    <row r="497" spans="1:4" x14ac:dyDescent="0.45">
      <c r="A497">
        <v>59184</v>
      </c>
      <c r="B497" s="72">
        <v>36508</v>
      </c>
      <c r="C497">
        <v>74.1875</v>
      </c>
      <c r="D497">
        <v>37.09375</v>
      </c>
    </row>
    <row r="498" spans="1:4" x14ac:dyDescent="0.45">
      <c r="A498">
        <v>59184</v>
      </c>
      <c r="B498" s="72">
        <v>36509</v>
      </c>
      <c r="C498">
        <v>72.3125</v>
      </c>
      <c r="D498">
        <v>36.15625</v>
      </c>
    </row>
    <row r="499" spans="1:4" x14ac:dyDescent="0.45">
      <c r="A499">
        <v>59184</v>
      </c>
      <c r="B499" s="72">
        <v>36510</v>
      </c>
      <c r="C499">
        <v>71.75</v>
      </c>
      <c r="D499">
        <v>35.875</v>
      </c>
    </row>
    <row r="500" spans="1:4" x14ac:dyDescent="0.45">
      <c r="A500">
        <v>59184</v>
      </c>
      <c r="B500" s="72">
        <v>36511</v>
      </c>
      <c r="C500">
        <v>68</v>
      </c>
      <c r="D500">
        <v>34</v>
      </c>
    </row>
    <row r="501" spans="1:4" x14ac:dyDescent="0.45">
      <c r="A501">
        <v>59184</v>
      </c>
      <c r="B501" s="72">
        <v>36514</v>
      </c>
      <c r="C501">
        <v>68.5</v>
      </c>
      <c r="D501">
        <v>34.25</v>
      </c>
    </row>
    <row r="502" spans="1:4" x14ac:dyDescent="0.45">
      <c r="A502">
        <v>59184</v>
      </c>
      <c r="B502" s="72">
        <v>36515</v>
      </c>
      <c r="C502">
        <v>66.75</v>
      </c>
      <c r="D502">
        <v>33.375</v>
      </c>
    </row>
    <row r="503" spans="1:4" x14ac:dyDescent="0.45">
      <c r="A503">
        <v>59184</v>
      </c>
      <c r="B503" s="72">
        <v>36516</v>
      </c>
      <c r="C503">
        <v>66.6875</v>
      </c>
      <c r="D503">
        <v>33.34375</v>
      </c>
    </row>
    <row r="504" spans="1:4" x14ac:dyDescent="0.45">
      <c r="A504">
        <v>59184</v>
      </c>
      <c r="B504" s="72">
        <v>36517</v>
      </c>
      <c r="C504">
        <v>67.3125</v>
      </c>
      <c r="D504">
        <v>33.65625</v>
      </c>
    </row>
    <row r="505" spans="1:4" x14ac:dyDescent="0.45">
      <c r="A505">
        <v>59184</v>
      </c>
      <c r="B505" s="72">
        <v>36521</v>
      </c>
      <c r="C505">
        <v>69.125</v>
      </c>
      <c r="D505">
        <v>34.5625</v>
      </c>
    </row>
    <row r="506" spans="1:4" x14ac:dyDescent="0.45">
      <c r="A506">
        <v>59184</v>
      </c>
      <c r="B506" s="72">
        <v>36522</v>
      </c>
      <c r="C506">
        <v>69.875</v>
      </c>
      <c r="D506">
        <v>34.9375</v>
      </c>
    </row>
    <row r="507" spans="1:4" x14ac:dyDescent="0.45">
      <c r="A507">
        <v>59184</v>
      </c>
      <c r="B507" s="72">
        <v>36523</v>
      </c>
      <c r="C507">
        <v>69.4375</v>
      </c>
      <c r="D507">
        <v>34.71875</v>
      </c>
    </row>
    <row r="508" spans="1:4" x14ac:dyDescent="0.45">
      <c r="A508">
        <v>59184</v>
      </c>
      <c r="B508" s="72">
        <v>36524</v>
      </c>
      <c r="C508">
        <v>70.8125</v>
      </c>
      <c r="D508">
        <v>35.40625</v>
      </c>
    </row>
    <row r="509" spans="1:4" x14ac:dyDescent="0.45">
      <c r="A509">
        <v>59184</v>
      </c>
      <c r="B509" s="72">
        <v>36525</v>
      </c>
      <c r="C509">
        <v>70.875</v>
      </c>
      <c r="D509">
        <v>35.4375</v>
      </c>
    </row>
    <row r="510" spans="1:4" x14ac:dyDescent="0.45">
      <c r="A510">
        <v>59184</v>
      </c>
      <c r="B510" s="72">
        <v>36528</v>
      </c>
      <c r="C510">
        <v>70</v>
      </c>
      <c r="D510">
        <v>35</v>
      </c>
    </row>
    <row r="511" spans="1:4" x14ac:dyDescent="0.45">
      <c r="A511">
        <v>59184</v>
      </c>
      <c r="B511" s="72">
        <v>36529</v>
      </c>
      <c r="C511">
        <v>70.1875</v>
      </c>
      <c r="D511">
        <v>35.09375</v>
      </c>
    </row>
    <row r="512" spans="1:4" x14ac:dyDescent="0.45">
      <c r="A512">
        <v>59184</v>
      </c>
      <c r="B512" s="72">
        <v>36530</v>
      </c>
      <c r="C512">
        <v>73.4375</v>
      </c>
      <c r="D512">
        <v>36.71875</v>
      </c>
    </row>
    <row r="513" spans="1:4" x14ac:dyDescent="0.45">
      <c r="A513">
        <v>59184</v>
      </c>
      <c r="B513" s="72">
        <v>36531</v>
      </c>
      <c r="C513">
        <v>74.5</v>
      </c>
      <c r="D513">
        <v>37.25</v>
      </c>
    </row>
    <row r="514" spans="1:4" x14ac:dyDescent="0.45">
      <c r="A514">
        <v>59184</v>
      </c>
      <c r="B514" s="72">
        <v>36532</v>
      </c>
      <c r="C514">
        <v>76.125</v>
      </c>
      <c r="D514">
        <v>38.0625</v>
      </c>
    </row>
    <row r="515" spans="1:4" x14ac:dyDescent="0.45">
      <c r="A515">
        <v>59184</v>
      </c>
      <c r="B515" s="72">
        <v>36535</v>
      </c>
      <c r="C515">
        <v>74.5</v>
      </c>
      <c r="D515">
        <v>37.25</v>
      </c>
    </row>
    <row r="516" spans="1:4" x14ac:dyDescent="0.45">
      <c r="A516">
        <v>59184</v>
      </c>
      <c r="B516" s="72">
        <v>36536</v>
      </c>
      <c r="C516">
        <v>73.5625</v>
      </c>
      <c r="D516">
        <v>36.78125</v>
      </c>
    </row>
    <row r="517" spans="1:4" x14ac:dyDescent="0.45">
      <c r="A517">
        <v>59184</v>
      </c>
      <c r="B517" s="72">
        <v>36537</v>
      </c>
      <c r="C517">
        <v>75.6875</v>
      </c>
      <c r="D517">
        <v>37.84375</v>
      </c>
    </row>
    <row r="518" spans="1:4" x14ac:dyDescent="0.45">
      <c r="A518">
        <v>59184</v>
      </c>
      <c r="B518" s="72">
        <v>36538</v>
      </c>
      <c r="C518">
        <v>74.25</v>
      </c>
      <c r="D518">
        <v>37.125</v>
      </c>
    </row>
    <row r="519" spans="1:4" x14ac:dyDescent="0.45">
      <c r="A519">
        <v>59184</v>
      </c>
      <c r="B519" s="72">
        <v>36539</v>
      </c>
      <c r="C519">
        <v>73.1875</v>
      </c>
      <c r="D519">
        <v>36.59375</v>
      </c>
    </row>
    <row r="520" spans="1:4" x14ac:dyDescent="0.45">
      <c r="A520">
        <v>59184</v>
      </c>
      <c r="B520" s="72">
        <v>36543</v>
      </c>
      <c r="C520">
        <v>71.375</v>
      </c>
      <c r="D520">
        <v>35.6875</v>
      </c>
    </row>
    <row r="521" spans="1:4" x14ac:dyDescent="0.45">
      <c r="A521">
        <v>59184</v>
      </c>
      <c r="B521" s="72">
        <v>36544</v>
      </c>
      <c r="C521">
        <v>72.5</v>
      </c>
      <c r="D521">
        <v>36.25</v>
      </c>
    </row>
    <row r="522" spans="1:4" x14ac:dyDescent="0.45">
      <c r="A522">
        <v>59184</v>
      </c>
      <c r="B522" s="72">
        <v>36545</v>
      </c>
      <c r="C522">
        <v>71.625</v>
      </c>
      <c r="D522">
        <v>35.8125</v>
      </c>
    </row>
    <row r="523" spans="1:4" x14ac:dyDescent="0.45">
      <c r="A523">
        <v>59184</v>
      </c>
      <c r="B523" s="72">
        <v>36546</v>
      </c>
      <c r="C523">
        <v>71</v>
      </c>
      <c r="D523">
        <v>35.5</v>
      </c>
    </row>
    <row r="524" spans="1:4" x14ac:dyDescent="0.45">
      <c r="A524">
        <v>59184</v>
      </c>
      <c r="B524" s="72">
        <v>36549</v>
      </c>
      <c r="C524">
        <v>69.125</v>
      </c>
      <c r="D524">
        <v>34.5625</v>
      </c>
    </row>
    <row r="525" spans="1:4" x14ac:dyDescent="0.45">
      <c r="A525">
        <v>59184</v>
      </c>
      <c r="B525" s="72">
        <v>36550</v>
      </c>
      <c r="C525">
        <v>68.25</v>
      </c>
      <c r="D525">
        <v>34.125</v>
      </c>
    </row>
    <row r="526" spans="1:4" x14ac:dyDescent="0.45">
      <c r="A526">
        <v>59184</v>
      </c>
      <c r="B526" s="72">
        <v>36551</v>
      </c>
      <c r="C526">
        <v>67.5625</v>
      </c>
      <c r="D526">
        <v>33.78125</v>
      </c>
    </row>
    <row r="527" spans="1:4" x14ac:dyDescent="0.45">
      <c r="A527">
        <v>59184</v>
      </c>
      <c r="B527" s="72">
        <v>36552</v>
      </c>
      <c r="C527">
        <v>66.875</v>
      </c>
      <c r="D527">
        <v>33.4375</v>
      </c>
    </row>
    <row r="528" spans="1:4" x14ac:dyDescent="0.45">
      <c r="A528">
        <v>59184</v>
      </c>
      <c r="B528" s="72">
        <v>36553</v>
      </c>
      <c r="C528">
        <v>66.75</v>
      </c>
      <c r="D528">
        <v>33.375</v>
      </c>
    </row>
    <row r="529" spans="1:4" x14ac:dyDescent="0.45">
      <c r="A529">
        <v>59184</v>
      </c>
      <c r="B529" s="72">
        <v>36556</v>
      </c>
      <c r="C529">
        <v>67.5</v>
      </c>
      <c r="D529">
        <v>33.75</v>
      </c>
    </row>
    <row r="530" spans="1:4" x14ac:dyDescent="0.45">
      <c r="A530">
        <v>59184</v>
      </c>
      <c r="B530" s="72">
        <v>36557</v>
      </c>
      <c r="C530">
        <v>69</v>
      </c>
      <c r="D530">
        <v>34.5</v>
      </c>
    </row>
    <row r="531" spans="1:4" x14ac:dyDescent="0.45">
      <c r="A531">
        <v>59184</v>
      </c>
      <c r="B531" s="72">
        <v>36558</v>
      </c>
      <c r="C531">
        <v>69.8125</v>
      </c>
      <c r="D531">
        <v>34.90625</v>
      </c>
    </row>
    <row r="532" spans="1:4" x14ac:dyDescent="0.45">
      <c r="A532">
        <v>59184</v>
      </c>
      <c r="B532" s="72">
        <v>36559</v>
      </c>
      <c r="C532">
        <v>67.75</v>
      </c>
      <c r="D532">
        <v>33.875</v>
      </c>
    </row>
    <row r="533" spans="1:4" x14ac:dyDescent="0.45">
      <c r="A533">
        <v>59184</v>
      </c>
      <c r="B533" s="72">
        <v>36560</v>
      </c>
      <c r="C533">
        <v>66.75</v>
      </c>
      <c r="D533">
        <v>33.375</v>
      </c>
    </row>
    <row r="534" spans="1:4" x14ac:dyDescent="0.45">
      <c r="A534">
        <v>59184</v>
      </c>
      <c r="B534" s="72">
        <v>36563</v>
      </c>
      <c r="C534">
        <v>67.1875</v>
      </c>
      <c r="D534">
        <v>33.59375</v>
      </c>
    </row>
    <row r="535" spans="1:4" x14ac:dyDescent="0.45">
      <c r="A535">
        <v>59184</v>
      </c>
      <c r="B535" s="72">
        <v>36564</v>
      </c>
      <c r="C535">
        <v>66.5625</v>
      </c>
      <c r="D535">
        <v>33.28125</v>
      </c>
    </row>
    <row r="536" spans="1:4" x14ac:dyDescent="0.45">
      <c r="A536">
        <v>59184</v>
      </c>
      <c r="B536" s="72">
        <v>36565</v>
      </c>
      <c r="C536">
        <v>66.5</v>
      </c>
      <c r="D536">
        <v>33.25</v>
      </c>
    </row>
    <row r="537" spans="1:4" x14ac:dyDescent="0.45">
      <c r="A537">
        <v>59184</v>
      </c>
      <c r="B537" s="72">
        <v>36566</v>
      </c>
      <c r="C537">
        <v>66.8125</v>
      </c>
      <c r="D537">
        <v>33.40625</v>
      </c>
    </row>
    <row r="538" spans="1:4" x14ac:dyDescent="0.45">
      <c r="A538">
        <v>59184</v>
      </c>
      <c r="B538" s="72">
        <v>36567</v>
      </c>
      <c r="C538">
        <v>65.0625</v>
      </c>
      <c r="D538">
        <v>32.53125</v>
      </c>
    </row>
    <row r="539" spans="1:4" x14ac:dyDescent="0.45">
      <c r="A539">
        <v>59184</v>
      </c>
      <c r="B539" s="72">
        <v>36570</v>
      </c>
      <c r="C539">
        <v>62.125</v>
      </c>
      <c r="D539">
        <v>31.0625</v>
      </c>
    </row>
    <row r="540" spans="1:4" x14ac:dyDescent="0.45">
      <c r="A540">
        <v>59184</v>
      </c>
      <c r="B540" s="72">
        <v>36571</v>
      </c>
      <c r="C540">
        <v>63.0625</v>
      </c>
      <c r="D540">
        <v>31.53125</v>
      </c>
    </row>
    <row r="541" spans="1:4" x14ac:dyDescent="0.45">
      <c r="A541">
        <v>59184</v>
      </c>
      <c r="B541" s="72">
        <v>36572</v>
      </c>
      <c r="C541">
        <v>61.8125</v>
      </c>
      <c r="D541">
        <v>30.90625</v>
      </c>
    </row>
    <row r="542" spans="1:4" x14ac:dyDescent="0.45">
      <c r="A542">
        <v>59184</v>
      </c>
      <c r="B542" s="72">
        <v>36573</v>
      </c>
      <c r="C542">
        <v>60.4375</v>
      </c>
      <c r="D542">
        <v>30.21875</v>
      </c>
    </row>
    <row r="543" spans="1:4" x14ac:dyDescent="0.45">
      <c r="A543">
        <v>59184</v>
      </c>
      <c r="B543" s="72">
        <v>36574</v>
      </c>
      <c r="C543">
        <v>60.0625</v>
      </c>
      <c r="D543">
        <v>30.03125</v>
      </c>
    </row>
    <row r="544" spans="1:4" x14ac:dyDescent="0.45">
      <c r="A544">
        <v>59184</v>
      </c>
      <c r="B544" s="72">
        <v>36578</v>
      </c>
      <c r="C544">
        <v>61.6875</v>
      </c>
      <c r="D544">
        <v>30.84375</v>
      </c>
    </row>
    <row r="545" spans="1:4" x14ac:dyDescent="0.45">
      <c r="A545">
        <v>59184</v>
      </c>
      <c r="B545" s="72">
        <v>36579</v>
      </c>
      <c r="C545">
        <v>62.25</v>
      </c>
      <c r="D545">
        <v>31.125</v>
      </c>
    </row>
    <row r="546" spans="1:4" x14ac:dyDescent="0.45">
      <c r="A546">
        <v>59184</v>
      </c>
      <c r="B546" s="72">
        <v>36580</v>
      </c>
      <c r="C546">
        <v>58.6875</v>
      </c>
      <c r="D546">
        <v>29.34375</v>
      </c>
    </row>
    <row r="547" spans="1:4" x14ac:dyDescent="0.45">
      <c r="A547">
        <v>59184</v>
      </c>
      <c r="B547" s="72">
        <v>36581</v>
      </c>
      <c r="C547">
        <v>60</v>
      </c>
      <c r="D547">
        <v>30</v>
      </c>
    </row>
    <row r="548" spans="1:4" x14ac:dyDescent="0.45">
      <c r="A548">
        <v>59184</v>
      </c>
      <c r="B548" s="72">
        <v>36584</v>
      </c>
      <c r="C548">
        <v>61.25</v>
      </c>
      <c r="D548">
        <v>30.625</v>
      </c>
    </row>
    <row r="549" spans="1:4" x14ac:dyDescent="0.45">
      <c r="A549">
        <v>59184</v>
      </c>
      <c r="B549" s="72">
        <v>36585</v>
      </c>
      <c r="C549">
        <v>64</v>
      </c>
      <c r="D549">
        <v>32</v>
      </c>
    </row>
    <row r="550" spans="1:4" x14ac:dyDescent="0.45">
      <c r="A550">
        <v>59184</v>
      </c>
      <c r="B550" s="72">
        <v>36586</v>
      </c>
      <c r="C550">
        <v>63</v>
      </c>
      <c r="D550">
        <v>31.5</v>
      </c>
    </row>
    <row r="551" spans="1:4" x14ac:dyDescent="0.45">
      <c r="A551">
        <v>59184</v>
      </c>
      <c r="B551" s="72">
        <v>36587</v>
      </c>
      <c r="C551">
        <v>60.375</v>
      </c>
      <c r="D551">
        <v>30.1875</v>
      </c>
    </row>
    <row r="552" spans="1:4" x14ac:dyDescent="0.45">
      <c r="A552">
        <v>59184</v>
      </c>
      <c r="B552" s="72">
        <v>36588</v>
      </c>
      <c r="C552">
        <v>61.75</v>
      </c>
      <c r="D552">
        <v>30.875</v>
      </c>
    </row>
    <row r="553" spans="1:4" x14ac:dyDescent="0.45">
      <c r="A553">
        <v>59184</v>
      </c>
      <c r="B553" s="72">
        <v>36591</v>
      </c>
      <c r="C553">
        <v>60.25</v>
      </c>
      <c r="D553">
        <v>30.125</v>
      </c>
    </row>
    <row r="554" spans="1:4" x14ac:dyDescent="0.45">
      <c r="A554">
        <v>59184</v>
      </c>
      <c r="B554" s="72">
        <v>36592</v>
      </c>
      <c r="C554">
        <v>56.5625</v>
      </c>
      <c r="D554">
        <v>28.28125</v>
      </c>
    </row>
    <row r="555" spans="1:4" x14ac:dyDescent="0.45">
      <c r="A555">
        <v>59184</v>
      </c>
      <c r="B555" s="72">
        <v>36593</v>
      </c>
      <c r="C555">
        <v>57.6875</v>
      </c>
      <c r="D555">
        <v>28.84375</v>
      </c>
    </row>
    <row r="556" spans="1:4" x14ac:dyDescent="0.45">
      <c r="A556">
        <v>59184</v>
      </c>
      <c r="B556" s="72">
        <v>36594</v>
      </c>
      <c r="C556">
        <v>58</v>
      </c>
      <c r="D556">
        <v>29</v>
      </c>
    </row>
    <row r="557" spans="1:4" x14ac:dyDescent="0.45">
      <c r="A557">
        <v>59184</v>
      </c>
      <c r="B557" s="72">
        <v>36595</v>
      </c>
      <c r="C557">
        <v>56.75</v>
      </c>
      <c r="D557">
        <v>28.375</v>
      </c>
    </row>
    <row r="558" spans="1:4" x14ac:dyDescent="0.45">
      <c r="A558">
        <v>59184</v>
      </c>
      <c r="B558" s="72">
        <v>36598</v>
      </c>
      <c r="C558">
        <v>56.375</v>
      </c>
      <c r="D558">
        <v>28.1875</v>
      </c>
    </row>
    <row r="559" spans="1:4" x14ac:dyDescent="0.45">
      <c r="A559">
        <v>59184</v>
      </c>
      <c r="B559" s="72">
        <v>36599</v>
      </c>
      <c r="C559">
        <v>54.9375</v>
      </c>
      <c r="D559">
        <v>27.46875</v>
      </c>
    </row>
    <row r="560" spans="1:4" x14ac:dyDescent="0.45">
      <c r="A560">
        <v>59184</v>
      </c>
      <c r="B560" s="72">
        <v>36600</v>
      </c>
      <c r="C560">
        <v>59.1875</v>
      </c>
      <c r="D560">
        <v>29.59375</v>
      </c>
    </row>
    <row r="561" spans="1:4" x14ac:dyDescent="0.45">
      <c r="A561">
        <v>59184</v>
      </c>
      <c r="B561" s="72">
        <v>36601</v>
      </c>
      <c r="C561">
        <v>61.5625</v>
      </c>
      <c r="D561">
        <v>30.78125</v>
      </c>
    </row>
    <row r="562" spans="1:4" x14ac:dyDescent="0.45">
      <c r="A562">
        <v>59184</v>
      </c>
      <c r="B562" s="72">
        <v>36602</v>
      </c>
      <c r="C562">
        <v>60.4375</v>
      </c>
      <c r="D562">
        <v>30.21875</v>
      </c>
    </row>
    <row r="563" spans="1:4" x14ac:dyDescent="0.45">
      <c r="A563">
        <v>59184</v>
      </c>
      <c r="B563" s="72">
        <v>36605</v>
      </c>
      <c r="C563">
        <v>59</v>
      </c>
      <c r="D563">
        <v>29.5</v>
      </c>
    </row>
    <row r="564" spans="1:4" x14ac:dyDescent="0.45">
      <c r="A564">
        <v>59184</v>
      </c>
      <c r="B564" s="72">
        <v>36606</v>
      </c>
      <c r="C564">
        <v>59.5625</v>
      </c>
      <c r="D564">
        <v>29.78125</v>
      </c>
    </row>
    <row r="565" spans="1:4" x14ac:dyDescent="0.45">
      <c r="A565">
        <v>59184</v>
      </c>
      <c r="B565" s="72">
        <v>36607</v>
      </c>
      <c r="C565">
        <v>58.75</v>
      </c>
      <c r="D565">
        <v>29.375</v>
      </c>
    </row>
    <row r="566" spans="1:4" x14ac:dyDescent="0.45">
      <c r="A566">
        <v>59184</v>
      </c>
      <c r="B566" s="72">
        <v>36608</v>
      </c>
      <c r="C566">
        <v>59.125</v>
      </c>
      <c r="D566">
        <v>29.5625</v>
      </c>
    </row>
    <row r="567" spans="1:4" x14ac:dyDescent="0.45">
      <c r="A567">
        <v>59184</v>
      </c>
      <c r="B567" s="72">
        <v>36609</v>
      </c>
      <c r="C567">
        <v>57.3125</v>
      </c>
      <c r="D567">
        <v>28.65625</v>
      </c>
    </row>
    <row r="568" spans="1:4" x14ac:dyDescent="0.45">
      <c r="A568">
        <v>59184</v>
      </c>
      <c r="B568" s="72">
        <v>36612</v>
      </c>
      <c r="C568">
        <v>57.75</v>
      </c>
      <c r="D568">
        <v>28.875</v>
      </c>
    </row>
    <row r="569" spans="1:4" x14ac:dyDescent="0.45">
      <c r="A569">
        <v>59184</v>
      </c>
      <c r="B569" s="72">
        <v>36613</v>
      </c>
      <c r="C569">
        <v>58</v>
      </c>
      <c r="D569">
        <v>29</v>
      </c>
    </row>
    <row r="570" spans="1:4" x14ac:dyDescent="0.45">
      <c r="A570">
        <v>59184</v>
      </c>
      <c r="B570" s="72">
        <v>36614</v>
      </c>
      <c r="C570">
        <v>60.4375</v>
      </c>
      <c r="D570">
        <v>30.21875</v>
      </c>
    </row>
    <row r="571" spans="1:4" x14ac:dyDescent="0.45">
      <c r="A571">
        <v>59184</v>
      </c>
      <c r="B571" s="72">
        <v>36615</v>
      </c>
      <c r="C571">
        <v>64.3125</v>
      </c>
      <c r="D571">
        <v>32.15625</v>
      </c>
    </row>
    <row r="572" spans="1:4" x14ac:dyDescent="0.45">
      <c r="A572">
        <v>59184</v>
      </c>
      <c r="B572" s="72">
        <v>36616</v>
      </c>
      <c r="C572">
        <v>62.25</v>
      </c>
      <c r="D572">
        <v>31.125</v>
      </c>
    </row>
    <row r="573" spans="1:4" x14ac:dyDescent="0.45">
      <c r="A573">
        <v>59184</v>
      </c>
      <c r="B573" s="72">
        <v>36619</v>
      </c>
      <c r="C573">
        <v>66.3125</v>
      </c>
      <c r="D573">
        <v>33.15625</v>
      </c>
    </row>
    <row r="574" spans="1:4" x14ac:dyDescent="0.45">
      <c r="A574">
        <v>59184</v>
      </c>
      <c r="B574" s="72">
        <v>36620</v>
      </c>
      <c r="C574">
        <v>66.9375</v>
      </c>
      <c r="D574">
        <v>33.46875</v>
      </c>
    </row>
    <row r="575" spans="1:4" x14ac:dyDescent="0.45">
      <c r="A575">
        <v>59184</v>
      </c>
      <c r="B575" s="72">
        <v>36621</v>
      </c>
      <c r="C575">
        <v>66.375</v>
      </c>
      <c r="D575">
        <v>33.1875</v>
      </c>
    </row>
    <row r="576" spans="1:4" x14ac:dyDescent="0.45">
      <c r="A576">
        <v>59184</v>
      </c>
      <c r="B576" s="72">
        <v>36622</v>
      </c>
      <c r="C576">
        <v>65.4375</v>
      </c>
      <c r="D576">
        <v>32.71875</v>
      </c>
    </row>
    <row r="577" spans="1:4" x14ac:dyDescent="0.45">
      <c r="A577">
        <v>59184</v>
      </c>
      <c r="B577" s="72">
        <v>36623</v>
      </c>
      <c r="C577">
        <v>65.375</v>
      </c>
      <c r="D577">
        <v>32.6875</v>
      </c>
    </row>
    <row r="578" spans="1:4" x14ac:dyDescent="0.45">
      <c r="A578">
        <v>59184</v>
      </c>
      <c r="B578" s="72">
        <v>36626</v>
      </c>
      <c r="C578">
        <v>67.1875</v>
      </c>
      <c r="D578">
        <v>33.59375</v>
      </c>
    </row>
    <row r="579" spans="1:4" x14ac:dyDescent="0.45">
      <c r="A579">
        <v>59184</v>
      </c>
      <c r="B579" s="72">
        <v>36627</v>
      </c>
      <c r="C579">
        <v>69</v>
      </c>
      <c r="D579">
        <v>34.5</v>
      </c>
    </row>
    <row r="580" spans="1:4" x14ac:dyDescent="0.45">
      <c r="A580">
        <v>59184</v>
      </c>
      <c r="B580" s="72">
        <v>36628</v>
      </c>
      <c r="C580">
        <v>70.25</v>
      </c>
      <c r="D580">
        <v>35.125</v>
      </c>
    </row>
    <row r="581" spans="1:4" x14ac:dyDescent="0.45">
      <c r="A581">
        <v>59184</v>
      </c>
      <c r="B581" s="72">
        <v>36629</v>
      </c>
      <c r="C581">
        <v>70.5</v>
      </c>
      <c r="D581">
        <v>35.25</v>
      </c>
    </row>
    <row r="582" spans="1:4" x14ac:dyDescent="0.45">
      <c r="A582">
        <v>59184</v>
      </c>
      <c r="B582" s="72">
        <v>36630</v>
      </c>
      <c r="C582">
        <v>65.8125</v>
      </c>
      <c r="D582">
        <v>32.90625</v>
      </c>
    </row>
    <row r="583" spans="1:4" x14ac:dyDescent="0.45">
      <c r="A583">
        <v>59184</v>
      </c>
      <c r="B583" s="72">
        <v>36633</v>
      </c>
      <c r="C583">
        <v>67.1875</v>
      </c>
      <c r="D583">
        <v>33.59375</v>
      </c>
    </row>
    <row r="584" spans="1:4" x14ac:dyDescent="0.45">
      <c r="A584">
        <v>59184</v>
      </c>
      <c r="B584" s="72">
        <v>36634</v>
      </c>
      <c r="C584">
        <v>67.9375</v>
      </c>
      <c r="D584">
        <v>33.96875</v>
      </c>
    </row>
    <row r="585" spans="1:4" x14ac:dyDescent="0.45">
      <c r="A585">
        <v>59184</v>
      </c>
      <c r="B585" s="72">
        <v>36635</v>
      </c>
      <c r="C585">
        <v>67.8125</v>
      </c>
      <c r="D585">
        <v>33.90625</v>
      </c>
    </row>
    <row r="586" spans="1:4" x14ac:dyDescent="0.45">
      <c r="A586">
        <v>59184</v>
      </c>
      <c r="B586" s="72">
        <v>36636</v>
      </c>
      <c r="C586">
        <v>71.625</v>
      </c>
      <c r="D586">
        <v>35.8125</v>
      </c>
    </row>
    <row r="587" spans="1:4" x14ac:dyDescent="0.45">
      <c r="A587">
        <v>59184</v>
      </c>
      <c r="B587" s="72">
        <v>36640</v>
      </c>
      <c r="C587">
        <v>74.75</v>
      </c>
      <c r="D587">
        <v>37.375</v>
      </c>
    </row>
    <row r="588" spans="1:4" x14ac:dyDescent="0.45">
      <c r="A588">
        <v>59184</v>
      </c>
      <c r="B588" s="72">
        <v>36641</v>
      </c>
      <c r="C588">
        <v>74.375</v>
      </c>
      <c r="D588">
        <v>37.1875</v>
      </c>
    </row>
    <row r="589" spans="1:4" x14ac:dyDescent="0.45">
      <c r="A589">
        <v>59184</v>
      </c>
      <c r="B589" s="72">
        <v>36642</v>
      </c>
      <c r="C589">
        <v>74.5625</v>
      </c>
      <c r="D589">
        <v>37.28125</v>
      </c>
    </row>
    <row r="590" spans="1:4" x14ac:dyDescent="0.45">
      <c r="A590">
        <v>59184</v>
      </c>
      <c r="B590" s="72">
        <v>36643</v>
      </c>
      <c r="C590">
        <v>71.375</v>
      </c>
      <c r="D590">
        <v>35.6875</v>
      </c>
    </row>
    <row r="591" spans="1:4" x14ac:dyDescent="0.45">
      <c r="A591">
        <v>59184</v>
      </c>
      <c r="B591" s="72">
        <v>36644</v>
      </c>
      <c r="C591">
        <v>70.5625</v>
      </c>
      <c r="D591">
        <v>35.28125</v>
      </c>
    </row>
    <row r="592" spans="1:4" x14ac:dyDescent="0.45">
      <c r="A592">
        <v>59184</v>
      </c>
      <c r="B592" s="72">
        <v>36647</v>
      </c>
      <c r="C592">
        <v>70</v>
      </c>
      <c r="D592">
        <v>35</v>
      </c>
    </row>
    <row r="593" spans="1:4" x14ac:dyDescent="0.45">
      <c r="A593">
        <v>59184</v>
      </c>
      <c r="B593" s="72">
        <v>36648</v>
      </c>
      <c r="C593">
        <v>70.125</v>
      </c>
      <c r="D593">
        <v>35.0625</v>
      </c>
    </row>
    <row r="594" spans="1:4" x14ac:dyDescent="0.45">
      <c r="A594">
        <v>59184</v>
      </c>
      <c r="B594" s="72">
        <v>36649</v>
      </c>
      <c r="C594">
        <v>72</v>
      </c>
      <c r="D594">
        <v>36</v>
      </c>
    </row>
    <row r="595" spans="1:4" x14ac:dyDescent="0.45">
      <c r="A595">
        <v>59184</v>
      </c>
      <c r="B595" s="72">
        <v>36650</v>
      </c>
      <c r="C595">
        <v>74</v>
      </c>
      <c r="D595">
        <v>37</v>
      </c>
    </row>
    <row r="596" spans="1:4" x14ac:dyDescent="0.45">
      <c r="A596">
        <v>59184</v>
      </c>
      <c r="B596" s="72">
        <v>36651</v>
      </c>
      <c r="C596">
        <v>72.5625</v>
      </c>
      <c r="D596">
        <v>36.28125</v>
      </c>
    </row>
    <row r="597" spans="1:4" x14ac:dyDescent="0.45">
      <c r="A597">
        <v>59184</v>
      </c>
      <c r="B597" s="72">
        <v>36654</v>
      </c>
      <c r="C597">
        <v>72.875</v>
      </c>
      <c r="D597">
        <v>36.4375</v>
      </c>
    </row>
    <row r="598" spans="1:4" x14ac:dyDescent="0.45">
      <c r="A598">
        <v>59184</v>
      </c>
      <c r="B598" s="72">
        <v>36655</v>
      </c>
      <c r="C598">
        <v>74.8125</v>
      </c>
      <c r="D598">
        <v>37.40625</v>
      </c>
    </row>
    <row r="599" spans="1:4" x14ac:dyDescent="0.45">
      <c r="A599">
        <v>59184</v>
      </c>
      <c r="B599" s="72">
        <v>36656</v>
      </c>
      <c r="C599">
        <v>76.9375</v>
      </c>
      <c r="D599">
        <v>38.46875</v>
      </c>
    </row>
    <row r="600" spans="1:4" x14ac:dyDescent="0.45">
      <c r="A600">
        <v>59184</v>
      </c>
      <c r="B600" s="72">
        <v>36657</v>
      </c>
      <c r="C600">
        <v>78.9375</v>
      </c>
      <c r="D600">
        <v>39.46875</v>
      </c>
    </row>
    <row r="601" spans="1:4" x14ac:dyDescent="0.45">
      <c r="A601">
        <v>59184</v>
      </c>
      <c r="B601" s="72">
        <v>36658</v>
      </c>
      <c r="C601">
        <v>76.875</v>
      </c>
      <c r="D601">
        <v>38.4375</v>
      </c>
    </row>
    <row r="602" spans="1:4" x14ac:dyDescent="0.45">
      <c r="A602">
        <v>59184</v>
      </c>
      <c r="B602" s="72">
        <v>36661</v>
      </c>
      <c r="C602">
        <v>77.4375</v>
      </c>
      <c r="D602">
        <v>38.71875</v>
      </c>
    </row>
    <row r="603" spans="1:4" x14ac:dyDescent="0.45">
      <c r="A603">
        <v>59184</v>
      </c>
      <c r="B603" s="72">
        <v>36662</v>
      </c>
      <c r="C603">
        <v>77</v>
      </c>
      <c r="D603">
        <v>38.5</v>
      </c>
    </row>
    <row r="604" spans="1:4" x14ac:dyDescent="0.45">
      <c r="A604">
        <v>59184</v>
      </c>
      <c r="B604" s="72">
        <v>36663</v>
      </c>
      <c r="C604">
        <v>76.25</v>
      </c>
      <c r="D604">
        <v>38.125</v>
      </c>
    </row>
    <row r="605" spans="1:4" x14ac:dyDescent="0.45">
      <c r="A605">
        <v>59184</v>
      </c>
      <c r="B605" s="72">
        <v>36664</v>
      </c>
      <c r="C605">
        <v>76</v>
      </c>
      <c r="D605">
        <v>38</v>
      </c>
    </row>
    <row r="606" spans="1:4" x14ac:dyDescent="0.45">
      <c r="A606">
        <v>59184</v>
      </c>
      <c r="B606" s="72">
        <v>36665</v>
      </c>
      <c r="C606">
        <v>75.3125</v>
      </c>
      <c r="D606">
        <v>37.65625</v>
      </c>
    </row>
    <row r="607" spans="1:4" x14ac:dyDescent="0.45">
      <c r="A607">
        <v>59184</v>
      </c>
      <c r="B607" s="72">
        <v>36668</v>
      </c>
      <c r="C607">
        <v>76.8125</v>
      </c>
      <c r="D607">
        <v>38.40625</v>
      </c>
    </row>
    <row r="608" spans="1:4" x14ac:dyDescent="0.45">
      <c r="A608">
        <v>59184</v>
      </c>
      <c r="B608" s="72">
        <v>36669</v>
      </c>
      <c r="C608">
        <v>77.75</v>
      </c>
      <c r="D608">
        <v>38.875</v>
      </c>
    </row>
    <row r="609" spans="1:4" x14ac:dyDescent="0.45">
      <c r="A609">
        <v>59184</v>
      </c>
      <c r="B609" s="72">
        <v>36670</v>
      </c>
      <c r="C609">
        <v>79.8125</v>
      </c>
      <c r="D609">
        <v>39.90625</v>
      </c>
    </row>
    <row r="610" spans="1:4" x14ac:dyDescent="0.45">
      <c r="A610">
        <v>59184</v>
      </c>
      <c r="B610" s="72">
        <v>36671</v>
      </c>
      <c r="C610">
        <v>79.75</v>
      </c>
      <c r="D610">
        <v>39.875</v>
      </c>
    </row>
    <row r="611" spans="1:4" x14ac:dyDescent="0.45">
      <c r="A611">
        <v>59184</v>
      </c>
      <c r="B611" s="72">
        <v>36672</v>
      </c>
      <c r="C611">
        <v>81.3125</v>
      </c>
      <c r="D611">
        <v>40.65625</v>
      </c>
    </row>
    <row r="612" spans="1:4" x14ac:dyDescent="0.45">
      <c r="A612">
        <v>59184</v>
      </c>
      <c r="B612" s="72">
        <v>36676</v>
      </c>
      <c r="C612">
        <v>79.25</v>
      </c>
      <c r="D612">
        <v>39.625</v>
      </c>
    </row>
    <row r="613" spans="1:4" x14ac:dyDescent="0.45">
      <c r="A613">
        <v>59184</v>
      </c>
      <c r="B613" s="72">
        <v>36677</v>
      </c>
      <c r="C613">
        <v>77.5</v>
      </c>
      <c r="D613">
        <v>38.75</v>
      </c>
    </row>
    <row r="614" spans="1:4" x14ac:dyDescent="0.45">
      <c r="A614">
        <v>59184</v>
      </c>
      <c r="B614" s="72">
        <v>36678</v>
      </c>
      <c r="C614">
        <v>77.75</v>
      </c>
      <c r="D614">
        <v>38.875</v>
      </c>
    </row>
    <row r="615" spans="1:4" x14ac:dyDescent="0.45">
      <c r="A615">
        <v>59184</v>
      </c>
      <c r="B615" s="72">
        <v>36679</v>
      </c>
      <c r="C615">
        <v>72.6875</v>
      </c>
      <c r="D615">
        <v>36.34375</v>
      </c>
    </row>
    <row r="616" spans="1:4" x14ac:dyDescent="0.45">
      <c r="A616">
        <v>59184</v>
      </c>
      <c r="B616" s="72">
        <v>36682</v>
      </c>
      <c r="C616">
        <v>74.6875</v>
      </c>
      <c r="D616">
        <v>37.34375</v>
      </c>
    </row>
    <row r="617" spans="1:4" x14ac:dyDescent="0.45">
      <c r="A617">
        <v>59184</v>
      </c>
      <c r="B617" s="72">
        <v>36683</v>
      </c>
      <c r="C617">
        <v>74.5</v>
      </c>
      <c r="D617">
        <v>37.25</v>
      </c>
    </row>
    <row r="618" spans="1:4" x14ac:dyDescent="0.45">
      <c r="A618">
        <v>59184</v>
      </c>
      <c r="B618" s="72">
        <v>36684</v>
      </c>
      <c r="C618">
        <v>77.0625</v>
      </c>
      <c r="D618">
        <v>38.53125</v>
      </c>
    </row>
    <row r="619" spans="1:4" x14ac:dyDescent="0.45">
      <c r="A619">
        <v>59184</v>
      </c>
      <c r="B619" s="72">
        <v>36685</v>
      </c>
      <c r="C619">
        <v>78.6875</v>
      </c>
      <c r="D619">
        <v>39.34375</v>
      </c>
    </row>
    <row r="620" spans="1:4" x14ac:dyDescent="0.45">
      <c r="A620">
        <v>59184</v>
      </c>
      <c r="B620" s="72">
        <v>36686</v>
      </c>
      <c r="C620">
        <v>77.6875</v>
      </c>
      <c r="D620">
        <v>38.84375</v>
      </c>
    </row>
    <row r="621" spans="1:4" x14ac:dyDescent="0.45">
      <c r="A621">
        <v>59184</v>
      </c>
      <c r="B621" s="72">
        <v>36689</v>
      </c>
      <c r="C621">
        <v>75.8125</v>
      </c>
      <c r="D621">
        <v>37.90625</v>
      </c>
    </row>
    <row r="622" spans="1:4" x14ac:dyDescent="0.45">
      <c r="A622">
        <v>59184</v>
      </c>
      <c r="B622" s="72">
        <v>36690</v>
      </c>
      <c r="C622">
        <v>79.4375</v>
      </c>
      <c r="D622">
        <v>39.71875</v>
      </c>
    </row>
    <row r="623" spans="1:4" x14ac:dyDescent="0.45">
      <c r="A623">
        <v>59184</v>
      </c>
      <c r="B623" s="72">
        <v>36691</v>
      </c>
      <c r="C623">
        <v>80.1875</v>
      </c>
      <c r="D623">
        <v>40.09375</v>
      </c>
    </row>
    <row r="624" spans="1:4" x14ac:dyDescent="0.45">
      <c r="A624">
        <v>59184</v>
      </c>
      <c r="B624" s="72">
        <v>36692</v>
      </c>
      <c r="C624">
        <v>80.8125</v>
      </c>
      <c r="D624">
        <v>40.40625</v>
      </c>
    </row>
    <row r="625" spans="1:4" x14ac:dyDescent="0.45">
      <c r="A625">
        <v>59184</v>
      </c>
      <c r="B625" s="72">
        <v>36693</v>
      </c>
      <c r="C625">
        <v>77.25</v>
      </c>
      <c r="D625">
        <v>38.625</v>
      </c>
    </row>
    <row r="626" spans="1:4" x14ac:dyDescent="0.45">
      <c r="A626">
        <v>59184</v>
      </c>
      <c r="B626" s="72">
        <v>36696</v>
      </c>
      <c r="C626">
        <v>77.6875</v>
      </c>
      <c r="D626">
        <v>38.84375</v>
      </c>
    </row>
    <row r="627" spans="1:4" x14ac:dyDescent="0.45">
      <c r="A627">
        <v>59184</v>
      </c>
      <c r="B627" s="72">
        <v>36697</v>
      </c>
      <c r="C627">
        <v>74.6875</v>
      </c>
      <c r="D627">
        <v>37.34375</v>
      </c>
    </row>
    <row r="628" spans="1:4" x14ac:dyDescent="0.45">
      <c r="A628">
        <v>59184</v>
      </c>
      <c r="B628" s="72">
        <v>36698</v>
      </c>
      <c r="C628">
        <v>74.75</v>
      </c>
      <c r="D628">
        <v>37.375</v>
      </c>
    </row>
    <row r="629" spans="1:4" x14ac:dyDescent="0.45">
      <c r="A629">
        <v>59184</v>
      </c>
      <c r="B629" s="72">
        <v>36699</v>
      </c>
      <c r="C629">
        <v>76</v>
      </c>
      <c r="D629">
        <v>38</v>
      </c>
    </row>
    <row r="630" spans="1:4" x14ac:dyDescent="0.45">
      <c r="A630">
        <v>59184</v>
      </c>
      <c r="B630" s="72">
        <v>36700</v>
      </c>
      <c r="C630">
        <v>76.3125</v>
      </c>
      <c r="D630">
        <v>38.15625</v>
      </c>
    </row>
    <row r="631" spans="1:4" x14ac:dyDescent="0.45">
      <c r="A631">
        <v>59184</v>
      </c>
      <c r="B631" s="72">
        <v>36703</v>
      </c>
      <c r="C631">
        <v>79.25</v>
      </c>
      <c r="D631">
        <v>39.625</v>
      </c>
    </row>
    <row r="632" spans="1:4" x14ac:dyDescent="0.45">
      <c r="A632">
        <v>59184</v>
      </c>
      <c r="B632" s="72">
        <v>36704</v>
      </c>
      <c r="C632">
        <v>77.25</v>
      </c>
      <c r="D632">
        <v>38.625</v>
      </c>
    </row>
    <row r="633" spans="1:4" x14ac:dyDescent="0.45">
      <c r="A633">
        <v>59184</v>
      </c>
      <c r="B633" s="72">
        <v>36705</v>
      </c>
      <c r="C633">
        <v>77.1875</v>
      </c>
      <c r="D633">
        <v>38.59375</v>
      </c>
    </row>
    <row r="634" spans="1:4" x14ac:dyDescent="0.45">
      <c r="A634">
        <v>59184</v>
      </c>
      <c r="B634" s="72">
        <v>36706</v>
      </c>
      <c r="C634">
        <v>76.125</v>
      </c>
      <c r="D634">
        <v>38.0625</v>
      </c>
    </row>
    <row r="635" spans="1:4" x14ac:dyDescent="0.45">
      <c r="A635">
        <v>59184</v>
      </c>
      <c r="B635" s="72">
        <v>36707</v>
      </c>
      <c r="C635">
        <v>74.6875</v>
      </c>
      <c r="D635">
        <v>37.34375</v>
      </c>
    </row>
    <row r="636" spans="1:4" x14ac:dyDescent="0.45">
      <c r="A636">
        <v>59184</v>
      </c>
      <c r="B636" s="72">
        <v>36710</v>
      </c>
      <c r="C636">
        <v>76.25</v>
      </c>
      <c r="D636">
        <v>38.125</v>
      </c>
    </row>
    <row r="637" spans="1:4" x14ac:dyDescent="0.45">
      <c r="A637">
        <v>59184</v>
      </c>
      <c r="B637" s="72">
        <v>36712</v>
      </c>
      <c r="C637">
        <v>77.125</v>
      </c>
      <c r="D637">
        <v>38.5625</v>
      </c>
    </row>
    <row r="638" spans="1:4" x14ac:dyDescent="0.45">
      <c r="A638">
        <v>59184</v>
      </c>
      <c r="B638" s="72">
        <v>36713</v>
      </c>
      <c r="C638">
        <v>77.75</v>
      </c>
      <c r="D638">
        <v>38.875</v>
      </c>
    </row>
    <row r="639" spans="1:4" x14ac:dyDescent="0.45">
      <c r="A639">
        <v>59184</v>
      </c>
      <c r="B639" s="72">
        <v>36714</v>
      </c>
      <c r="C639">
        <v>77.125</v>
      </c>
      <c r="D639">
        <v>38.5625</v>
      </c>
    </row>
    <row r="640" spans="1:4" x14ac:dyDescent="0.45">
      <c r="A640">
        <v>59184</v>
      </c>
      <c r="B640" s="72">
        <v>36717</v>
      </c>
      <c r="C640">
        <v>78</v>
      </c>
      <c r="D640">
        <v>39</v>
      </c>
    </row>
    <row r="641" spans="1:4" x14ac:dyDescent="0.45">
      <c r="A641">
        <v>59184</v>
      </c>
      <c r="B641" s="72">
        <v>36718</v>
      </c>
      <c r="C641">
        <v>79.375</v>
      </c>
      <c r="D641">
        <v>39.6875</v>
      </c>
    </row>
    <row r="642" spans="1:4" x14ac:dyDescent="0.45">
      <c r="A642">
        <v>59184</v>
      </c>
      <c r="B642" s="72">
        <v>36719</v>
      </c>
      <c r="C642">
        <v>79.0625</v>
      </c>
      <c r="D642">
        <v>39.53125</v>
      </c>
    </row>
    <row r="643" spans="1:4" x14ac:dyDescent="0.45">
      <c r="A643">
        <v>59184</v>
      </c>
      <c r="B643" s="72">
        <v>36720</v>
      </c>
      <c r="C643">
        <v>80.125</v>
      </c>
      <c r="D643">
        <v>40.0625</v>
      </c>
    </row>
    <row r="644" spans="1:4" x14ac:dyDescent="0.45">
      <c r="A644">
        <v>59184</v>
      </c>
      <c r="B644" s="72">
        <v>36721</v>
      </c>
      <c r="C644">
        <v>79</v>
      </c>
      <c r="D644">
        <v>39.5</v>
      </c>
    </row>
    <row r="645" spans="1:4" x14ac:dyDescent="0.45">
      <c r="A645">
        <v>59184</v>
      </c>
      <c r="B645" s="72">
        <v>36724</v>
      </c>
      <c r="C645">
        <v>80.625</v>
      </c>
      <c r="D645">
        <v>40.3125</v>
      </c>
    </row>
    <row r="646" spans="1:4" x14ac:dyDescent="0.45">
      <c r="A646">
        <v>59184</v>
      </c>
      <c r="B646" s="72">
        <v>36725</v>
      </c>
      <c r="C646">
        <v>81.5625</v>
      </c>
      <c r="D646">
        <v>40.78125</v>
      </c>
    </row>
    <row r="647" spans="1:4" x14ac:dyDescent="0.45">
      <c r="A647">
        <v>59184</v>
      </c>
      <c r="B647" s="72">
        <v>36726</v>
      </c>
      <c r="C647">
        <v>82.125</v>
      </c>
      <c r="D647">
        <v>41.0625</v>
      </c>
    </row>
    <row r="648" spans="1:4" x14ac:dyDescent="0.45">
      <c r="A648">
        <v>59184</v>
      </c>
      <c r="B648" s="72">
        <v>36727</v>
      </c>
      <c r="C648">
        <v>80.8125</v>
      </c>
      <c r="D648">
        <v>40.40625</v>
      </c>
    </row>
    <row r="649" spans="1:4" x14ac:dyDescent="0.45">
      <c r="A649">
        <v>59184</v>
      </c>
      <c r="B649" s="72">
        <v>36728</v>
      </c>
      <c r="C649">
        <v>78.875</v>
      </c>
      <c r="D649">
        <v>39.4375</v>
      </c>
    </row>
    <row r="650" spans="1:4" x14ac:dyDescent="0.45">
      <c r="A650">
        <v>59184</v>
      </c>
      <c r="B650" s="72">
        <v>36731</v>
      </c>
      <c r="C650">
        <v>78.6875</v>
      </c>
      <c r="D650">
        <v>39.34375</v>
      </c>
    </row>
    <row r="651" spans="1:4" x14ac:dyDescent="0.45">
      <c r="A651">
        <v>59184</v>
      </c>
      <c r="B651" s="72">
        <v>36732</v>
      </c>
      <c r="C651">
        <v>78.75</v>
      </c>
      <c r="D651">
        <v>39.375</v>
      </c>
    </row>
    <row r="652" spans="1:4" x14ac:dyDescent="0.45">
      <c r="A652">
        <v>59184</v>
      </c>
      <c r="B652" s="72">
        <v>36733</v>
      </c>
      <c r="C652">
        <v>78.875</v>
      </c>
      <c r="D652">
        <v>39.4375</v>
      </c>
    </row>
    <row r="653" spans="1:4" x14ac:dyDescent="0.45">
      <c r="A653">
        <v>59184</v>
      </c>
      <c r="B653" s="72">
        <v>36734</v>
      </c>
      <c r="C653">
        <v>80.5</v>
      </c>
      <c r="D653">
        <v>40.25</v>
      </c>
    </row>
    <row r="654" spans="1:4" x14ac:dyDescent="0.45">
      <c r="A654">
        <v>59184</v>
      </c>
      <c r="B654" s="72">
        <v>36735</v>
      </c>
      <c r="C654">
        <v>81.375</v>
      </c>
      <c r="D654">
        <v>40.6875</v>
      </c>
    </row>
    <row r="655" spans="1:4" x14ac:dyDescent="0.45">
      <c r="A655">
        <v>59184</v>
      </c>
      <c r="B655" s="72">
        <v>36738</v>
      </c>
      <c r="C655">
        <v>80.5</v>
      </c>
      <c r="D655">
        <v>40.25</v>
      </c>
    </row>
    <row r="656" spans="1:4" x14ac:dyDescent="0.45">
      <c r="A656">
        <v>59184</v>
      </c>
      <c r="B656" s="72">
        <v>36739</v>
      </c>
      <c r="C656">
        <v>80</v>
      </c>
      <c r="D656">
        <v>40</v>
      </c>
    </row>
    <row r="657" spans="1:4" x14ac:dyDescent="0.45">
      <c r="A657">
        <v>59184</v>
      </c>
      <c r="B657" s="72">
        <v>36740</v>
      </c>
      <c r="C657">
        <v>82.6875</v>
      </c>
      <c r="D657">
        <v>41.34375</v>
      </c>
    </row>
    <row r="658" spans="1:4" x14ac:dyDescent="0.45">
      <c r="A658">
        <v>59184</v>
      </c>
      <c r="B658" s="72">
        <v>36741</v>
      </c>
      <c r="C658">
        <v>83.1875</v>
      </c>
      <c r="D658">
        <v>41.59375</v>
      </c>
    </row>
    <row r="659" spans="1:4" x14ac:dyDescent="0.45">
      <c r="A659">
        <v>59184</v>
      </c>
      <c r="B659" s="72">
        <v>36742</v>
      </c>
      <c r="C659">
        <v>83.5625</v>
      </c>
      <c r="D659">
        <v>41.78125</v>
      </c>
    </row>
    <row r="660" spans="1:4" x14ac:dyDescent="0.45">
      <c r="A660">
        <v>59184</v>
      </c>
      <c r="B660" s="72">
        <v>36745</v>
      </c>
      <c r="C660">
        <v>82</v>
      </c>
      <c r="D660">
        <v>41</v>
      </c>
    </row>
    <row r="661" spans="1:4" x14ac:dyDescent="0.45">
      <c r="A661">
        <v>59184</v>
      </c>
      <c r="B661" s="72">
        <v>36746</v>
      </c>
      <c r="C661">
        <v>84.1875</v>
      </c>
      <c r="D661">
        <v>42.09375</v>
      </c>
    </row>
    <row r="662" spans="1:4" x14ac:dyDescent="0.45">
      <c r="A662">
        <v>59184</v>
      </c>
      <c r="B662" s="72">
        <v>36747</v>
      </c>
      <c r="C662">
        <v>84.375</v>
      </c>
      <c r="D662">
        <v>42.1875</v>
      </c>
    </row>
    <row r="663" spans="1:4" x14ac:dyDescent="0.45">
      <c r="A663">
        <v>59184</v>
      </c>
      <c r="B663" s="72">
        <v>36748</v>
      </c>
      <c r="C663">
        <v>84.125</v>
      </c>
      <c r="D663">
        <v>42.0625</v>
      </c>
    </row>
    <row r="664" spans="1:4" x14ac:dyDescent="0.45">
      <c r="A664">
        <v>59184</v>
      </c>
      <c r="B664" s="72">
        <v>36749</v>
      </c>
      <c r="C664">
        <v>86</v>
      </c>
      <c r="D664">
        <v>43</v>
      </c>
    </row>
    <row r="665" spans="1:4" x14ac:dyDescent="0.45">
      <c r="A665">
        <v>59184</v>
      </c>
      <c r="B665" s="72">
        <v>36752</v>
      </c>
      <c r="C665">
        <v>87.5</v>
      </c>
      <c r="D665">
        <v>43.75</v>
      </c>
    </row>
    <row r="666" spans="1:4" x14ac:dyDescent="0.45">
      <c r="A666">
        <v>59184</v>
      </c>
      <c r="B666" s="72">
        <v>36753</v>
      </c>
      <c r="C666">
        <v>84.5</v>
      </c>
      <c r="D666">
        <v>42.25</v>
      </c>
    </row>
    <row r="667" spans="1:4" x14ac:dyDescent="0.45">
      <c r="A667">
        <v>59184</v>
      </c>
      <c r="B667" s="72">
        <v>36754</v>
      </c>
      <c r="C667">
        <v>83.0625</v>
      </c>
      <c r="D667">
        <v>41.53125</v>
      </c>
    </row>
    <row r="668" spans="1:4" x14ac:dyDescent="0.45">
      <c r="A668">
        <v>59184</v>
      </c>
      <c r="B668" s="72">
        <v>36755</v>
      </c>
      <c r="C668">
        <v>82.125</v>
      </c>
      <c r="D668">
        <v>41.0625</v>
      </c>
    </row>
    <row r="669" spans="1:4" x14ac:dyDescent="0.45">
      <c r="A669">
        <v>59184</v>
      </c>
      <c r="B669" s="72">
        <v>36756</v>
      </c>
      <c r="C669">
        <v>81.875</v>
      </c>
      <c r="D669">
        <v>40.9375</v>
      </c>
    </row>
    <row r="670" spans="1:4" x14ac:dyDescent="0.45">
      <c r="A670">
        <v>59184</v>
      </c>
      <c r="B670" s="72">
        <v>36759</v>
      </c>
      <c r="C670">
        <v>82.6875</v>
      </c>
      <c r="D670">
        <v>41.34375</v>
      </c>
    </row>
    <row r="671" spans="1:4" x14ac:dyDescent="0.45">
      <c r="A671">
        <v>59184</v>
      </c>
      <c r="B671" s="72">
        <v>36760</v>
      </c>
      <c r="C671">
        <v>81.8125</v>
      </c>
      <c r="D671">
        <v>40.90625</v>
      </c>
    </row>
    <row r="672" spans="1:4" x14ac:dyDescent="0.45">
      <c r="A672">
        <v>59184</v>
      </c>
      <c r="B672" s="72">
        <v>36761</v>
      </c>
      <c r="C672">
        <v>83.125</v>
      </c>
      <c r="D672">
        <v>41.5625</v>
      </c>
    </row>
    <row r="673" spans="1:4" x14ac:dyDescent="0.45">
      <c r="A673">
        <v>59184</v>
      </c>
      <c r="B673" s="72">
        <v>36762</v>
      </c>
      <c r="C673">
        <v>82.125</v>
      </c>
      <c r="D673">
        <v>41.0625</v>
      </c>
    </row>
    <row r="674" spans="1:4" x14ac:dyDescent="0.45">
      <c r="A674">
        <v>59184</v>
      </c>
      <c r="B674" s="72">
        <v>36763</v>
      </c>
      <c r="C674">
        <v>79.9375</v>
      </c>
      <c r="D674">
        <v>39.96875</v>
      </c>
    </row>
    <row r="675" spans="1:4" x14ac:dyDescent="0.45">
      <c r="A675">
        <v>59184</v>
      </c>
      <c r="B675" s="72">
        <v>36766</v>
      </c>
      <c r="C675">
        <v>80.1875</v>
      </c>
      <c r="D675">
        <v>40.09375</v>
      </c>
    </row>
    <row r="676" spans="1:4" x14ac:dyDescent="0.45">
      <c r="A676">
        <v>59184</v>
      </c>
      <c r="B676" s="72">
        <v>36767</v>
      </c>
      <c r="C676">
        <v>81.25</v>
      </c>
      <c r="D676">
        <v>40.625</v>
      </c>
    </row>
    <row r="677" spans="1:4" x14ac:dyDescent="0.45">
      <c r="A677">
        <v>59184</v>
      </c>
      <c r="B677" s="72">
        <v>36768</v>
      </c>
      <c r="C677">
        <v>78.1875</v>
      </c>
      <c r="D677">
        <v>39.09375</v>
      </c>
    </row>
    <row r="678" spans="1:4" x14ac:dyDescent="0.45">
      <c r="A678">
        <v>59184</v>
      </c>
      <c r="B678" s="72">
        <v>36769</v>
      </c>
      <c r="C678">
        <v>78.8125</v>
      </c>
      <c r="D678">
        <v>39.40625</v>
      </c>
    </row>
    <row r="679" spans="1:4" x14ac:dyDescent="0.45">
      <c r="A679">
        <v>59184</v>
      </c>
      <c r="B679" s="72">
        <v>36770</v>
      </c>
      <c r="C679">
        <v>77.5</v>
      </c>
      <c r="D679">
        <v>38.75</v>
      </c>
    </row>
    <row r="680" spans="1:4" x14ac:dyDescent="0.45">
      <c r="A680">
        <v>59184</v>
      </c>
      <c r="B680" s="72">
        <v>36774</v>
      </c>
      <c r="C680">
        <v>76.625</v>
      </c>
      <c r="D680">
        <v>38.3125</v>
      </c>
    </row>
    <row r="681" spans="1:4" x14ac:dyDescent="0.45">
      <c r="A681">
        <v>59184</v>
      </c>
      <c r="B681" s="72">
        <v>36775</v>
      </c>
      <c r="C681">
        <v>76.25</v>
      </c>
      <c r="D681">
        <v>38.125</v>
      </c>
    </row>
    <row r="682" spans="1:4" x14ac:dyDescent="0.45">
      <c r="A682">
        <v>59184</v>
      </c>
      <c r="B682" s="72">
        <v>36776</v>
      </c>
      <c r="C682">
        <v>78.5625</v>
      </c>
      <c r="D682">
        <v>39.28125</v>
      </c>
    </row>
    <row r="683" spans="1:4" x14ac:dyDescent="0.45">
      <c r="A683">
        <v>59184</v>
      </c>
      <c r="B683" s="72">
        <v>36777</v>
      </c>
      <c r="C683">
        <v>80.375</v>
      </c>
      <c r="D683">
        <v>40.1875</v>
      </c>
    </row>
    <row r="684" spans="1:4" x14ac:dyDescent="0.45">
      <c r="A684">
        <v>59184</v>
      </c>
      <c r="B684" s="72">
        <v>36780</v>
      </c>
      <c r="C684">
        <v>81.875</v>
      </c>
      <c r="D684">
        <v>40.9375</v>
      </c>
    </row>
    <row r="685" spans="1:4" x14ac:dyDescent="0.45">
      <c r="A685">
        <v>59184</v>
      </c>
      <c r="B685" s="72">
        <v>36781</v>
      </c>
      <c r="C685">
        <v>81.75</v>
      </c>
      <c r="D685">
        <v>40.875</v>
      </c>
    </row>
    <row r="686" spans="1:4" x14ac:dyDescent="0.45">
      <c r="A686">
        <v>59184</v>
      </c>
      <c r="B686" s="72">
        <v>36782</v>
      </c>
      <c r="C686">
        <v>83.8125</v>
      </c>
      <c r="D686">
        <v>41.90625</v>
      </c>
    </row>
    <row r="687" spans="1:4" x14ac:dyDescent="0.45">
      <c r="A687">
        <v>59184</v>
      </c>
      <c r="B687" s="72">
        <v>36783</v>
      </c>
      <c r="C687">
        <v>83.5625</v>
      </c>
      <c r="D687">
        <v>41.78125</v>
      </c>
    </row>
    <row r="688" spans="1:4" x14ac:dyDescent="0.45">
      <c r="A688">
        <v>59184</v>
      </c>
      <c r="B688" s="72">
        <v>36784</v>
      </c>
      <c r="C688">
        <v>81.75</v>
      </c>
      <c r="D688">
        <v>40.875</v>
      </c>
    </row>
    <row r="689" spans="1:4" x14ac:dyDescent="0.45">
      <c r="A689">
        <v>59184</v>
      </c>
      <c r="B689" s="72">
        <v>36787</v>
      </c>
      <c r="C689">
        <v>82.9375</v>
      </c>
      <c r="D689">
        <v>41.46875</v>
      </c>
    </row>
    <row r="690" spans="1:4" x14ac:dyDescent="0.45">
      <c r="A690">
        <v>59184</v>
      </c>
      <c r="B690" s="72">
        <v>36788</v>
      </c>
      <c r="C690">
        <v>42.375</v>
      </c>
      <c r="D690">
        <v>42.375</v>
      </c>
    </row>
    <row r="691" spans="1:4" x14ac:dyDescent="0.45">
      <c r="A691">
        <v>59184</v>
      </c>
      <c r="B691" s="72">
        <v>36789</v>
      </c>
      <c r="C691">
        <v>42.625</v>
      </c>
      <c r="D691">
        <v>42.625</v>
      </c>
    </row>
    <row r="692" spans="1:4" x14ac:dyDescent="0.45">
      <c r="A692">
        <v>59184</v>
      </c>
      <c r="B692" s="72">
        <v>36790</v>
      </c>
      <c r="C692">
        <v>43</v>
      </c>
      <c r="D692">
        <v>43</v>
      </c>
    </row>
    <row r="693" spans="1:4" x14ac:dyDescent="0.45">
      <c r="A693">
        <v>59184</v>
      </c>
      <c r="B693" s="72">
        <v>36791</v>
      </c>
      <c r="C693">
        <v>44.3125</v>
      </c>
      <c r="D693">
        <v>44.3125</v>
      </c>
    </row>
    <row r="694" spans="1:4" x14ac:dyDescent="0.45">
      <c r="A694">
        <v>59184</v>
      </c>
      <c r="B694" s="72">
        <v>36794</v>
      </c>
      <c r="C694">
        <v>44.25</v>
      </c>
      <c r="D694">
        <v>44.25</v>
      </c>
    </row>
    <row r="695" spans="1:4" x14ac:dyDescent="0.45">
      <c r="A695">
        <v>59184</v>
      </c>
      <c r="B695" s="72">
        <v>36795</v>
      </c>
      <c r="C695">
        <v>43.75</v>
      </c>
      <c r="D695">
        <v>43.75</v>
      </c>
    </row>
    <row r="696" spans="1:4" x14ac:dyDescent="0.45">
      <c r="A696">
        <v>59184</v>
      </c>
      <c r="B696" s="72">
        <v>36796</v>
      </c>
      <c r="C696">
        <v>43.25</v>
      </c>
      <c r="D696">
        <v>43.25</v>
      </c>
    </row>
    <row r="697" spans="1:4" x14ac:dyDescent="0.45">
      <c r="A697">
        <v>59184</v>
      </c>
      <c r="B697" s="72">
        <v>36797</v>
      </c>
      <c r="C697">
        <v>43.25</v>
      </c>
      <c r="D697">
        <v>43.25</v>
      </c>
    </row>
    <row r="698" spans="1:4" x14ac:dyDescent="0.45">
      <c r="A698">
        <v>59184</v>
      </c>
      <c r="B698" s="72">
        <v>36798</v>
      </c>
      <c r="C698">
        <v>42.3125</v>
      </c>
      <c r="D698">
        <v>42.3125</v>
      </c>
    </row>
    <row r="699" spans="1:4" x14ac:dyDescent="0.45">
      <c r="A699">
        <v>59184</v>
      </c>
      <c r="B699" s="72">
        <v>36801</v>
      </c>
      <c r="C699">
        <v>41.75</v>
      </c>
      <c r="D699">
        <v>41.75</v>
      </c>
    </row>
    <row r="700" spans="1:4" x14ac:dyDescent="0.45">
      <c r="A700">
        <v>59184</v>
      </c>
      <c r="B700" s="72">
        <v>36802</v>
      </c>
      <c r="C700">
        <v>43.625</v>
      </c>
      <c r="D700">
        <v>43.625</v>
      </c>
    </row>
    <row r="701" spans="1:4" x14ac:dyDescent="0.45">
      <c r="A701">
        <v>59184</v>
      </c>
      <c r="B701" s="72">
        <v>36803</v>
      </c>
      <c r="C701">
        <v>42.375</v>
      </c>
      <c r="D701">
        <v>42.375</v>
      </c>
    </row>
    <row r="702" spans="1:4" x14ac:dyDescent="0.45">
      <c r="A702">
        <v>59184</v>
      </c>
      <c r="B702" s="72">
        <v>36804</v>
      </c>
      <c r="C702">
        <v>43.5</v>
      </c>
      <c r="D702">
        <v>43.5</v>
      </c>
    </row>
    <row r="703" spans="1:4" x14ac:dyDescent="0.45">
      <c r="A703">
        <v>59184</v>
      </c>
      <c r="B703" s="72">
        <v>36805</v>
      </c>
      <c r="C703">
        <v>43</v>
      </c>
      <c r="D703">
        <v>43</v>
      </c>
    </row>
    <row r="704" spans="1:4" x14ac:dyDescent="0.45">
      <c r="A704">
        <v>59184</v>
      </c>
      <c r="B704" s="72">
        <v>36808</v>
      </c>
      <c r="C704">
        <v>42.4375</v>
      </c>
      <c r="D704">
        <v>42.4375</v>
      </c>
    </row>
    <row r="705" spans="1:4" x14ac:dyDescent="0.45">
      <c r="A705">
        <v>59184</v>
      </c>
      <c r="B705" s="72">
        <v>36809</v>
      </c>
      <c r="C705">
        <v>43.875</v>
      </c>
      <c r="D705">
        <v>43.875</v>
      </c>
    </row>
    <row r="706" spans="1:4" x14ac:dyDescent="0.45">
      <c r="A706">
        <v>59184</v>
      </c>
      <c r="B706" s="72">
        <v>36810</v>
      </c>
      <c r="C706">
        <v>42.25</v>
      </c>
      <c r="D706">
        <v>42.25</v>
      </c>
    </row>
    <row r="707" spans="1:4" x14ac:dyDescent="0.45">
      <c r="A707">
        <v>59184</v>
      </c>
      <c r="B707" s="72">
        <v>36811</v>
      </c>
      <c r="C707">
        <v>42.75</v>
      </c>
      <c r="D707">
        <v>42.75</v>
      </c>
    </row>
    <row r="708" spans="1:4" x14ac:dyDescent="0.45">
      <c r="A708">
        <v>59184</v>
      </c>
      <c r="B708" s="72">
        <v>36812</v>
      </c>
      <c r="C708">
        <v>42.375</v>
      </c>
      <c r="D708">
        <v>42.375</v>
      </c>
    </row>
    <row r="709" spans="1:4" x14ac:dyDescent="0.45">
      <c r="A709">
        <v>59184</v>
      </c>
      <c r="B709" s="72">
        <v>36815</v>
      </c>
      <c r="C709">
        <v>43.25</v>
      </c>
      <c r="D709">
        <v>43.25</v>
      </c>
    </row>
    <row r="710" spans="1:4" x14ac:dyDescent="0.45">
      <c r="A710">
        <v>59184</v>
      </c>
      <c r="B710" s="72">
        <v>36816</v>
      </c>
      <c r="C710">
        <v>43.375</v>
      </c>
      <c r="D710">
        <v>43.375</v>
      </c>
    </row>
    <row r="711" spans="1:4" x14ac:dyDescent="0.45">
      <c r="A711">
        <v>59184</v>
      </c>
      <c r="B711" s="72">
        <v>36817</v>
      </c>
      <c r="C711">
        <v>44.6875</v>
      </c>
      <c r="D711">
        <v>44.6875</v>
      </c>
    </row>
    <row r="712" spans="1:4" x14ac:dyDescent="0.45">
      <c r="A712">
        <v>59184</v>
      </c>
      <c r="B712" s="72">
        <v>36818</v>
      </c>
      <c r="C712">
        <v>44</v>
      </c>
      <c r="D712">
        <v>44</v>
      </c>
    </row>
    <row r="713" spans="1:4" x14ac:dyDescent="0.45">
      <c r="A713">
        <v>59184</v>
      </c>
      <c r="B713" s="72">
        <v>36819</v>
      </c>
      <c r="C713">
        <v>41.875</v>
      </c>
      <c r="D713">
        <v>41.875</v>
      </c>
    </row>
    <row r="714" spans="1:4" x14ac:dyDescent="0.45">
      <c r="A714">
        <v>59184</v>
      </c>
      <c r="B714" s="72">
        <v>36822</v>
      </c>
      <c r="C714">
        <v>41.875</v>
      </c>
      <c r="D714">
        <v>41.875</v>
      </c>
    </row>
    <row r="715" spans="1:4" x14ac:dyDescent="0.45">
      <c r="A715">
        <v>59184</v>
      </c>
      <c r="B715" s="72">
        <v>36823</v>
      </c>
      <c r="C715">
        <v>43.1875</v>
      </c>
      <c r="D715">
        <v>43.1875</v>
      </c>
    </row>
    <row r="716" spans="1:4" x14ac:dyDescent="0.45">
      <c r="A716">
        <v>59184</v>
      </c>
      <c r="B716" s="72">
        <v>36824</v>
      </c>
      <c r="C716">
        <v>39.625</v>
      </c>
      <c r="D716">
        <v>39.625</v>
      </c>
    </row>
    <row r="717" spans="1:4" x14ac:dyDescent="0.45">
      <c r="A717">
        <v>59184</v>
      </c>
      <c r="B717" s="72">
        <v>36825</v>
      </c>
      <c r="C717">
        <v>42</v>
      </c>
      <c r="D717">
        <v>42</v>
      </c>
    </row>
    <row r="718" spans="1:4" x14ac:dyDescent="0.45">
      <c r="A718">
        <v>59184</v>
      </c>
      <c r="B718" s="72">
        <v>36826</v>
      </c>
      <c r="C718">
        <v>43.75</v>
      </c>
      <c r="D718">
        <v>43.75</v>
      </c>
    </row>
    <row r="719" spans="1:4" x14ac:dyDescent="0.45">
      <c r="A719">
        <v>59184</v>
      </c>
      <c r="B719" s="72">
        <v>36829</v>
      </c>
      <c r="C719">
        <v>46.375</v>
      </c>
      <c r="D719">
        <v>46.375</v>
      </c>
    </row>
    <row r="720" spans="1:4" x14ac:dyDescent="0.45">
      <c r="A720">
        <v>59184</v>
      </c>
      <c r="B720" s="72">
        <v>36830</v>
      </c>
      <c r="C720">
        <v>45.75</v>
      </c>
      <c r="D720">
        <v>45.75</v>
      </c>
    </row>
    <row r="721" spans="1:4" x14ac:dyDescent="0.45">
      <c r="A721">
        <v>59184</v>
      </c>
      <c r="B721" s="72">
        <v>36831</v>
      </c>
      <c r="C721">
        <v>44</v>
      </c>
      <c r="D721">
        <v>44</v>
      </c>
    </row>
    <row r="722" spans="1:4" x14ac:dyDescent="0.45">
      <c r="A722">
        <v>59184</v>
      </c>
      <c r="B722" s="72">
        <v>36832</v>
      </c>
      <c r="C722">
        <v>43.9375</v>
      </c>
      <c r="D722">
        <v>43.9375</v>
      </c>
    </row>
    <row r="723" spans="1:4" x14ac:dyDescent="0.45">
      <c r="A723">
        <v>59184</v>
      </c>
      <c r="B723" s="72">
        <v>36833</v>
      </c>
      <c r="C723">
        <v>44.3125</v>
      </c>
      <c r="D723">
        <v>44.3125</v>
      </c>
    </row>
    <row r="724" spans="1:4" x14ac:dyDescent="0.45">
      <c r="A724">
        <v>59184</v>
      </c>
      <c r="B724" s="72">
        <v>36836</v>
      </c>
      <c r="C724">
        <v>45.25</v>
      </c>
      <c r="D724">
        <v>45.25</v>
      </c>
    </row>
    <row r="725" spans="1:4" x14ac:dyDescent="0.45">
      <c r="A725">
        <v>59184</v>
      </c>
      <c r="B725" s="72">
        <v>36837</v>
      </c>
      <c r="C725">
        <v>44.3125</v>
      </c>
      <c r="D725">
        <v>44.3125</v>
      </c>
    </row>
    <row r="726" spans="1:4" x14ac:dyDescent="0.45">
      <c r="A726">
        <v>59184</v>
      </c>
      <c r="B726" s="72">
        <v>36838</v>
      </c>
      <c r="C726">
        <v>45.0625</v>
      </c>
      <c r="D726">
        <v>45.0625</v>
      </c>
    </row>
    <row r="727" spans="1:4" x14ac:dyDescent="0.45">
      <c r="A727">
        <v>59184</v>
      </c>
      <c r="B727" s="72">
        <v>36839</v>
      </c>
      <c r="C727">
        <v>46.25</v>
      </c>
      <c r="D727">
        <v>46.25</v>
      </c>
    </row>
    <row r="728" spans="1:4" x14ac:dyDescent="0.45">
      <c r="A728">
        <v>59184</v>
      </c>
      <c r="B728" s="72">
        <v>36840</v>
      </c>
      <c r="C728">
        <v>46.875</v>
      </c>
      <c r="D728">
        <v>46.875</v>
      </c>
    </row>
    <row r="729" spans="1:4" x14ac:dyDescent="0.45">
      <c r="A729">
        <v>59184</v>
      </c>
      <c r="B729" s="72">
        <v>36843</v>
      </c>
      <c r="C729">
        <v>46.5625</v>
      </c>
      <c r="D729">
        <v>46.5625</v>
      </c>
    </row>
    <row r="730" spans="1:4" x14ac:dyDescent="0.45">
      <c r="A730">
        <v>59184</v>
      </c>
      <c r="B730" s="72">
        <v>36844</v>
      </c>
      <c r="C730">
        <v>47.4375</v>
      </c>
      <c r="D730">
        <v>47.4375</v>
      </c>
    </row>
    <row r="731" spans="1:4" x14ac:dyDescent="0.45">
      <c r="A731">
        <v>59184</v>
      </c>
      <c r="B731" s="72">
        <v>36845</v>
      </c>
      <c r="C731">
        <v>46.4375</v>
      </c>
      <c r="D731">
        <v>46.4375</v>
      </c>
    </row>
    <row r="732" spans="1:4" x14ac:dyDescent="0.45">
      <c r="A732">
        <v>59184</v>
      </c>
      <c r="B732" s="72">
        <v>36846</v>
      </c>
      <c r="C732">
        <v>47.5625</v>
      </c>
      <c r="D732">
        <v>47.5625</v>
      </c>
    </row>
    <row r="733" spans="1:4" x14ac:dyDescent="0.45">
      <c r="A733">
        <v>59184</v>
      </c>
      <c r="B733" s="72">
        <v>36847</v>
      </c>
      <c r="C733">
        <v>47.625</v>
      </c>
      <c r="D733">
        <v>47.625</v>
      </c>
    </row>
    <row r="734" spans="1:4" x14ac:dyDescent="0.45">
      <c r="A734">
        <v>59184</v>
      </c>
      <c r="B734" s="72">
        <v>36850</v>
      </c>
      <c r="C734">
        <v>48.0625</v>
      </c>
      <c r="D734">
        <v>48.0625</v>
      </c>
    </row>
    <row r="735" spans="1:4" x14ac:dyDescent="0.45">
      <c r="A735">
        <v>59184</v>
      </c>
      <c r="B735" s="72">
        <v>36851</v>
      </c>
      <c r="C735">
        <v>49.8125</v>
      </c>
      <c r="D735">
        <v>49.8125</v>
      </c>
    </row>
    <row r="736" spans="1:4" x14ac:dyDescent="0.45">
      <c r="A736">
        <v>59184</v>
      </c>
      <c r="B736" s="72">
        <v>36852</v>
      </c>
      <c r="C736">
        <v>48.875</v>
      </c>
      <c r="D736">
        <v>48.875</v>
      </c>
    </row>
    <row r="737" spans="1:4" x14ac:dyDescent="0.45">
      <c r="A737">
        <v>59184</v>
      </c>
      <c r="B737" s="72">
        <v>36854</v>
      </c>
      <c r="C737">
        <v>48.9375</v>
      </c>
      <c r="D737">
        <v>48.9375</v>
      </c>
    </row>
    <row r="738" spans="1:4" x14ac:dyDescent="0.45">
      <c r="A738">
        <v>59184</v>
      </c>
      <c r="B738" s="72">
        <v>36857</v>
      </c>
      <c r="C738">
        <v>48.0625</v>
      </c>
      <c r="D738">
        <v>48.0625</v>
      </c>
    </row>
    <row r="739" spans="1:4" x14ac:dyDescent="0.45">
      <c r="A739">
        <v>59184</v>
      </c>
      <c r="B739" s="72">
        <v>36858</v>
      </c>
      <c r="C739">
        <v>48</v>
      </c>
      <c r="D739">
        <v>48</v>
      </c>
    </row>
    <row r="740" spans="1:4" x14ac:dyDescent="0.45">
      <c r="A740">
        <v>59184</v>
      </c>
      <c r="B740" s="72">
        <v>36859</v>
      </c>
      <c r="C740">
        <v>47.375</v>
      </c>
      <c r="D740">
        <v>47.375</v>
      </c>
    </row>
    <row r="741" spans="1:4" x14ac:dyDescent="0.45">
      <c r="A741">
        <v>59184</v>
      </c>
      <c r="B741" s="72">
        <v>36860</v>
      </c>
      <c r="C741">
        <v>47.4375</v>
      </c>
      <c r="D741">
        <v>47.4375</v>
      </c>
    </row>
    <row r="742" spans="1:4" x14ac:dyDescent="0.45">
      <c r="A742">
        <v>59184</v>
      </c>
      <c r="B742" s="72">
        <v>36861</v>
      </c>
      <c r="C742">
        <v>47.125</v>
      </c>
      <c r="D742">
        <v>47.125</v>
      </c>
    </row>
    <row r="743" spans="1:4" x14ac:dyDescent="0.45">
      <c r="A743">
        <v>59184</v>
      </c>
      <c r="B743" s="72">
        <v>36864</v>
      </c>
      <c r="C743">
        <v>46.625</v>
      </c>
      <c r="D743">
        <v>46.625</v>
      </c>
    </row>
    <row r="744" spans="1:4" x14ac:dyDescent="0.45">
      <c r="A744">
        <v>59184</v>
      </c>
      <c r="B744" s="72">
        <v>36865</v>
      </c>
      <c r="C744">
        <v>46.875</v>
      </c>
      <c r="D744">
        <v>46.875</v>
      </c>
    </row>
    <row r="745" spans="1:4" x14ac:dyDescent="0.45">
      <c r="A745">
        <v>59184</v>
      </c>
      <c r="B745" s="72">
        <v>36866</v>
      </c>
      <c r="C745">
        <v>45.8125</v>
      </c>
      <c r="D745">
        <v>45.8125</v>
      </c>
    </row>
    <row r="746" spans="1:4" x14ac:dyDescent="0.45">
      <c r="A746">
        <v>59184</v>
      </c>
      <c r="B746" s="72">
        <v>36867</v>
      </c>
      <c r="C746">
        <v>48.0625</v>
      </c>
      <c r="D746">
        <v>48.0625</v>
      </c>
    </row>
    <row r="747" spans="1:4" x14ac:dyDescent="0.45">
      <c r="A747">
        <v>59184</v>
      </c>
      <c r="B747" s="72">
        <v>36868</v>
      </c>
      <c r="C747">
        <v>46.1875</v>
      </c>
      <c r="D747">
        <v>46.1875</v>
      </c>
    </row>
    <row r="748" spans="1:4" x14ac:dyDescent="0.45">
      <c r="A748">
        <v>59184</v>
      </c>
      <c r="B748" s="72">
        <v>36871</v>
      </c>
      <c r="C748">
        <v>45.9375</v>
      </c>
      <c r="D748">
        <v>45.9375</v>
      </c>
    </row>
    <row r="749" spans="1:4" x14ac:dyDescent="0.45">
      <c r="A749">
        <v>59184</v>
      </c>
      <c r="B749" s="72">
        <v>36872</v>
      </c>
      <c r="C749">
        <v>46.25</v>
      </c>
      <c r="D749">
        <v>46.25</v>
      </c>
    </row>
    <row r="750" spans="1:4" x14ac:dyDescent="0.45">
      <c r="A750">
        <v>59184</v>
      </c>
      <c r="B750" s="72">
        <v>36873</v>
      </c>
      <c r="C750">
        <v>47.5</v>
      </c>
      <c r="D750">
        <v>47.5</v>
      </c>
    </row>
    <row r="751" spans="1:4" x14ac:dyDescent="0.45">
      <c r="A751">
        <v>59184</v>
      </c>
      <c r="B751" s="72">
        <v>36874</v>
      </c>
      <c r="C751">
        <v>47.4375</v>
      </c>
      <c r="D751">
        <v>47.4375</v>
      </c>
    </row>
    <row r="752" spans="1:4" x14ac:dyDescent="0.45">
      <c r="A752">
        <v>59184</v>
      </c>
      <c r="B752" s="72">
        <v>36875</v>
      </c>
      <c r="C752">
        <v>48.875</v>
      </c>
      <c r="D752">
        <v>48.875</v>
      </c>
    </row>
    <row r="753" spans="1:4" x14ac:dyDescent="0.45">
      <c r="A753">
        <v>59184</v>
      </c>
      <c r="B753" s="72">
        <v>36878</v>
      </c>
      <c r="C753">
        <v>47.4375</v>
      </c>
      <c r="D753">
        <v>47.4375</v>
      </c>
    </row>
    <row r="754" spans="1:4" x14ac:dyDescent="0.45">
      <c r="A754">
        <v>59184</v>
      </c>
      <c r="B754" s="72">
        <v>36879</v>
      </c>
      <c r="C754">
        <v>47</v>
      </c>
      <c r="D754">
        <v>47</v>
      </c>
    </row>
    <row r="755" spans="1:4" x14ac:dyDescent="0.45">
      <c r="A755">
        <v>59184</v>
      </c>
      <c r="B755" s="72">
        <v>36880</v>
      </c>
      <c r="C755">
        <v>45.75</v>
      </c>
      <c r="D755">
        <v>45.75</v>
      </c>
    </row>
    <row r="756" spans="1:4" x14ac:dyDescent="0.45">
      <c r="A756">
        <v>59184</v>
      </c>
      <c r="B756" s="72">
        <v>36881</v>
      </c>
      <c r="C756">
        <v>43.6875</v>
      </c>
      <c r="D756">
        <v>43.6875</v>
      </c>
    </row>
    <row r="757" spans="1:4" x14ac:dyDescent="0.45">
      <c r="A757">
        <v>59184</v>
      </c>
      <c r="B757" s="72">
        <v>36882</v>
      </c>
      <c r="C757">
        <v>42.375</v>
      </c>
      <c r="D757">
        <v>42.375</v>
      </c>
    </row>
    <row r="758" spans="1:4" x14ac:dyDescent="0.45">
      <c r="A758">
        <v>59184</v>
      </c>
      <c r="B758" s="72">
        <v>36886</v>
      </c>
      <c r="C758">
        <v>43.375</v>
      </c>
      <c r="D758">
        <v>43.375</v>
      </c>
    </row>
    <row r="759" spans="1:4" x14ac:dyDescent="0.45">
      <c r="A759">
        <v>59184</v>
      </c>
      <c r="B759" s="72">
        <v>36887</v>
      </c>
      <c r="C759">
        <v>45.125</v>
      </c>
      <c r="D759">
        <v>45.125</v>
      </c>
    </row>
    <row r="760" spans="1:4" x14ac:dyDescent="0.45">
      <c r="A760">
        <v>59184</v>
      </c>
      <c r="B760" s="72">
        <v>36888</v>
      </c>
      <c r="C760">
        <v>45.3125</v>
      </c>
      <c r="D760">
        <v>45.3125</v>
      </c>
    </row>
    <row r="761" spans="1:4" x14ac:dyDescent="0.45">
      <c r="A761">
        <v>59184</v>
      </c>
      <c r="B761" s="72">
        <v>36889</v>
      </c>
      <c r="C761">
        <v>45.5</v>
      </c>
      <c r="D761">
        <v>45.5</v>
      </c>
    </row>
    <row r="762" spans="1:4" x14ac:dyDescent="0.45">
      <c r="A762">
        <v>59184</v>
      </c>
      <c r="B762" s="72">
        <v>36893</v>
      </c>
      <c r="C762">
        <v>44.4375</v>
      </c>
      <c r="D762">
        <v>44.4375</v>
      </c>
    </row>
    <row r="763" spans="1:4" x14ac:dyDescent="0.45">
      <c r="A763">
        <v>59184</v>
      </c>
      <c r="B763" s="72">
        <v>36894</v>
      </c>
      <c r="C763">
        <v>41.25</v>
      </c>
      <c r="D763">
        <v>41.25</v>
      </c>
    </row>
    <row r="764" spans="1:4" x14ac:dyDescent="0.45">
      <c r="A764">
        <v>59184</v>
      </c>
      <c r="B764" s="72">
        <v>36895</v>
      </c>
      <c r="C764">
        <v>38.5</v>
      </c>
      <c r="D764">
        <v>38.5</v>
      </c>
    </row>
    <row r="765" spans="1:4" x14ac:dyDescent="0.45">
      <c r="A765">
        <v>59184</v>
      </c>
      <c r="B765" s="72">
        <v>36896</v>
      </c>
      <c r="C765">
        <v>41.125</v>
      </c>
      <c r="D765">
        <v>41.125</v>
      </c>
    </row>
    <row r="766" spans="1:4" x14ac:dyDescent="0.45">
      <c r="A766">
        <v>59184</v>
      </c>
      <c r="B766" s="72">
        <v>36899</v>
      </c>
      <c r="C766">
        <v>40.4375</v>
      </c>
      <c r="D766">
        <v>40.4375</v>
      </c>
    </row>
    <row r="767" spans="1:4" x14ac:dyDescent="0.45">
      <c r="A767">
        <v>59184</v>
      </c>
      <c r="B767" s="72">
        <v>36900</v>
      </c>
      <c r="C767">
        <v>40.25</v>
      </c>
      <c r="D767">
        <v>40.25</v>
      </c>
    </row>
    <row r="768" spans="1:4" x14ac:dyDescent="0.45">
      <c r="A768">
        <v>59184</v>
      </c>
      <c r="B768" s="72">
        <v>36901</v>
      </c>
      <c r="C768">
        <v>40</v>
      </c>
      <c r="D768">
        <v>40</v>
      </c>
    </row>
    <row r="769" spans="1:4" x14ac:dyDescent="0.45">
      <c r="A769">
        <v>59184</v>
      </c>
      <c r="B769" s="72">
        <v>36902</v>
      </c>
      <c r="C769">
        <v>40.0625</v>
      </c>
      <c r="D769">
        <v>40.0625</v>
      </c>
    </row>
    <row r="770" spans="1:4" x14ac:dyDescent="0.45">
      <c r="A770">
        <v>59184</v>
      </c>
      <c r="B770" s="72">
        <v>36903</v>
      </c>
      <c r="C770">
        <v>40.4375</v>
      </c>
      <c r="D770">
        <v>40.4375</v>
      </c>
    </row>
    <row r="771" spans="1:4" x14ac:dyDescent="0.45">
      <c r="A771">
        <v>59184</v>
      </c>
      <c r="B771" s="72">
        <v>36907</v>
      </c>
      <c r="C771">
        <v>42.3125</v>
      </c>
      <c r="D771">
        <v>42.3125</v>
      </c>
    </row>
    <row r="772" spans="1:4" x14ac:dyDescent="0.45">
      <c r="A772">
        <v>59184</v>
      </c>
      <c r="B772" s="72">
        <v>36908</v>
      </c>
      <c r="C772">
        <v>40</v>
      </c>
      <c r="D772">
        <v>40</v>
      </c>
    </row>
    <row r="773" spans="1:4" x14ac:dyDescent="0.45">
      <c r="A773">
        <v>59184</v>
      </c>
      <c r="B773" s="72">
        <v>36909</v>
      </c>
      <c r="C773">
        <v>40.6875</v>
      </c>
      <c r="D773">
        <v>40.6875</v>
      </c>
    </row>
    <row r="774" spans="1:4" x14ac:dyDescent="0.45">
      <c r="A774">
        <v>59184</v>
      </c>
      <c r="B774" s="72">
        <v>36910</v>
      </c>
      <c r="C774">
        <v>39.9375</v>
      </c>
      <c r="D774">
        <v>39.9375</v>
      </c>
    </row>
    <row r="775" spans="1:4" x14ac:dyDescent="0.45">
      <c r="A775">
        <v>59184</v>
      </c>
      <c r="B775" s="72">
        <v>36913</v>
      </c>
      <c r="C775">
        <v>39.9375</v>
      </c>
      <c r="D775">
        <v>39.9375</v>
      </c>
    </row>
    <row r="776" spans="1:4" x14ac:dyDescent="0.45">
      <c r="A776">
        <v>59184</v>
      </c>
      <c r="B776" s="72">
        <v>36914</v>
      </c>
      <c r="C776">
        <v>40.1875</v>
      </c>
      <c r="D776">
        <v>40.1875</v>
      </c>
    </row>
    <row r="777" spans="1:4" x14ac:dyDescent="0.45">
      <c r="A777">
        <v>59184</v>
      </c>
      <c r="B777" s="72">
        <v>36915</v>
      </c>
      <c r="C777">
        <v>40.375</v>
      </c>
      <c r="D777">
        <v>40.375</v>
      </c>
    </row>
    <row r="778" spans="1:4" x14ac:dyDescent="0.45">
      <c r="A778">
        <v>59184</v>
      </c>
      <c r="B778" s="72">
        <v>36916</v>
      </c>
      <c r="C778">
        <v>41.3125</v>
      </c>
      <c r="D778">
        <v>41.3125</v>
      </c>
    </row>
    <row r="779" spans="1:4" x14ac:dyDescent="0.45">
      <c r="A779">
        <v>59184</v>
      </c>
      <c r="B779" s="72">
        <v>36917</v>
      </c>
      <c r="C779">
        <v>41.3125</v>
      </c>
      <c r="D779">
        <v>41.3125</v>
      </c>
    </row>
    <row r="780" spans="1:4" x14ac:dyDescent="0.45">
      <c r="A780">
        <v>59184</v>
      </c>
      <c r="B780" s="72">
        <v>36920</v>
      </c>
      <c r="C780">
        <v>42.77</v>
      </c>
      <c r="D780">
        <v>42.77</v>
      </c>
    </row>
    <row r="781" spans="1:4" x14ac:dyDescent="0.45">
      <c r="A781">
        <v>59184</v>
      </c>
      <c r="B781" s="72">
        <v>36921</v>
      </c>
      <c r="C781">
        <v>42.58</v>
      </c>
      <c r="D781">
        <v>42.58</v>
      </c>
    </row>
    <row r="782" spans="1:4" x14ac:dyDescent="0.45">
      <c r="A782">
        <v>59184</v>
      </c>
      <c r="B782" s="72">
        <v>36922</v>
      </c>
      <c r="C782">
        <v>43.36</v>
      </c>
      <c r="D782">
        <v>43.36</v>
      </c>
    </row>
    <row r="783" spans="1:4" x14ac:dyDescent="0.45">
      <c r="A783">
        <v>59184</v>
      </c>
      <c r="B783" s="72">
        <v>36923</v>
      </c>
      <c r="C783">
        <v>43.39</v>
      </c>
      <c r="D783">
        <v>43.39</v>
      </c>
    </row>
    <row r="784" spans="1:4" x14ac:dyDescent="0.45">
      <c r="A784">
        <v>59184</v>
      </c>
      <c r="B784" s="72">
        <v>36924</v>
      </c>
      <c r="C784">
        <v>42.84</v>
      </c>
      <c r="D784">
        <v>42.84</v>
      </c>
    </row>
    <row r="785" spans="1:4" x14ac:dyDescent="0.45">
      <c r="A785">
        <v>59184</v>
      </c>
      <c r="B785" s="72">
        <v>36927</v>
      </c>
      <c r="C785">
        <v>40.9</v>
      </c>
      <c r="D785">
        <v>40.9</v>
      </c>
    </row>
    <row r="786" spans="1:4" x14ac:dyDescent="0.45">
      <c r="A786">
        <v>59184</v>
      </c>
      <c r="B786" s="72">
        <v>36928</v>
      </c>
      <c r="C786">
        <v>40.700000000000003</v>
      </c>
      <c r="D786">
        <v>40.700000000000003</v>
      </c>
    </row>
    <row r="787" spans="1:4" x14ac:dyDescent="0.45">
      <c r="A787">
        <v>59184</v>
      </c>
      <c r="B787" s="72">
        <v>36929</v>
      </c>
      <c r="C787">
        <v>42.05</v>
      </c>
      <c r="D787">
        <v>42.05</v>
      </c>
    </row>
    <row r="788" spans="1:4" x14ac:dyDescent="0.45">
      <c r="A788">
        <v>59184</v>
      </c>
      <c r="B788" s="72">
        <v>36930</v>
      </c>
      <c r="C788">
        <v>41.54</v>
      </c>
      <c r="D788">
        <v>41.54</v>
      </c>
    </row>
    <row r="789" spans="1:4" x14ac:dyDescent="0.45">
      <c r="A789">
        <v>59184</v>
      </c>
      <c r="B789" s="72">
        <v>36931</v>
      </c>
      <c r="C789">
        <v>43</v>
      </c>
      <c r="D789">
        <v>43</v>
      </c>
    </row>
    <row r="790" spans="1:4" x14ac:dyDescent="0.45">
      <c r="A790">
        <v>59184</v>
      </c>
      <c r="B790" s="72">
        <v>36934</v>
      </c>
      <c r="C790">
        <v>42.81</v>
      </c>
      <c r="D790">
        <v>42.81</v>
      </c>
    </row>
    <row r="791" spans="1:4" x14ac:dyDescent="0.45">
      <c r="A791">
        <v>59184</v>
      </c>
      <c r="B791" s="72">
        <v>36935</v>
      </c>
      <c r="C791">
        <v>44.29</v>
      </c>
      <c r="D791">
        <v>44.29</v>
      </c>
    </row>
    <row r="792" spans="1:4" x14ac:dyDescent="0.45">
      <c r="A792">
        <v>59184</v>
      </c>
      <c r="B792" s="72">
        <v>36936</v>
      </c>
      <c r="C792">
        <v>43</v>
      </c>
      <c r="D792">
        <v>43</v>
      </c>
    </row>
    <row r="793" spans="1:4" x14ac:dyDescent="0.45">
      <c r="A793">
        <v>59184</v>
      </c>
      <c r="B793" s="72">
        <v>36937</v>
      </c>
      <c r="C793">
        <v>43</v>
      </c>
      <c r="D793">
        <v>43</v>
      </c>
    </row>
    <row r="794" spans="1:4" x14ac:dyDescent="0.45">
      <c r="A794">
        <v>59184</v>
      </c>
      <c r="B794" s="72">
        <v>36938</v>
      </c>
      <c r="C794">
        <v>43.74</v>
      </c>
      <c r="D794">
        <v>43.74</v>
      </c>
    </row>
    <row r="795" spans="1:4" x14ac:dyDescent="0.45">
      <c r="A795">
        <v>59184</v>
      </c>
      <c r="B795" s="72">
        <v>36942</v>
      </c>
      <c r="C795">
        <v>44.9</v>
      </c>
      <c r="D795">
        <v>44.9</v>
      </c>
    </row>
    <row r="796" spans="1:4" x14ac:dyDescent="0.45">
      <c r="A796">
        <v>59184</v>
      </c>
      <c r="B796" s="72">
        <v>36943</v>
      </c>
      <c r="C796">
        <v>44.54</v>
      </c>
      <c r="D796">
        <v>44.54</v>
      </c>
    </row>
    <row r="797" spans="1:4" x14ac:dyDescent="0.45">
      <c r="A797">
        <v>59184</v>
      </c>
      <c r="B797" s="72">
        <v>36944</v>
      </c>
      <c r="C797">
        <v>43.43</v>
      </c>
      <c r="D797">
        <v>43.43</v>
      </c>
    </row>
    <row r="798" spans="1:4" x14ac:dyDescent="0.45">
      <c r="A798">
        <v>59184</v>
      </c>
      <c r="B798" s="72">
        <v>36945</v>
      </c>
      <c r="C798">
        <v>43.02</v>
      </c>
      <c r="D798">
        <v>43.02</v>
      </c>
    </row>
    <row r="799" spans="1:4" x14ac:dyDescent="0.45">
      <c r="A799">
        <v>59184</v>
      </c>
      <c r="B799" s="72">
        <v>36948</v>
      </c>
      <c r="C799">
        <v>43.24</v>
      </c>
      <c r="D799">
        <v>43.24</v>
      </c>
    </row>
    <row r="800" spans="1:4" x14ac:dyDescent="0.45">
      <c r="A800">
        <v>59184</v>
      </c>
      <c r="B800" s="72">
        <v>36949</v>
      </c>
      <c r="C800">
        <v>44.45</v>
      </c>
      <c r="D800">
        <v>44.45</v>
      </c>
    </row>
    <row r="801" spans="1:4" x14ac:dyDescent="0.45">
      <c r="A801">
        <v>59184</v>
      </c>
      <c r="B801" s="72">
        <v>36950</v>
      </c>
      <c r="C801">
        <v>43.7</v>
      </c>
      <c r="D801">
        <v>43.7</v>
      </c>
    </row>
    <row r="802" spans="1:4" x14ac:dyDescent="0.45">
      <c r="A802">
        <v>59184</v>
      </c>
      <c r="B802" s="72">
        <v>36951</v>
      </c>
      <c r="C802">
        <v>43</v>
      </c>
      <c r="D802">
        <v>43</v>
      </c>
    </row>
    <row r="803" spans="1:4" x14ac:dyDescent="0.45">
      <c r="A803">
        <v>59184</v>
      </c>
      <c r="B803" s="72">
        <v>36952</v>
      </c>
      <c r="C803">
        <v>42.25</v>
      </c>
      <c r="D803">
        <v>42.25</v>
      </c>
    </row>
    <row r="804" spans="1:4" x14ac:dyDescent="0.45">
      <c r="A804">
        <v>59184</v>
      </c>
      <c r="B804" s="72">
        <v>36955</v>
      </c>
      <c r="C804">
        <v>43.01</v>
      </c>
      <c r="D804">
        <v>43.01</v>
      </c>
    </row>
    <row r="805" spans="1:4" x14ac:dyDescent="0.45">
      <c r="A805">
        <v>59184</v>
      </c>
      <c r="B805" s="72">
        <v>36956</v>
      </c>
      <c r="C805">
        <v>41.5</v>
      </c>
      <c r="D805">
        <v>41.5</v>
      </c>
    </row>
    <row r="806" spans="1:4" x14ac:dyDescent="0.45">
      <c r="A806">
        <v>59184</v>
      </c>
      <c r="B806" s="72">
        <v>36957</v>
      </c>
      <c r="C806">
        <v>43</v>
      </c>
      <c r="D806">
        <v>43</v>
      </c>
    </row>
    <row r="807" spans="1:4" x14ac:dyDescent="0.45">
      <c r="A807">
        <v>59184</v>
      </c>
      <c r="B807" s="72">
        <v>36958</v>
      </c>
      <c r="C807">
        <v>44.25</v>
      </c>
      <c r="D807">
        <v>44.25</v>
      </c>
    </row>
    <row r="808" spans="1:4" x14ac:dyDescent="0.45">
      <c r="A808">
        <v>59184</v>
      </c>
      <c r="B808" s="72">
        <v>36959</v>
      </c>
      <c r="C808">
        <v>44.95</v>
      </c>
      <c r="D808">
        <v>44.95</v>
      </c>
    </row>
    <row r="809" spans="1:4" x14ac:dyDescent="0.45">
      <c r="A809">
        <v>59184</v>
      </c>
      <c r="B809" s="72">
        <v>36962</v>
      </c>
      <c r="C809">
        <v>44.2</v>
      </c>
      <c r="D809">
        <v>44.2</v>
      </c>
    </row>
    <row r="810" spans="1:4" x14ac:dyDescent="0.45">
      <c r="A810">
        <v>59184</v>
      </c>
      <c r="B810" s="72">
        <v>36963</v>
      </c>
      <c r="C810">
        <v>43.45</v>
      </c>
      <c r="D810">
        <v>43.45</v>
      </c>
    </row>
    <row r="811" spans="1:4" x14ac:dyDescent="0.45">
      <c r="A811">
        <v>59184</v>
      </c>
      <c r="B811" s="72">
        <v>36964</v>
      </c>
      <c r="C811">
        <v>43.46</v>
      </c>
      <c r="D811">
        <v>43.46</v>
      </c>
    </row>
    <row r="812" spans="1:4" x14ac:dyDescent="0.45">
      <c r="A812">
        <v>59184</v>
      </c>
      <c r="B812" s="72">
        <v>36965</v>
      </c>
      <c r="C812">
        <v>44.02</v>
      </c>
      <c r="D812">
        <v>44.02</v>
      </c>
    </row>
    <row r="813" spans="1:4" x14ac:dyDescent="0.45">
      <c r="A813">
        <v>59184</v>
      </c>
      <c r="B813" s="72">
        <v>36966</v>
      </c>
      <c r="C813">
        <v>44.55</v>
      </c>
      <c r="D813">
        <v>44.55</v>
      </c>
    </row>
    <row r="814" spans="1:4" x14ac:dyDescent="0.45">
      <c r="A814">
        <v>59184</v>
      </c>
      <c r="B814" s="72">
        <v>36969</v>
      </c>
      <c r="C814">
        <v>43.75</v>
      </c>
      <c r="D814">
        <v>43.75</v>
      </c>
    </row>
    <row r="815" spans="1:4" x14ac:dyDescent="0.45">
      <c r="A815">
        <v>59184</v>
      </c>
      <c r="B815" s="72">
        <v>36970</v>
      </c>
      <c r="C815">
        <v>43.63</v>
      </c>
      <c r="D815">
        <v>43.63</v>
      </c>
    </row>
    <row r="816" spans="1:4" x14ac:dyDescent="0.45">
      <c r="A816">
        <v>59184</v>
      </c>
      <c r="B816" s="72">
        <v>36971</v>
      </c>
      <c r="C816">
        <v>44.29</v>
      </c>
      <c r="D816">
        <v>44.29</v>
      </c>
    </row>
    <row r="817" spans="1:4" x14ac:dyDescent="0.45">
      <c r="A817">
        <v>59184</v>
      </c>
      <c r="B817" s="72">
        <v>36972</v>
      </c>
      <c r="C817">
        <v>42.85</v>
      </c>
      <c r="D817">
        <v>42.85</v>
      </c>
    </row>
    <row r="818" spans="1:4" x14ac:dyDescent="0.45">
      <c r="A818">
        <v>59184</v>
      </c>
      <c r="B818" s="72">
        <v>36973</v>
      </c>
      <c r="C818">
        <v>44.55</v>
      </c>
      <c r="D818">
        <v>44.55</v>
      </c>
    </row>
    <row r="819" spans="1:4" x14ac:dyDescent="0.45">
      <c r="A819">
        <v>59184</v>
      </c>
      <c r="B819" s="72">
        <v>36976</v>
      </c>
      <c r="C819">
        <v>44.47</v>
      </c>
      <c r="D819">
        <v>44.47</v>
      </c>
    </row>
    <row r="820" spans="1:4" x14ac:dyDescent="0.45">
      <c r="A820">
        <v>59184</v>
      </c>
      <c r="B820" s="72">
        <v>36977</v>
      </c>
      <c r="C820">
        <v>45.06</v>
      </c>
      <c r="D820">
        <v>45.06</v>
      </c>
    </row>
    <row r="821" spans="1:4" x14ac:dyDescent="0.45">
      <c r="A821">
        <v>59184</v>
      </c>
      <c r="B821" s="72">
        <v>36978</v>
      </c>
      <c r="C821">
        <v>46.46</v>
      </c>
      <c r="D821">
        <v>46.46</v>
      </c>
    </row>
    <row r="822" spans="1:4" x14ac:dyDescent="0.45">
      <c r="A822">
        <v>59184</v>
      </c>
      <c r="B822" s="72">
        <v>36979</v>
      </c>
      <c r="C822">
        <v>45.47</v>
      </c>
      <c r="D822">
        <v>45.47</v>
      </c>
    </row>
    <row r="823" spans="1:4" x14ac:dyDescent="0.45">
      <c r="A823">
        <v>59184</v>
      </c>
      <c r="B823" s="72">
        <v>36980</v>
      </c>
      <c r="C823">
        <v>45.93</v>
      </c>
      <c r="D823">
        <v>45.93</v>
      </c>
    </row>
    <row r="824" spans="1:4" x14ac:dyDescent="0.45">
      <c r="A824">
        <v>59184</v>
      </c>
      <c r="B824" s="72">
        <v>36983</v>
      </c>
      <c r="C824">
        <v>46.45</v>
      </c>
      <c r="D824">
        <v>46.45</v>
      </c>
    </row>
    <row r="825" spans="1:4" x14ac:dyDescent="0.45">
      <c r="A825">
        <v>59184</v>
      </c>
      <c r="B825" s="72">
        <v>36984</v>
      </c>
      <c r="C825">
        <v>45.25</v>
      </c>
      <c r="D825">
        <v>45.25</v>
      </c>
    </row>
    <row r="826" spans="1:4" x14ac:dyDescent="0.45">
      <c r="A826">
        <v>59184</v>
      </c>
      <c r="B826" s="72">
        <v>36985</v>
      </c>
      <c r="C826">
        <v>44</v>
      </c>
      <c r="D826">
        <v>44</v>
      </c>
    </row>
    <row r="827" spans="1:4" x14ac:dyDescent="0.45">
      <c r="A827">
        <v>59184</v>
      </c>
      <c r="B827" s="72">
        <v>36986</v>
      </c>
      <c r="C827">
        <v>42.88</v>
      </c>
      <c r="D827">
        <v>42.88</v>
      </c>
    </row>
    <row r="828" spans="1:4" x14ac:dyDescent="0.45">
      <c r="A828">
        <v>59184</v>
      </c>
      <c r="B828" s="72">
        <v>36987</v>
      </c>
      <c r="C828">
        <v>42.22</v>
      </c>
      <c r="D828">
        <v>42.22</v>
      </c>
    </row>
    <row r="829" spans="1:4" x14ac:dyDescent="0.45">
      <c r="A829">
        <v>59184</v>
      </c>
      <c r="B829" s="72">
        <v>36990</v>
      </c>
      <c r="C829">
        <v>41.74</v>
      </c>
      <c r="D829">
        <v>41.74</v>
      </c>
    </row>
    <row r="830" spans="1:4" x14ac:dyDescent="0.45">
      <c r="A830">
        <v>59184</v>
      </c>
      <c r="B830" s="72">
        <v>36991</v>
      </c>
      <c r="C830">
        <v>41.7</v>
      </c>
      <c r="D830">
        <v>41.7</v>
      </c>
    </row>
    <row r="831" spans="1:4" x14ac:dyDescent="0.45">
      <c r="A831">
        <v>59184</v>
      </c>
      <c r="B831" s="72">
        <v>36992</v>
      </c>
      <c r="C831">
        <v>38.880000000000003</v>
      </c>
      <c r="D831">
        <v>38.880000000000003</v>
      </c>
    </row>
    <row r="832" spans="1:4" x14ac:dyDescent="0.45">
      <c r="A832">
        <v>59184</v>
      </c>
      <c r="B832" s="72">
        <v>36993</v>
      </c>
      <c r="C832">
        <v>40.75</v>
      </c>
      <c r="D832">
        <v>40.75</v>
      </c>
    </row>
    <row r="833" spans="1:4" x14ac:dyDescent="0.45">
      <c r="A833">
        <v>59184</v>
      </c>
      <c r="B833" s="72">
        <v>36997</v>
      </c>
      <c r="C833">
        <v>41.57</v>
      </c>
      <c r="D833">
        <v>41.57</v>
      </c>
    </row>
    <row r="834" spans="1:4" x14ac:dyDescent="0.45">
      <c r="A834">
        <v>59184</v>
      </c>
      <c r="B834" s="72">
        <v>36998</v>
      </c>
      <c r="C834">
        <v>41.57</v>
      </c>
      <c r="D834">
        <v>41.57</v>
      </c>
    </row>
    <row r="835" spans="1:4" x14ac:dyDescent="0.45">
      <c r="A835">
        <v>59184</v>
      </c>
      <c r="B835" s="72">
        <v>36999</v>
      </c>
      <c r="C835">
        <v>39.99</v>
      </c>
      <c r="D835">
        <v>39.99</v>
      </c>
    </row>
    <row r="836" spans="1:4" x14ac:dyDescent="0.45">
      <c r="A836">
        <v>59184</v>
      </c>
      <c r="B836" s="72">
        <v>37000</v>
      </c>
      <c r="C836">
        <v>40.549999999999997</v>
      </c>
      <c r="D836">
        <v>40.549999999999997</v>
      </c>
    </row>
    <row r="837" spans="1:4" x14ac:dyDescent="0.45">
      <c r="A837">
        <v>59184</v>
      </c>
      <c r="B837" s="72">
        <v>37001</v>
      </c>
      <c r="C837">
        <v>40.799999999999997</v>
      </c>
      <c r="D837">
        <v>40.799999999999997</v>
      </c>
    </row>
    <row r="838" spans="1:4" x14ac:dyDescent="0.45">
      <c r="A838">
        <v>59184</v>
      </c>
      <c r="B838" s="72">
        <v>37004</v>
      </c>
      <c r="C838">
        <v>40.46</v>
      </c>
      <c r="D838">
        <v>40.46</v>
      </c>
    </row>
    <row r="839" spans="1:4" x14ac:dyDescent="0.45">
      <c r="A839">
        <v>59184</v>
      </c>
      <c r="B839" s="72">
        <v>37005</v>
      </c>
      <c r="C839">
        <v>39.770000000000003</v>
      </c>
      <c r="D839">
        <v>39.770000000000003</v>
      </c>
    </row>
    <row r="840" spans="1:4" x14ac:dyDescent="0.45">
      <c r="A840">
        <v>59184</v>
      </c>
      <c r="B840" s="72">
        <v>37006</v>
      </c>
      <c r="C840">
        <v>40.78</v>
      </c>
      <c r="D840">
        <v>40.78</v>
      </c>
    </row>
    <row r="841" spans="1:4" x14ac:dyDescent="0.45">
      <c r="A841">
        <v>59184</v>
      </c>
      <c r="B841" s="72">
        <v>37007</v>
      </c>
      <c r="C841">
        <v>40</v>
      </c>
      <c r="D841">
        <v>40</v>
      </c>
    </row>
    <row r="842" spans="1:4" x14ac:dyDescent="0.45">
      <c r="A842">
        <v>59184</v>
      </c>
      <c r="B842" s="72">
        <v>37008</v>
      </c>
      <c r="C842">
        <v>40.799999999999997</v>
      </c>
      <c r="D842">
        <v>40.799999999999997</v>
      </c>
    </row>
    <row r="843" spans="1:4" x14ac:dyDescent="0.45">
      <c r="A843">
        <v>59184</v>
      </c>
      <c r="B843" s="72">
        <v>37011</v>
      </c>
      <c r="C843">
        <v>39.99</v>
      </c>
      <c r="D843">
        <v>39.99</v>
      </c>
    </row>
    <row r="844" spans="1:4" x14ac:dyDescent="0.45">
      <c r="A844">
        <v>59184</v>
      </c>
      <c r="B844" s="72">
        <v>37012</v>
      </c>
      <c r="C844">
        <v>39.950000000000003</v>
      </c>
      <c r="D844">
        <v>39.950000000000003</v>
      </c>
    </row>
    <row r="845" spans="1:4" x14ac:dyDescent="0.45">
      <c r="A845">
        <v>59184</v>
      </c>
      <c r="B845" s="72">
        <v>37013</v>
      </c>
      <c r="C845">
        <v>39.81</v>
      </c>
      <c r="D845">
        <v>39.81</v>
      </c>
    </row>
    <row r="846" spans="1:4" x14ac:dyDescent="0.45">
      <c r="A846">
        <v>59184</v>
      </c>
      <c r="B846" s="72">
        <v>37014</v>
      </c>
      <c r="C846">
        <v>40.450000000000003</v>
      </c>
      <c r="D846">
        <v>40.450000000000003</v>
      </c>
    </row>
    <row r="847" spans="1:4" x14ac:dyDescent="0.45">
      <c r="A847">
        <v>59184</v>
      </c>
      <c r="B847" s="72">
        <v>37015</v>
      </c>
      <c r="C847">
        <v>40.869999999999997</v>
      </c>
      <c r="D847">
        <v>40.869999999999997</v>
      </c>
    </row>
    <row r="848" spans="1:4" x14ac:dyDescent="0.45">
      <c r="A848">
        <v>59184</v>
      </c>
      <c r="B848" s="72">
        <v>37018</v>
      </c>
      <c r="C848">
        <v>40.79</v>
      </c>
      <c r="D848">
        <v>40.79</v>
      </c>
    </row>
    <row r="849" spans="1:4" x14ac:dyDescent="0.45">
      <c r="A849">
        <v>59184</v>
      </c>
      <c r="B849" s="72">
        <v>37019</v>
      </c>
      <c r="C849">
        <v>40.65</v>
      </c>
      <c r="D849">
        <v>40.65</v>
      </c>
    </row>
    <row r="850" spans="1:4" x14ac:dyDescent="0.45">
      <c r="A850">
        <v>59184</v>
      </c>
      <c r="B850" s="72">
        <v>37020</v>
      </c>
      <c r="C850">
        <v>40.97</v>
      </c>
      <c r="D850">
        <v>40.97</v>
      </c>
    </row>
    <row r="851" spans="1:4" x14ac:dyDescent="0.45">
      <c r="A851">
        <v>59184</v>
      </c>
      <c r="B851" s="72">
        <v>37021</v>
      </c>
      <c r="C851">
        <v>40.799999999999997</v>
      </c>
      <c r="D851">
        <v>40.799999999999997</v>
      </c>
    </row>
    <row r="852" spans="1:4" x14ac:dyDescent="0.45">
      <c r="A852">
        <v>59184</v>
      </c>
      <c r="B852" s="72">
        <v>37022</v>
      </c>
      <c r="C852">
        <v>41.2</v>
      </c>
      <c r="D852">
        <v>41.2</v>
      </c>
    </row>
    <row r="853" spans="1:4" x14ac:dyDescent="0.45">
      <c r="A853">
        <v>59184</v>
      </c>
      <c r="B853" s="72">
        <v>37025</v>
      </c>
      <c r="C853">
        <v>42</v>
      </c>
      <c r="D853">
        <v>42</v>
      </c>
    </row>
    <row r="854" spans="1:4" x14ac:dyDescent="0.45">
      <c r="A854">
        <v>59184</v>
      </c>
      <c r="B854" s="72">
        <v>37026</v>
      </c>
      <c r="C854">
        <v>42.5</v>
      </c>
      <c r="D854">
        <v>42.5</v>
      </c>
    </row>
    <row r="855" spans="1:4" x14ac:dyDescent="0.45">
      <c r="A855">
        <v>59184</v>
      </c>
      <c r="B855" s="72">
        <v>37027</v>
      </c>
      <c r="C855">
        <v>44.05</v>
      </c>
      <c r="D855">
        <v>44.05</v>
      </c>
    </row>
    <row r="856" spans="1:4" x14ac:dyDescent="0.45">
      <c r="A856">
        <v>59184</v>
      </c>
      <c r="B856" s="72">
        <v>37028</v>
      </c>
      <c r="C856">
        <v>43.9</v>
      </c>
      <c r="D856">
        <v>43.9</v>
      </c>
    </row>
    <row r="857" spans="1:4" x14ac:dyDescent="0.45">
      <c r="A857">
        <v>59184</v>
      </c>
      <c r="B857" s="72">
        <v>37029</v>
      </c>
      <c r="C857">
        <v>43.67</v>
      </c>
      <c r="D857">
        <v>43.67</v>
      </c>
    </row>
    <row r="858" spans="1:4" x14ac:dyDescent="0.45">
      <c r="A858">
        <v>59184</v>
      </c>
      <c r="B858" s="72">
        <v>37032</v>
      </c>
      <c r="C858">
        <v>43.95</v>
      </c>
      <c r="D858">
        <v>43.95</v>
      </c>
    </row>
    <row r="859" spans="1:4" x14ac:dyDescent="0.45">
      <c r="A859">
        <v>59184</v>
      </c>
      <c r="B859" s="72">
        <v>37033</v>
      </c>
      <c r="C859">
        <v>43.46</v>
      </c>
      <c r="D859">
        <v>43.46</v>
      </c>
    </row>
    <row r="860" spans="1:4" x14ac:dyDescent="0.45">
      <c r="A860">
        <v>59184</v>
      </c>
      <c r="B860" s="72">
        <v>37034</v>
      </c>
      <c r="C860">
        <v>43.7</v>
      </c>
      <c r="D860">
        <v>43.7</v>
      </c>
    </row>
    <row r="861" spans="1:4" x14ac:dyDescent="0.45">
      <c r="A861">
        <v>59184</v>
      </c>
      <c r="B861" s="72">
        <v>37035</v>
      </c>
      <c r="C861">
        <v>43.2</v>
      </c>
      <c r="D861">
        <v>43.2</v>
      </c>
    </row>
    <row r="862" spans="1:4" x14ac:dyDescent="0.45">
      <c r="A862">
        <v>59184</v>
      </c>
      <c r="B862" s="72">
        <v>37036</v>
      </c>
      <c r="C862">
        <v>43.03</v>
      </c>
      <c r="D862">
        <v>43.03</v>
      </c>
    </row>
    <row r="863" spans="1:4" x14ac:dyDescent="0.45">
      <c r="A863">
        <v>59184</v>
      </c>
      <c r="B863" s="72">
        <v>37040</v>
      </c>
      <c r="C863">
        <v>43.6</v>
      </c>
      <c r="D863">
        <v>43.6</v>
      </c>
    </row>
    <row r="864" spans="1:4" x14ac:dyDescent="0.45">
      <c r="A864">
        <v>59184</v>
      </c>
      <c r="B864" s="72">
        <v>37041</v>
      </c>
      <c r="C864">
        <v>43.82</v>
      </c>
      <c r="D864">
        <v>43.82</v>
      </c>
    </row>
    <row r="865" spans="1:4" x14ac:dyDescent="0.45">
      <c r="A865">
        <v>59184</v>
      </c>
      <c r="B865" s="72">
        <v>37042</v>
      </c>
      <c r="C865">
        <v>44</v>
      </c>
      <c r="D865">
        <v>44</v>
      </c>
    </row>
    <row r="866" spans="1:4" x14ac:dyDescent="0.45">
      <c r="A866">
        <v>59184</v>
      </c>
      <c r="B866" s="72">
        <v>37043</v>
      </c>
      <c r="C866">
        <v>43.74</v>
      </c>
      <c r="D866">
        <v>43.74</v>
      </c>
    </row>
    <row r="867" spans="1:4" x14ac:dyDescent="0.45">
      <c r="A867">
        <v>59184</v>
      </c>
      <c r="B867" s="72">
        <v>37046</v>
      </c>
      <c r="C867">
        <v>42.95</v>
      </c>
      <c r="D867">
        <v>42.95</v>
      </c>
    </row>
    <row r="868" spans="1:4" x14ac:dyDescent="0.45">
      <c r="A868">
        <v>59184</v>
      </c>
      <c r="B868" s="72">
        <v>37047</v>
      </c>
      <c r="C868">
        <v>43</v>
      </c>
      <c r="D868">
        <v>43</v>
      </c>
    </row>
    <row r="869" spans="1:4" x14ac:dyDescent="0.45">
      <c r="A869">
        <v>59184</v>
      </c>
      <c r="B869" s="72">
        <v>37048</v>
      </c>
      <c r="C869">
        <v>42.55</v>
      </c>
      <c r="D869">
        <v>42.55</v>
      </c>
    </row>
    <row r="870" spans="1:4" x14ac:dyDescent="0.45">
      <c r="A870">
        <v>59184</v>
      </c>
      <c r="B870" s="72">
        <v>37049</v>
      </c>
      <c r="C870">
        <v>43.25</v>
      </c>
      <c r="D870">
        <v>43.25</v>
      </c>
    </row>
    <row r="871" spans="1:4" x14ac:dyDescent="0.45">
      <c r="A871">
        <v>59184</v>
      </c>
      <c r="B871" s="72">
        <v>37050</v>
      </c>
      <c r="C871">
        <v>42.89</v>
      </c>
      <c r="D871">
        <v>42.89</v>
      </c>
    </row>
    <row r="872" spans="1:4" x14ac:dyDescent="0.45">
      <c r="A872">
        <v>59184</v>
      </c>
      <c r="B872" s="72">
        <v>37053</v>
      </c>
      <c r="C872">
        <v>41.96</v>
      </c>
      <c r="D872">
        <v>41.96</v>
      </c>
    </row>
    <row r="873" spans="1:4" x14ac:dyDescent="0.45">
      <c r="A873">
        <v>59184</v>
      </c>
      <c r="B873" s="72">
        <v>37054</v>
      </c>
      <c r="C873">
        <v>42.54</v>
      </c>
      <c r="D873">
        <v>42.54</v>
      </c>
    </row>
    <row r="874" spans="1:4" x14ac:dyDescent="0.45">
      <c r="A874">
        <v>59184</v>
      </c>
      <c r="B874" s="72">
        <v>37055</v>
      </c>
      <c r="C874">
        <v>41.99</v>
      </c>
      <c r="D874">
        <v>41.99</v>
      </c>
    </row>
    <row r="875" spans="1:4" x14ac:dyDescent="0.45">
      <c r="A875">
        <v>59184</v>
      </c>
      <c r="B875" s="72">
        <v>37056</v>
      </c>
      <c r="C875">
        <v>42.35</v>
      </c>
      <c r="D875">
        <v>42.35</v>
      </c>
    </row>
    <row r="876" spans="1:4" x14ac:dyDescent="0.45">
      <c r="A876">
        <v>59184</v>
      </c>
      <c r="B876" s="72">
        <v>37057</v>
      </c>
      <c r="C876">
        <v>41.7</v>
      </c>
      <c r="D876">
        <v>41.7</v>
      </c>
    </row>
    <row r="877" spans="1:4" x14ac:dyDescent="0.45">
      <c r="A877">
        <v>59184</v>
      </c>
      <c r="B877" s="72">
        <v>37060</v>
      </c>
      <c r="C877">
        <v>41.51</v>
      </c>
      <c r="D877">
        <v>41.51</v>
      </c>
    </row>
    <row r="878" spans="1:4" x14ac:dyDescent="0.45">
      <c r="A878">
        <v>59184</v>
      </c>
      <c r="B878" s="72">
        <v>37061</v>
      </c>
      <c r="C878">
        <v>41.36</v>
      </c>
      <c r="D878">
        <v>41.36</v>
      </c>
    </row>
    <row r="879" spans="1:4" x14ac:dyDescent="0.45">
      <c r="A879">
        <v>59184</v>
      </c>
      <c r="B879" s="72">
        <v>37062</v>
      </c>
      <c r="C879">
        <v>41.65</v>
      </c>
      <c r="D879">
        <v>41.65</v>
      </c>
    </row>
    <row r="880" spans="1:4" x14ac:dyDescent="0.45">
      <c r="A880">
        <v>59184</v>
      </c>
      <c r="B880" s="72">
        <v>37063</v>
      </c>
      <c r="C880">
        <v>42.36</v>
      </c>
      <c r="D880">
        <v>42.36</v>
      </c>
    </row>
    <row r="881" spans="1:4" x14ac:dyDescent="0.45">
      <c r="A881">
        <v>59184</v>
      </c>
      <c r="B881" s="72">
        <v>37064</v>
      </c>
      <c r="C881">
        <v>42.7</v>
      </c>
      <c r="D881">
        <v>42.7</v>
      </c>
    </row>
    <row r="882" spans="1:4" x14ac:dyDescent="0.45">
      <c r="A882">
        <v>59184</v>
      </c>
      <c r="B882" s="72">
        <v>37067</v>
      </c>
      <c r="C882">
        <v>42.92</v>
      </c>
      <c r="D882">
        <v>42.92</v>
      </c>
    </row>
    <row r="883" spans="1:4" x14ac:dyDescent="0.45">
      <c r="A883">
        <v>59184</v>
      </c>
      <c r="B883" s="72">
        <v>37068</v>
      </c>
      <c r="C883">
        <v>42.93</v>
      </c>
      <c r="D883">
        <v>42.93</v>
      </c>
    </row>
    <row r="884" spans="1:4" x14ac:dyDescent="0.45">
      <c r="A884">
        <v>59184</v>
      </c>
      <c r="B884" s="72">
        <v>37069</v>
      </c>
      <c r="C884">
        <v>41.95</v>
      </c>
      <c r="D884">
        <v>41.95</v>
      </c>
    </row>
    <row r="885" spans="1:4" x14ac:dyDescent="0.45">
      <c r="A885">
        <v>59184</v>
      </c>
      <c r="B885" s="72">
        <v>37070</v>
      </c>
      <c r="C885">
        <v>42.75</v>
      </c>
      <c r="D885">
        <v>42.75</v>
      </c>
    </row>
    <row r="886" spans="1:4" x14ac:dyDescent="0.45">
      <c r="A886">
        <v>59184</v>
      </c>
      <c r="B886" s="72">
        <v>37071</v>
      </c>
      <c r="C886">
        <v>41.2</v>
      </c>
      <c r="D886">
        <v>41.2</v>
      </c>
    </row>
    <row r="887" spans="1:4" x14ac:dyDescent="0.45">
      <c r="A887">
        <v>59184</v>
      </c>
      <c r="B887" s="72">
        <v>37074</v>
      </c>
      <c r="C887">
        <v>43.25</v>
      </c>
      <c r="D887">
        <v>43.25</v>
      </c>
    </row>
    <row r="888" spans="1:4" x14ac:dyDescent="0.45">
      <c r="A888">
        <v>59184</v>
      </c>
      <c r="B888" s="72">
        <v>37075</v>
      </c>
      <c r="C888">
        <v>42.4</v>
      </c>
      <c r="D888">
        <v>42.4</v>
      </c>
    </row>
    <row r="889" spans="1:4" x14ac:dyDescent="0.45">
      <c r="A889">
        <v>59184</v>
      </c>
      <c r="B889" s="72">
        <v>37077</v>
      </c>
      <c r="C889">
        <v>41.62</v>
      </c>
      <c r="D889">
        <v>41.62</v>
      </c>
    </row>
    <row r="890" spans="1:4" x14ac:dyDescent="0.45">
      <c r="A890">
        <v>59184</v>
      </c>
      <c r="B890" s="72">
        <v>37078</v>
      </c>
      <c r="C890">
        <v>41.87</v>
      </c>
      <c r="D890">
        <v>41.87</v>
      </c>
    </row>
    <row r="891" spans="1:4" x14ac:dyDescent="0.45">
      <c r="A891">
        <v>59184</v>
      </c>
      <c r="B891" s="72">
        <v>37081</v>
      </c>
      <c r="C891">
        <v>42</v>
      </c>
      <c r="D891">
        <v>42</v>
      </c>
    </row>
    <row r="892" spans="1:4" x14ac:dyDescent="0.45">
      <c r="A892">
        <v>59184</v>
      </c>
      <c r="B892" s="72">
        <v>37082</v>
      </c>
      <c r="C892">
        <v>41.7</v>
      </c>
      <c r="D892">
        <v>41.7</v>
      </c>
    </row>
    <row r="893" spans="1:4" x14ac:dyDescent="0.45">
      <c r="A893">
        <v>59184</v>
      </c>
      <c r="B893" s="72">
        <v>37083</v>
      </c>
      <c r="C893">
        <v>43.03</v>
      </c>
      <c r="D893">
        <v>43.03</v>
      </c>
    </row>
    <row r="894" spans="1:4" x14ac:dyDescent="0.45">
      <c r="A894">
        <v>59184</v>
      </c>
      <c r="B894" s="72">
        <v>37084</v>
      </c>
      <c r="C894">
        <v>42.65</v>
      </c>
      <c r="D894">
        <v>42.65</v>
      </c>
    </row>
    <row r="895" spans="1:4" x14ac:dyDescent="0.45">
      <c r="A895">
        <v>59184</v>
      </c>
      <c r="B895" s="72">
        <v>37085</v>
      </c>
      <c r="C895">
        <v>43.34</v>
      </c>
      <c r="D895">
        <v>43.34</v>
      </c>
    </row>
    <row r="896" spans="1:4" x14ac:dyDescent="0.45">
      <c r="A896">
        <v>59184</v>
      </c>
      <c r="B896" s="72">
        <v>37088</v>
      </c>
      <c r="C896">
        <v>43.05</v>
      </c>
      <c r="D896">
        <v>43.05</v>
      </c>
    </row>
    <row r="897" spans="1:4" x14ac:dyDescent="0.45">
      <c r="A897">
        <v>59184</v>
      </c>
      <c r="B897" s="72">
        <v>37089</v>
      </c>
      <c r="C897">
        <v>43.34</v>
      </c>
      <c r="D897">
        <v>43.34</v>
      </c>
    </row>
    <row r="898" spans="1:4" x14ac:dyDescent="0.45">
      <c r="A898">
        <v>59184</v>
      </c>
      <c r="B898" s="72">
        <v>37090</v>
      </c>
      <c r="C898">
        <v>44.49</v>
      </c>
      <c r="D898">
        <v>44.49</v>
      </c>
    </row>
    <row r="899" spans="1:4" x14ac:dyDescent="0.45">
      <c r="A899">
        <v>59184</v>
      </c>
      <c r="B899" s="72">
        <v>37091</v>
      </c>
      <c r="C899">
        <v>44.34</v>
      </c>
      <c r="D899">
        <v>44.34</v>
      </c>
    </row>
    <row r="900" spans="1:4" x14ac:dyDescent="0.45">
      <c r="A900">
        <v>59184</v>
      </c>
      <c r="B900" s="72">
        <v>37092</v>
      </c>
      <c r="C900">
        <v>43.73</v>
      </c>
      <c r="D900">
        <v>43.73</v>
      </c>
    </row>
    <row r="901" spans="1:4" x14ac:dyDescent="0.45">
      <c r="A901">
        <v>59184</v>
      </c>
      <c r="B901" s="72">
        <v>37095</v>
      </c>
      <c r="C901">
        <v>43.13</v>
      </c>
      <c r="D901">
        <v>43.13</v>
      </c>
    </row>
    <row r="902" spans="1:4" x14ac:dyDescent="0.45">
      <c r="A902">
        <v>59184</v>
      </c>
      <c r="B902" s="72">
        <v>37096</v>
      </c>
      <c r="C902">
        <v>43.04</v>
      </c>
      <c r="D902">
        <v>43.04</v>
      </c>
    </row>
    <row r="903" spans="1:4" x14ac:dyDescent="0.45">
      <c r="A903">
        <v>59184</v>
      </c>
      <c r="B903" s="72">
        <v>37097</v>
      </c>
      <c r="C903">
        <v>43.2</v>
      </c>
      <c r="D903">
        <v>43.2</v>
      </c>
    </row>
    <row r="904" spans="1:4" x14ac:dyDescent="0.45">
      <c r="A904">
        <v>59184</v>
      </c>
      <c r="B904" s="72">
        <v>37098</v>
      </c>
      <c r="C904">
        <v>43.43</v>
      </c>
      <c r="D904">
        <v>43.43</v>
      </c>
    </row>
    <row r="905" spans="1:4" x14ac:dyDescent="0.45">
      <c r="A905">
        <v>59184</v>
      </c>
      <c r="B905" s="72">
        <v>37099</v>
      </c>
      <c r="C905">
        <v>43</v>
      </c>
      <c r="D905">
        <v>43</v>
      </c>
    </row>
    <row r="906" spans="1:4" x14ac:dyDescent="0.45">
      <c r="A906">
        <v>59184</v>
      </c>
      <c r="B906" s="72">
        <v>37102</v>
      </c>
      <c r="C906">
        <v>42.7</v>
      </c>
      <c r="D906">
        <v>42.7</v>
      </c>
    </row>
    <row r="907" spans="1:4" x14ac:dyDescent="0.45">
      <c r="A907">
        <v>59184</v>
      </c>
      <c r="B907" s="72">
        <v>37103</v>
      </c>
      <c r="C907">
        <v>43.31</v>
      </c>
      <c r="D907">
        <v>43.31</v>
      </c>
    </row>
    <row r="908" spans="1:4" x14ac:dyDescent="0.45">
      <c r="A908">
        <v>59184</v>
      </c>
      <c r="B908" s="72">
        <v>37104</v>
      </c>
      <c r="C908">
        <v>43.63</v>
      </c>
      <c r="D908">
        <v>43.63</v>
      </c>
    </row>
    <row r="909" spans="1:4" x14ac:dyDescent="0.45">
      <c r="A909">
        <v>59184</v>
      </c>
      <c r="B909" s="72">
        <v>37105</v>
      </c>
      <c r="C909">
        <v>44.05</v>
      </c>
      <c r="D909">
        <v>44.05</v>
      </c>
    </row>
    <row r="910" spans="1:4" x14ac:dyDescent="0.45">
      <c r="A910">
        <v>59184</v>
      </c>
      <c r="B910" s="72">
        <v>37106</v>
      </c>
      <c r="C910">
        <v>43.37</v>
      </c>
      <c r="D910">
        <v>43.37</v>
      </c>
    </row>
    <row r="911" spans="1:4" x14ac:dyDescent="0.45">
      <c r="A911">
        <v>59184</v>
      </c>
      <c r="B911" s="72">
        <v>37109</v>
      </c>
      <c r="C911">
        <v>42.96</v>
      </c>
      <c r="D911">
        <v>42.96</v>
      </c>
    </row>
    <row r="912" spans="1:4" x14ac:dyDescent="0.45">
      <c r="A912">
        <v>59184</v>
      </c>
      <c r="B912" s="72">
        <v>37110</v>
      </c>
      <c r="C912">
        <v>42.3</v>
      </c>
      <c r="D912">
        <v>42.3</v>
      </c>
    </row>
    <row r="913" spans="1:4" x14ac:dyDescent="0.45">
      <c r="A913">
        <v>59184</v>
      </c>
      <c r="B913" s="72">
        <v>37111</v>
      </c>
      <c r="C913">
        <v>42.3</v>
      </c>
      <c r="D913">
        <v>42.3</v>
      </c>
    </row>
    <row r="914" spans="1:4" x14ac:dyDescent="0.45">
      <c r="A914">
        <v>59184</v>
      </c>
      <c r="B914" s="72">
        <v>37112</v>
      </c>
      <c r="C914">
        <v>41.9</v>
      </c>
      <c r="D914">
        <v>41.9</v>
      </c>
    </row>
    <row r="915" spans="1:4" x14ac:dyDescent="0.45">
      <c r="A915">
        <v>59184</v>
      </c>
      <c r="B915" s="72">
        <v>37113</v>
      </c>
      <c r="C915">
        <v>42.05</v>
      </c>
      <c r="D915">
        <v>42.05</v>
      </c>
    </row>
    <row r="916" spans="1:4" x14ac:dyDescent="0.45">
      <c r="A916">
        <v>59184</v>
      </c>
      <c r="B916" s="72">
        <v>37116</v>
      </c>
      <c r="C916">
        <v>42.57</v>
      </c>
      <c r="D916">
        <v>42.57</v>
      </c>
    </row>
    <row r="917" spans="1:4" x14ac:dyDescent="0.45">
      <c r="A917">
        <v>59184</v>
      </c>
      <c r="B917" s="72">
        <v>37117</v>
      </c>
      <c r="C917">
        <v>41.95</v>
      </c>
      <c r="D917">
        <v>41.95</v>
      </c>
    </row>
    <row r="918" spans="1:4" x14ac:dyDescent="0.45">
      <c r="A918">
        <v>59184</v>
      </c>
      <c r="B918" s="72">
        <v>37118</v>
      </c>
      <c r="C918">
        <v>42.65</v>
      </c>
      <c r="D918">
        <v>42.65</v>
      </c>
    </row>
    <row r="919" spans="1:4" x14ac:dyDescent="0.45">
      <c r="A919">
        <v>59184</v>
      </c>
      <c r="B919" s="72">
        <v>37119</v>
      </c>
      <c r="C919">
        <v>43.13</v>
      </c>
      <c r="D919">
        <v>43.13</v>
      </c>
    </row>
    <row r="920" spans="1:4" x14ac:dyDescent="0.45">
      <c r="A920">
        <v>59184</v>
      </c>
      <c r="B920" s="72">
        <v>37120</v>
      </c>
      <c r="C920">
        <v>43</v>
      </c>
      <c r="D920">
        <v>43</v>
      </c>
    </row>
    <row r="921" spans="1:4" x14ac:dyDescent="0.45">
      <c r="A921">
        <v>59184</v>
      </c>
      <c r="B921" s="72">
        <v>37123</v>
      </c>
      <c r="C921">
        <v>43.6</v>
      </c>
      <c r="D921">
        <v>43.6</v>
      </c>
    </row>
    <row r="922" spans="1:4" x14ac:dyDescent="0.45">
      <c r="A922">
        <v>59184</v>
      </c>
      <c r="B922" s="72">
        <v>37124</v>
      </c>
      <c r="C922">
        <v>43.05</v>
      </c>
      <c r="D922">
        <v>43.05</v>
      </c>
    </row>
    <row r="923" spans="1:4" x14ac:dyDescent="0.45">
      <c r="A923">
        <v>59184</v>
      </c>
      <c r="B923" s="72">
        <v>37125</v>
      </c>
      <c r="C923">
        <v>43.26</v>
      </c>
      <c r="D923">
        <v>43.26</v>
      </c>
    </row>
    <row r="924" spans="1:4" x14ac:dyDescent="0.45">
      <c r="A924">
        <v>59184</v>
      </c>
      <c r="B924" s="72">
        <v>37126</v>
      </c>
      <c r="C924">
        <v>43.35</v>
      </c>
      <c r="D924">
        <v>43.35</v>
      </c>
    </row>
    <row r="925" spans="1:4" x14ac:dyDescent="0.45">
      <c r="A925">
        <v>59184</v>
      </c>
      <c r="B925" s="72">
        <v>37127</v>
      </c>
      <c r="C925">
        <v>43.83</v>
      </c>
      <c r="D925">
        <v>43.83</v>
      </c>
    </row>
    <row r="926" spans="1:4" x14ac:dyDescent="0.45">
      <c r="A926">
        <v>59184</v>
      </c>
      <c r="B926" s="72">
        <v>37130</v>
      </c>
      <c r="C926">
        <v>43.8</v>
      </c>
      <c r="D926">
        <v>43.8</v>
      </c>
    </row>
    <row r="927" spans="1:4" x14ac:dyDescent="0.45">
      <c r="A927">
        <v>59184</v>
      </c>
      <c r="B927" s="72">
        <v>37131</v>
      </c>
      <c r="C927">
        <v>43.86</v>
      </c>
      <c r="D927">
        <v>43.86</v>
      </c>
    </row>
    <row r="928" spans="1:4" x14ac:dyDescent="0.45">
      <c r="A928">
        <v>59184</v>
      </c>
      <c r="B928" s="72">
        <v>37132</v>
      </c>
      <c r="C928">
        <v>43.65</v>
      </c>
      <c r="D928">
        <v>43.65</v>
      </c>
    </row>
    <row r="929" spans="1:4" x14ac:dyDescent="0.45">
      <c r="A929">
        <v>59184</v>
      </c>
      <c r="B929" s="72">
        <v>37133</v>
      </c>
      <c r="C929">
        <v>43.87</v>
      </c>
      <c r="D929">
        <v>43.87</v>
      </c>
    </row>
    <row r="930" spans="1:4" x14ac:dyDescent="0.45">
      <c r="A930">
        <v>59184</v>
      </c>
      <c r="B930" s="72">
        <v>37134</v>
      </c>
      <c r="C930">
        <v>43.04</v>
      </c>
      <c r="D930">
        <v>43.04</v>
      </c>
    </row>
    <row r="931" spans="1:4" x14ac:dyDescent="0.45">
      <c r="A931">
        <v>59184</v>
      </c>
      <c r="B931" s="72">
        <v>37138</v>
      </c>
      <c r="C931">
        <v>43.65</v>
      </c>
      <c r="D931">
        <v>43.65</v>
      </c>
    </row>
    <row r="932" spans="1:4" x14ac:dyDescent="0.45">
      <c r="A932">
        <v>59184</v>
      </c>
      <c r="B932" s="72">
        <v>37139</v>
      </c>
      <c r="C932">
        <v>44.18</v>
      </c>
      <c r="D932">
        <v>44.18</v>
      </c>
    </row>
    <row r="933" spans="1:4" x14ac:dyDescent="0.45">
      <c r="A933">
        <v>59184</v>
      </c>
      <c r="B933" s="72">
        <v>37140</v>
      </c>
      <c r="C933">
        <v>43.3</v>
      </c>
      <c r="D933">
        <v>43.3</v>
      </c>
    </row>
    <row r="934" spans="1:4" x14ac:dyDescent="0.45">
      <c r="A934">
        <v>59184</v>
      </c>
      <c r="B934" s="72">
        <v>37141</v>
      </c>
      <c r="C934">
        <v>43.9</v>
      </c>
      <c r="D934">
        <v>43.9</v>
      </c>
    </row>
    <row r="935" spans="1:4" x14ac:dyDescent="0.45">
      <c r="A935">
        <v>59184</v>
      </c>
      <c r="B935" s="72">
        <v>37144</v>
      </c>
      <c r="C935">
        <v>43.95</v>
      </c>
      <c r="D935">
        <v>43.95</v>
      </c>
    </row>
    <row r="936" spans="1:4" x14ac:dyDescent="0.45">
      <c r="A936">
        <v>59184</v>
      </c>
      <c r="B936" s="72">
        <v>37151</v>
      </c>
      <c r="C936">
        <v>44.06</v>
      </c>
      <c r="D936">
        <v>44.06</v>
      </c>
    </row>
    <row r="937" spans="1:4" x14ac:dyDescent="0.45">
      <c r="A937">
        <v>59184</v>
      </c>
      <c r="B937" s="72">
        <v>37152</v>
      </c>
      <c r="C937">
        <v>43.43</v>
      </c>
      <c r="D937">
        <v>43.43</v>
      </c>
    </row>
    <row r="938" spans="1:4" x14ac:dyDescent="0.45">
      <c r="A938">
        <v>59184</v>
      </c>
      <c r="B938" s="72">
        <v>37153</v>
      </c>
      <c r="C938">
        <v>41.58</v>
      </c>
      <c r="D938">
        <v>41.58</v>
      </c>
    </row>
    <row r="939" spans="1:4" x14ac:dyDescent="0.45">
      <c r="A939">
        <v>59184</v>
      </c>
      <c r="B939" s="72">
        <v>37154</v>
      </c>
      <c r="C939">
        <v>41.46</v>
      </c>
      <c r="D939">
        <v>41.46</v>
      </c>
    </row>
    <row r="940" spans="1:4" x14ac:dyDescent="0.45">
      <c r="A940">
        <v>59184</v>
      </c>
      <c r="B940" s="72">
        <v>37155</v>
      </c>
      <c r="C940">
        <v>40.4</v>
      </c>
      <c r="D940">
        <v>40.4</v>
      </c>
    </row>
    <row r="941" spans="1:4" x14ac:dyDescent="0.45">
      <c r="A941">
        <v>59184</v>
      </c>
      <c r="B941" s="72">
        <v>37158</v>
      </c>
      <c r="C941">
        <v>39.75</v>
      </c>
      <c r="D941">
        <v>39.75</v>
      </c>
    </row>
    <row r="942" spans="1:4" x14ac:dyDescent="0.45">
      <c r="A942">
        <v>59184</v>
      </c>
      <c r="B942" s="72">
        <v>37159</v>
      </c>
      <c r="C942">
        <v>41.15</v>
      </c>
      <c r="D942">
        <v>41.15</v>
      </c>
    </row>
    <row r="943" spans="1:4" x14ac:dyDescent="0.45">
      <c r="A943">
        <v>59184</v>
      </c>
      <c r="B943" s="72">
        <v>37160</v>
      </c>
      <c r="C943">
        <v>41.04</v>
      </c>
      <c r="D943">
        <v>41.04</v>
      </c>
    </row>
    <row r="944" spans="1:4" x14ac:dyDescent="0.45">
      <c r="A944">
        <v>59184</v>
      </c>
      <c r="B944" s="72">
        <v>37161</v>
      </c>
      <c r="C944">
        <v>41.43</v>
      </c>
      <c r="D944">
        <v>41.43</v>
      </c>
    </row>
    <row r="945" spans="1:4" x14ac:dyDescent="0.45">
      <c r="A945">
        <v>59184</v>
      </c>
      <c r="B945" s="72">
        <v>37162</v>
      </c>
      <c r="C945">
        <v>41.88</v>
      </c>
      <c r="D945">
        <v>41.88</v>
      </c>
    </row>
    <row r="946" spans="1:4" x14ac:dyDescent="0.45">
      <c r="A946">
        <v>59184</v>
      </c>
      <c r="B946" s="72">
        <v>37165</v>
      </c>
      <c r="C946">
        <v>41.85</v>
      </c>
      <c r="D946">
        <v>41.85</v>
      </c>
    </row>
    <row r="947" spans="1:4" x14ac:dyDescent="0.45">
      <c r="A947">
        <v>59184</v>
      </c>
      <c r="B947" s="72">
        <v>37166</v>
      </c>
      <c r="C947">
        <v>41.8</v>
      </c>
      <c r="D947">
        <v>41.8</v>
      </c>
    </row>
    <row r="948" spans="1:4" x14ac:dyDescent="0.45">
      <c r="A948">
        <v>59184</v>
      </c>
      <c r="B948" s="72">
        <v>37167</v>
      </c>
      <c r="C948">
        <v>41.25</v>
      </c>
      <c r="D948">
        <v>41.25</v>
      </c>
    </row>
    <row r="949" spans="1:4" x14ac:dyDescent="0.45">
      <c r="A949">
        <v>59184</v>
      </c>
      <c r="B949" s="72">
        <v>37168</v>
      </c>
      <c r="C949">
        <v>40.5</v>
      </c>
      <c r="D949">
        <v>40.5</v>
      </c>
    </row>
    <row r="950" spans="1:4" x14ac:dyDescent="0.45">
      <c r="A950">
        <v>59184</v>
      </c>
      <c r="B950" s="72">
        <v>37169</v>
      </c>
      <c r="C950">
        <v>41.1</v>
      </c>
      <c r="D950">
        <v>41.1</v>
      </c>
    </row>
    <row r="951" spans="1:4" x14ac:dyDescent="0.45">
      <c r="A951">
        <v>59184</v>
      </c>
      <c r="B951" s="72">
        <v>37172</v>
      </c>
      <c r="C951">
        <v>39.700000000000003</v>
      </c>
      <c r="D951">
        <v>39.700000000000003</v>
      </c>
    </row>
    <row r="952" spans="1:4" x14ac:dyDescent="0.45">
      <c r="A952">
        <v>59184</v>
      </c>
      <c r="B952" s="72">
        <v>37173</v>
      </c>
      <c r="C952">
        <v>40.19</v>
      </c>
      <c r="D952">
        <v>40.19</v>
      </c>
    </row>
    <row r="953" spans="1:4" x14ac:dyDescent="0.45">
      <c r="A953">
        <v>59184</v>
      </c>
      <c r="B953" s="72">
        <v>37174</v>
      </c>
      <c r="C953">
        <v>40.520000000000003</v>
      </c>
      <c r="D953">
        <v>40.520000000000003</v>
      </c>
    </row>
    <row r="954" spans="1:4" x14ac:dyDescent="0.45">
      <c r="A954">
        <v>59184</v>
      </c>
      <c r="B954" s="72">
        <v>37175</v>
      </c>
      <c r="C954">
        <v>40.06</v>
      </c>
      <c r="D954">
        <v>40.06</v>
      </c>
    </row>
    <row r="955" spans="1:4" x14ac:dyDescent="0.45">
      <c r="A955">
        <v>59184</v>
      </c>
      <c r="B955" s="72">
        <v>37176</v>
      </c>
      <c r="C955">
        <v>40.6</v>
      </c>
      <c r="D955">
        <v>40.6</v>
      </c>
    </row>
    <row r="956" spans="1:4" x14ac:dyDescent="0.45">
      <c r="A956">
        <v>59184</v>
      </c>
      <c r="B956" s="72">
        <v>37179</v>
      </c>
      <c r="C956">
        <v>41.07</v>
      </c>
      <c r="D956">
        <v>41.07</v>
      </c>
    </row>
    <row r="957" spans="1:4" x14ac:dyDescent="0.45">
      <c r="A957">
        <v>59184</v>
      </c>
      <c r="B957" s="72">
        <v>37180</v>
      </c>
      <c r="C957">
        <v>40.4</v>
      </c>
      <c r="D957">
        <v>40.4</v>
      </c>
    </row>
    <row r="958" spans="1:4" x14ac:dyDescent="0.45">
      <c r="A958">
        <v>59184</v>
      </c>
      <c r="B958" s="72">
        <v>37181</v>
      </c>
      <c r="C958">
        <v>41</v>
      </c>
      <c r="D958">
        <v>41</v>
      </c>
    </row>
    <row r="959" spans="1:4" x14ac:dyDescent="0.45">
      <c r="A959">
        <v>59184</v>
      </c>
      <c r="B959" s="72">
        <v>37182</v>
      </c>
      <c r="C959">
        <v>41.91</v>
      </c>
      <c r="D959">
        <v>41.91</v>
      </c>
    </row>
    <row r="960" spans="1:4" x14ac:dyDescent="0.45">
      <c r="A960">
        <v>59184</v>
      </c>
      <c r="B960" s="72">
        <v>37183</v>
      </c>
      <c r="C960">
        <v>41.9</v>
      </c>
      <c r="D960">
        <v>41.9</v>
      </c>
    </row>
    <row r="961" spans="1:4" x14ac:dyDescent="0.45">
      <c r="A961">
        <v>59184</v>
      </c>
      <c r="B961" s="72">
        <v>37186</v>
      </c>
      <c r="C961">
        <v>42.15</v>
      </c>
      <c r="D961">
        <v>42.15</v>
      </c>
    </row>
    <row r="962" spans="1:4" x14ac:dyDescent="0.45">
      <c r="A962">
        <v>59184</v>
      </c>
      <c r="B962" s="72">
        <v>37187</v>
      </c>
      <c r="C962">
        <v>42.45</v>
      </c>
      <c r="D962">
        <v>42.45</v>
      </c>
    </row>
    <row r="963" spans="1:4" x14ac:dyDescent="0.45">
      <c r="A963">
        <v>59184</v>
      </c>
      <c r="B963" s="72">
        <v>37188</v>
      </c>
      <c r="C963">
        <v>41.8</v>
      </c>
      <c r="D963">
        <v>41.8</v>
      </c>
    </row>
    <row r="964" spans="1:4" x14ac:dyDescent="0.45">
      <c r="A964">
        <v>59184</v>
      </c>
      <c r="B964" s="72">
        <v>37189</v>
      </c>
      <c r="C964">
        <v>42.4</v>
      </c>
      <c r="D964">
        <v>42.4</v>
      </c>
    </row>
    <row r="965" spans="1:4" x14ac:dyDescent="0.45">
      <c r="A965">
        <v>59184</v>
      </c>
      <c r="B965" s="72">
        <v>37190</v>
      </c>
      <c r="C965">
        <v>42.29</v>
      </c>
      <c r="D965">
        <v>42.29</v>
      </c>
    </row>
    <row r="966" spans="1:4" x14ac:dyDescent="0.45">
      <c r="A966">
        <v>59184</v>
      </c>
      <c r="B966" s="72">
        <v>37193</v>
      </c>
      <c r="C966">
        <v>42.4</v>
      </c>
      <c r="D966">
        <v>42.4</v>
      </c>
    </row>
    <row r="967" spans="1:4" x14ac:dyDescent="0.45">
      <c r="A967">
        <v>59184</v>
      </c>
      <c r="B967" s="72">
        <v>37194</v>
      </c>
      <c r="C967">
        <v>41.77</v>
      </c>
      <c r="D967">
        <v>41.77</v>
      </c>
    </row>
    <row r="968" spans="1:4" x14ac:dyDescent="0.45">
      <c r="A968">
        <v>59184</v>
      </c>
      <c r="B968" s="72">
        <v>37195</v>
      </c>
      <c r="C968">
        <v>41.66</v>
      </c>
      <c r="D968">
        <v>41.66</v>
      </c>
    </row>
    <row r="969" spans="1:4" x14ac:dyDescent="0.45">
      <c r="A969">
        <v>59184</v>
      </c>
      <c r="B969" s="72">
        <v>37196</v>
      </c>
      <c r="C969">
        <v>42.49</v>
      </c>
      <c r="D969">
        <v>42.49</v>
      </c>
    </row>
    <row r="970" spans="1:4" x14ac:dyDescent="0.45">
      <c r="A970">
        <v>59184</v>
      </c>
      <c r="B970" s="72">
        <v>37197</v>
      </c>
      <c r="C970">
        <v>42.9</v>
      </c>
      <c r="D970">
        <v>42.9</v>
      </c>
    </row>
    <row r="971" spans="1:4" x14ac:dyDescent="0.45">
      <c r="A971">
        <v>59184</v>
      </c>
      <c r="B971" s="72">
        <v>37200</v>
      </c>
      <c r="C971">
        <v>42.97</v>
      </c>
      <c r="D971">
        <v>42.97</v>
      </c>
    </row>
    <row r="972" spans="1:4" x14ac:dyDescent="0.45">
      <c r="A972">
        <v>59184</v>
      </c>
      <c r="B972" s="72">
        <v>37201</v>
      </c>
      <c r="C972">
        <v>42.75</v>
      </c>
      <c r="D972">
        <v>42.75</v>
      </c>
    </row>
    <row r="973" spans="1:4" x14ac:dyDescent="0.45">
      <c r="A973">
        <v>59184</v>
      </c>
      <c r="B973" s="72">
        <v>37202</v>
      </c>
      <c r="C973">
        <v>42.1</v>
      </c>
      <c r="D973">
        <v>42.1</v>
      </c>
    </row>
    <row r="974" spans="1:4" x14ac:dyDescent="0.45">
      <c r="A974">
        <v>59184</v>
      </c>
      <c r="B974" s="72">
        <v>37203</v>
      </c>
      <c r="C974">
        <v>42.27</v>
      </c>
      <c r="D974">
        <v>42.27</v>
      </c>
    </row>
    <row r="975" spans="1:4" x14ac:dyDescent="0.45">
      <c r="A975">
        <v>59184</v>
      </c>
      <c r="B975" s="72">
        <v>37204</v>
      </c>
      <c r="C975">
        <v>42.69</v>
      </c>
      <c r="D975">
        <v>42.69</v>
      </c>
    </row>
    <row r="976" spans="1:4" x14ac:dyDescent="0.45">
      <c r="A976">
        <v>59184</v>
      </c>
      <c r="B976" s="72">
        <v>37207</v>
      </c>
      <c r="C976">
        <v>43.05</v>
      </c>
      <c r="D976">
        <v>43.05</v>
      </c>
    </row>
    <row r="977" spans="1:4" x14ac:dyDescent="0.45">
      <c r="A977">
        <v>59184</v>
      </c>
      <c r="B977" s="72">
        <v>37208</v>
      </c>
      <c r="C977">
        <v>43.4</v>
      </c>
      <c r="D977">
        <v>43.4</v>
      </c>
    </row>
    <row r="978" spans="1:4" x14ac:dyDescent="0.45">
      <c r="A978">
        <v>59184</v>
      </c>
      <c r="B978" s="72">
        <v>37209</v>
      </c>
      <c r="C978">
        <v>43.1</v>
      </c>
      <c r="D978">
        <v>43.1</v>
      </c>
    </row>
    <row r="979" spans="1:4" x14ac:dyDescent="0.45">
      <c r="A979">
        <v>59184</v>
      </c>
      <c r="B979" s="72">
        <v>37210</v>
      </c>
      <c r="C979">
        <v>43.7</v>
      </c>
      <c r="D979">
        <v>43.7</v>
      </c>
    </row>
    <row r="980" spans="1:4" x14ac:dyDescent="0.45">
      <c r="A980">
        <v>59184</v>
      </c>
      <c r="B980" s="72">
        <v>37211</v>
      </c>
      <c r="C980">
        <v>43.64</v>
      </c>
      <c r="D980">
        <v>43.64</v>
      </c>
    </row>
    <row r="981" spans="1:4" x14ac:dyDescent="0.45">
      <c r="A981">
        <v>59184</v>
      </c>
      <c r="B981" s="72">
        <v>37214</v>
      </c>
      <c r="C981">
        <v>43.28</v>
      </c>
      <c r="D981">
        <v>43.28</v>
      </c>
    </row>
    <row r="982" spans="1:4" x14ac:dyDescent="0.45">
      <c r="A982">
        <v>59184</v>
      </c>
      <c r="B982" s="72">
        <v>37215</v>
      </c>
      <c r="C982">
        <v>43.12</v>
      </c>
      <c r="D982">
        <v>43.12</v>
      </c>
    </row>
    <row r="983" spans="1:4" x14ac:dyDescent="0.45">
      <c r="A983">
        <v>59184</v>
      </c>
      <c r="B983" s="72">
        <v>37216</v>
      </c>
      <c r="C983">
        <v>43.02</v>
      </c>
      <c r="D983">
        <v>43.02</v>
      </c>
    </row>
    <row r="984" spans="1:4" x14ac:dyDescent="0.45">
      <c r="A984">
        <v>59184</v>
      </c>
      <c r="B984" s="72">
        <v>37218</v>
      </c>
      <c r="C984">
        <v>43.48</v>
      </c>
      <c r="D984">
        <v>43.48</v>
      </c>
    </row>
    <row r="985" spans="1:4" x14ac:dyDescent="0.45">
      <c r="A985">
        <v>59184</v>
      </c>
      <c r="B985" s="72">
        <v>37221</v>
      </c>
      <c r="C985">
        <v>43.2</v>
      </c>
      <c r="D985">
        <v>43.2</v>
      </c>
    </row>
    <row r="986" spans="1:4" x14ac:dyDescent="0.45">
      <c r="A986">
        <v>59184</v>
      </c>
      <c r="B986" s="72">
        <v>37222</v>
      </c>
      <c r="C986">
        <v>42.85</v>
      </c>
      <c r="D986">
        <v>42.85</v>
      </c>
    </row>
    <row r="987" spans="1:4" x14ac:dyDescent="0.45">
      <c r="A987">
        <v>59184</v>
      </c>
      <c r="B987" s="72">
        <v>37223</v>
      </c>
      <c r="C987">
        <v>42.8</v>
      </c>
      <c r="D987">
        <v>42.8</v>
      </c>
    </row>
    <row r="988" spans="1:4" x14ac:dyDescent="0.45">
      <c r="A988">
        <v>59184</v>
      </c>
      <c r="B988" s="72">
        <v>37224</v>
      </c>
      <c r="C988">
        <v>43.23</v>
      </c>
      <c r="D988">
        <v>43.23</v>
      </c>
    </row>
    <row r="989" spans="1:4" x14ac:dyDescent="0.45">
      <c r="A989">
        <v>59184</v>
      </c>
      <c r="B989" s="72">
        <v>37225</v>
      </c>
      <c r="C989">
        <v>43.1</v>
      </c>
      <c r="D989">
        <v>43.1</v>
      </c>
    </row>
    <row r="990" spans="1:4" x14ac:dyDescent="0.45">
      <c r="A990">
        <v>59184</v>
      </c>
      <c r="B990" s="72">
        <v>37228</v>
      </c>
      <c r="C990">
        <v>42.8</v>
      </c>
      <c r="D990">
        <v>42.8</v>
      </c>
    </row>
    <row r="991" spans="1:4" x14ac:dyDescent="0.45">
      <c r="A991">
        <v>59184</v>
      </c>
      <c r="B991" s="72">
        <v>37229</v>
      </c>
      <c r="C991">
        <v>42.75</v>
      </c>
      <c r="D991">
        <v>42.75</v>
      </c>
    </row>
    <row r="992" spans="1:4" x14ac:dyDescent="0.45">
      <c r="A992">
        <v>59184</v>
      </c>
      <c r="B992" s="72">
        <v>37230</v>
      </c>
      <c r="C992">
        <v>42.35</v>
      </c>
      <c r="D992">
        <v>42.35</v>
      </c>
    </row>
    <row r="993" spans="1:4" x14ac:dyDescent="0.45">
      <c r="A993">
        <v>59184</v>
      </c>
      <c r="B993" s="72">
        <v>37231</v>
      </c>
      <c r="C993">
        <v>42.75</v>
      </c>
      <c r="D993">
        <v>42.75</v>
      </c>
    </row>
    <row r="994" spans="1:4" x14ac:dyDescent="0.45">
      <c r="A994">
        <v>59184</v>
      </c>
      <c r="B994" s="72">
        <v>37232</v>
      </c>
      <c r="C994">
        <v>42.69</v>
      </c>
      <c r="D994">
        <v>42.69</v>
      </c>
    </row>
    <row r="995" spans="1:4" x14ac:dyDescent="0.45">
      <c r="A995">
        <v>59184</v>
      </c>
      <c r="B995" s="72">
        <v>37235</v>
      </c>
      <c r="C995">
        <v>42.95</v>
      </c>
      <c r="D995">
        <v>42.95</v>
      </c>
    </row>
    <row r="996" spans="1:4" x14ac:dyDescent="0.45">
      <c r="A996">
        <v>59184</v>
      </c>
      <c r="B996" s="72">
        <v>37236</v>
      </c>
      <c r="C996">
        <v>42.7</v>
      </c>
      <c r="D996">
        <v>42.7</v>
      </c>
    </row>
    <row r="997" spans="1:4" x14ac:dyDescent="0.45">
      <c r="A997">
        <v>59184</v>
      </c>
      <c r="B997" s="72">
        <v>37237</v>
      </c>
      <c r="C997">
        <v>43.05</v>
      </c>
      <c r="D997">
        <v>43.05</v>
      </c>
    </row>
    <row r="998" spans="1:4" x14ac:dyDescent="0.45">
      <c r="A998">
        <v>59184</v>
      </c>
      <c r="B998" s="72">
        <v>37238</v>
      </c>
      <c r="C998">
        <v>43.15</v>
      </c>
      <c r="D998">
        <v>43.15</v>
      </c>
    </row>
    <row r="999" spans="1:4" x14ac:dyDescent="0.45">
      <c r="A999">
        <v>59184</v>
      </c>
      <c r="B999" s="72">
        <v>37239</v>
      </c>
      <c r="C999">
        <v>42.92</v>
      </c>
      <c r="D999">
        <v>42.92</v>
      </c>
    </row>
    <row r="1000" spans="1:4" x14ac:dyDescent="0.45">
      <c r="A1000">
        <v>59184</v>
      </c>
      <c r="B1000" s="72">
        <v>37242</v>
      </c>
      <c r="C1000">
        <v>42.91</v>
      </c>
      <c r="D1000">
        <v>42.91</v>
      </c>
    </row>
    <row r="1001" spans="1:4" x14ac:dyDescent="0.45">
      <c r="A1001">
        <v>59184</v>
      </c>
      <c r="B1001" s="72">
        <v>37243</v>
      </c>
      <c r="C1001">
        <v>43.45</v>
      </c>
      <c r="D1001">
        <v>43.45</v>
      </c>
    </row>
    <row r="1002" spans="1:4" x14ac:dyDescent="0.45">
      <c r="A1002">
        <v>59184</v>
      </c>
      <c r="B1002" s="72">
        <v>37244</v>
      </c>
      <c r="C1002">
        <v>43.78</v>
      </c>
      <c r="D1002">
        <v>43.78</v>
      </c>
    </row>
    <row r="1003" spans="1:4" x14ac:dyDescent="0.45">
      <c r="A1003">
        <v>59184</v>
      </c>
      <c r="B1003" s="72">
        <v>37245</v>
      </c>
      <c r="C1003">
        <v>44.9</v>
      </c>
      <c r="D1003">
        <v>44.9</v>
      </c>
    </row>
    <row r="1004" spans="1:4" x14ac:dyDescent="0.45">
      <c r="A1004">
        <v>59184</v>
      </c>
      <c r="B1004" s="72">
        <v>37246</v>
      </c>
      <c r="C1004">
        <v>46.51</v>
      </c>
      <c r="D1004">
        <v>46.51</v>
      </c>
    </row>
    <row r="1005" spans="1:4" x14ac:dyDescent="0.45">
      <c r="A1005">
        <v>59184</v>
      </c>
      <c r="B1005" s="72">
        <v>37249</v>
      </c>
      <c r="C1005">
        <v>46.08</v>
      </c>
      <c r="D1005">
        <v>46.08</v>
      </c>
    </row>
    <row r="1006" spans="1:4" x14ac:dyDescent="0.45">
      <c r="A1006">
        <v>59184</v>
      </c>
      <c r="B1006" s="72">
        <v>37251</v>
      </c>
      <c r="C1006">
        <v>45.9</v>
      </c>
      <c r="D1006">
        <v>45.9</v>
      </c>
    </row>
    <row r="1007" spans="1:4" x14ac:dyDescent="0.45">
      <c r="A1007">
        <v>59184</v>
      </c>
      <c r="B1007" s="72">
        <v>37252</v>
      </c>
      <c r="C1007">
        <v>45.46</v>
      </c>
      <c r="D1007">
        <v>45.46</v>
      </c>
    </row>
    <row r="1008" spans="1:4" x14ac:dyDescent="0.45">
      <c r="A1008">
        <v>59184</v>
      </c>
      <c r="B1008" s="72">
        <v>37253</v>
      </c>
      <c r="C1008">
        <v>45.22</v>
      </c>
      <c r="D1008">
        <v>45.22</v>
      </c>
    </row>
    <row r="1009" spans="1:4" x14ac:dyDescent="0.45">
      <c r="A1009">
        <v>59184</v>
      </c>
      <c r="B1009" s="72">
        <v>37256</v>
      </c>
      <c r="C1009">
        <v>45.21</v>
      </c>
      <c r="D1009">
        <v>45.21</v>
      </c>
    </row>
    <row r="1010" spans="1:4" x14ac:dyDescent="0.45">
      <c r="A1010">
        <v>59184</v>
      </c>
      <c r="B1010" s="72">
        <v>37258</v>
      </c>
      <c r="C1010">
        <v>45.6</v>
      </c>
      <c r="D1010">
        <v>45.6</v>
      </c>
    </row>
    <row r="1011" spans="1:4" x14ac:dyDescent="0.45">
      <c r="A1011">
        <v>59184</v>
      </c>
      <c r="B1011" s="72">
        <v>37259</v>
      </c>
      <c r="C1011">
        <v>45.72</v>
      </c>
      <c r="D1011">
        <v>45.72</v>
      </c>
    </row>
    <row r="1012" spans="1:4" x14ac:dyDescent="0.45">
      <c r="A1012">
        <v>59184</v>
      </c>
      <c r="B1012" s="72">
        <v>37260</v>
      </c>
      <c r="C1012">
        <v>46.26</v>
      </c>
      <c r="D1012">
        <v>46.26</v>
      </c>
    </row>
    <row r="1013" spans="1:4" x14ac:dyDescent="0.45">
      <c r="A1013">
        <v>59184</v>
      </c>
      <c r="B1013" s="72">
        <v>37263</v>
      </c>
      <c r="C1013">
        <v>46</v>
      </c>
      <c r="D1013">
        <v>46</v>
      </c>
    </row>
    <row r="1014" spans="1:4" x14ac:dyDescent="0.45">
      <c r="A1014">
        <v>59184</v>
      </c>
      <c r="B1014" s="72">
        <v>37264</v>
      </c>
      <c r="C1014">
        <v>45.9</v>
      </c>
      <c r="D1014">
        <v>45.9</v>
      </c>
    </row>
    <row r="1015" spans="1:4" x14ac:dyDescent="0.45">
      <c r="A1015">
        <v>59184</v>
      </c>
      <c r="B1015" s="72">
        <v>37265</v>
      </c>
      <c r="C1015">
        <v>45.55</v>
      </c>
      <c r="D1015">
        <v>45.55</v>
      </c>
    </row>
    <row r="1016" spans="1:4" x14ac:dyDescent="0.45">
      <c r="A1016">
        <v>59184</v>
      </c>
      <c r="B1016" s="72">
        <v>37266</v>
      </c>
      <c r="C1016">
        <v>45.52</v>
      </c>
      <c r="D1016">
        <v>45.52</v>
      </c>
    </row>
    <row r="1017" spans="1:4" x14ac:dyDescent="0.45">
      <c r="A1017">
        <v>59184</v>
      </c>
      <c r="B1017" s="72">
        <v>37267</v>
      </c>
      <c r="C1017">
        <v>45.82</v>
      </c>
      <c r="D1017">
        <v>45.82</v>
      </c>
    </row>
    <row r="1018" spans="1:4" x14ac:dyDescent="0.45">
      <c r="A1018">
        <v>59184</v>
      </c>
      <c r="B1018" s="72">
        <v>37270</v>
      </c>
      <c r="C1018">
        <v>46.64</v>
      </c>
      <c r="D1018">
        <v>46.64</v>
      </c>
    </row>
    <row r="1019" spans="1:4" x14ac:dyDescent="0.45">
      <c r="A1019">
        <v>59184</v>
      </c>
      <c r="B1019" s="72">
        <v>37271</v>
      </c>
      <c r="C1019">
        <v>46.17</v>
      </c>
      <c r="D1019">
        <v>46.17</v>
      </c>
    </row>
    <row r="1020" spans="1:4" x14ac:dyDescent="0.45">
      <c r="A1020">
        <v>59184</v>
      </c>
      <c r="B1020" s="72">
        <v>37272</v>
      </c>
      <c r="C1020">
        <v>45.97</v>
      </c>
      <c r="D1020">
        <v>45.97</v>
      </c>
    </row>
    <row r="1021" spans="1:4" x14ac:dyDescent="0.45">
      <c r="A1021">
        <v>59184</v>
      </c>
      <c r="B1021" s="72">
        <v>37273</v>
      </c>
      <c r="C1021">
        <v>46.25</v>
      </c>
      <c r="D1021">
        <v>46.25</v>
      </c>
    </row>
    <row r="1022" spans="1:4" x14ac:dyDescent="0.45">
      <c r="A1022">
        <v>59184</v>
      </c>
      <c r="B1022" s="72">
        <v>37274</v>
      </c>
      <c r="C1022">
        <v>46.39</v>
      </c>
      <c r="D1022">
        <v>46.39</v>
      </c>
    </row>
    <row r="1023" spans="1:4" x14ac:dyDescent="0.45">
      <c r="A1023">
        <v>59184</v>
      </c>
      <c r="B1023" s="72">
        <v>37278</v>
      </c>
      <c r="C1023">
        <v>46.15</v>
      </c>
      <c r="D1023">
        <v>46.15</v>
      </c>
    </row>
    <row r="1024" spans="1:4" x14ac:dyDescent="0.45">
      <c r="A1024">
        <v>59184</v>
      </c>
      <c r="B1024" s="72">
        <v>37279</v>
      </c>
      <c r="C1024">
        <v>45.96</v>
      </c>
      <c r="D1024">
        <v>45.96</v>
      </c>
    </row>
    <row r="1025" spans="1:4" x14ac:dyDescent="0.45">
      <c r="A1025">
        <v>59184</v>
      </c>
      <c r="B1025" s="72">
        <v>37280</v>
      </c>
      <c r="C1025">
        <v>45.24</v>
      </c>
      <c r="D1025">
        <v>45.24</v>
      </c>
    </row>
    <row r="1026" spans="1:4" x14ac:dyDescent="0.45">
      <c r="A1026">
        <v>59184</v>
      </c>
      <c r="B1026" s="72">
        <v>37281</v>
      </c>
      <c r="C1026">
        <v>46.03</v>
      </c>
      <c r="D1026">
        <v>46.03</v>
      </c>
    </row>
    <row r="1027" spans="1:4" x14ac:dyDescent="0.45">
      <c r="A1027">
        <v>59184</v>
      </c>
      <c r="B1027" s="72">
        <v>37284</v>
      </c>
      <c r="C1027">
        <v>46.18</v>
      </c>
      <c r="D1027">
        <v>46.18</v>
      </c>
    </row>
    <row r="1028" spans="1:4" x14ac:dyDescent="0.45">
      <c r="A1028">
        <v>59184</v>
      </c>
      <c r="B1028" s="72">
        <v>37285</v>
      </c>
      <c r="C1028">
        <v>46.07</v>
      </c>
      <c r="D1028">
        <v>46.07</v>
      </c>
    </row>
    <row r="1029" spans="1:4" x14ac:dyDescent="0.45">
      <c r="A1029">
        <v>59184</v>
      </c>
      <c r="B1029" s="72">
        <v>37286</v>
      </c>
      <c r="C1029">
        <v>46.6</v>
      </c>
      <c r="D1029">
        <v>46.6</v>
      </c>
    </row>
    <row r="1030" spans="1:4" x14ac:dyDescent="0.45">
      <c r="A1030">
        <v>59184</v>
      </c>
      <c r="B1030" s="72">
        <v>37287</v>
      </c>
      <c r="C1030">
        <v>47.27</v>
      </c>
      <c r="D1030">
        <v>47.27</v>
      </c>
    </row>
    <row r="1031" spans="1:4" x14ac:dyDescent="0.45">
      <c r="A1031">
        <v>59184</v>
      </c>
      <c r="B1031" s="72">
        <v>37288</v>
      </c>
      <c r="C1031">
        <v>47.7</v>
      </c>
      <c r="D1031">
        <v>47.7</v>
      </c>
    </row>
    <row r="1032" spans="1:4" x14ac:dyDescent="0.45">
      <c r="A1032">
        <v>59184</v>
      </c>
      <c r="B1032" s="72">
        <v>37291</v>
      </c>
      <c r="C1032">
        <v>47.8</v>
      </c>
      <c r="D1032">
        <v>47.8</v>
      </c>
    </row>
    <row r="1033" spans="1:4" x14ac:dyDescent="0.45">
      <c r="A1033">
        <v>59184</v>
      </c>
      <c r="B1033" s="72">
        <v>37292</v>
      </c>
      <c r="C1033">
        <v>48.25</v>
      </c>
      <c r="D1033">
        <v>48.25</v>
      </c>
    </row>
    <row r="1034" spans="1:4" x14ac:dyDescent="0.45">
      <c r="A1034">
        <v>59184</v>
      </c>
      <c r="B1034" s="72">
        <v>37293</v>
      </c>
      <c r="C1034">
        <v>48.2</v>
      </c>
      <c r="D1034">
        <v>48.2</v>
      </c>
    </row>
    <row r="1035" spans="1:4" x14ac:dyDescent="0.45">
      <c r="A1035">
        <v>59184</v>
      </c>
      <c r="B1035" s="72">
        <v>37294</v>
      </c>
      <c r="C1035">
        <v>48.59</v>
      </c>
      <c r="D1035">
        <v>48.59</v>
      </c>
    </row>
    <row r="1036" spans="1:4" x14ac:dyDescent="0.45">
      <c r="A1036">
        <v>59184</v>
      </c>
      <c r="B1036" s="72">
        <v>37295</v>
      </c>
      <c r="C1036">
        <v>47.97</v>
      </c>
      <c r="D1036">
        <v>47.97</v>
      </c>
    </row>
    <row r="1037" spans="1:4" x14ac:dyDescent="0.45">
      <c r="A1037">
        <v>59184</v>
      </c>
      <c r="B1037" s="72">
        <v>37298</v>
      </c>
      <c r="C1037">
        <v>48.14</v>
      </c>
      <c r="D1037">
        <v>48.14</v>
      </c>
    </row>
    <row r="1038" spans="1:4" x14ac:dyDescent="0.45">
      <c r="A1038">
        <v>59184</v>
      </c>
      <c r="B1038" s="72">
        <v>37299</v>
      </c>
      <c r="C1038">
        <v>48.21</v>
      </c>
      <c r="D1038">
        <v>48.21</v>
      </c>
    </row>
    <row r="1039" spans="1:4" x14ac:dyDescent="0.45">
      <c r="A1039">
        <v>59184</v>
      </c>
      <c r="B1039" s="72">
        <v>37300</v>
      </c>
      <c r="C1039">
        <v>48.1</v>
      </c>
      <c r="D1039">
        <v>48.1</v>
      </c>
    </row>
    <row r="1040" spans="1:4" x14ac:dyDescent="0.45">
      <c r="A1040">
        <v>59184</v>
      </c>
      <c r="B1040" s="72">
        <v>37301</v>
      </c>
      <c r="C1040">
        <v>47.58</v>
      </c>
      <c r="D1040">
        <v>47.58</v>
      </c>
    </row>
    <row r="1041" spans="1:4" x14ac:dyDescent="0.45">
      <c r="A1041">
        <v>59184</v>
      </c>
      <c r="B1041" s="72">
        <v>37302</v>
      </c>
      <c r="C1041">
        <v>48.28</v>
      </c>
      <c r="D1041">
        <v>48.28</v>
      </c>
    </row>
    <row r="1042" spans="1:4" x14ac:dyDescent="0.45">
      <c r="A1042">
        <v>59184</v>
      </c>
      <c r="B1042" s="72">
        <v>37306</v>
      </c>
      <c r="C1042">
        <v>48</v>
      </c>
      <c r="D1042">
        <v>48</v>
      </c>
    </row>
    <row r="1043" spans="1:4" x14ac:dyDescent="0.45">
      <c r="A1043">
        <v>59184</v>
      </c>
      <c r="B1043" s="72">
        <v>37307</v>
      </c>
      <c r="C1043">
        <v>48.26</v>
      </c>
      <c r="D1043">
        <v>48.26</v>
      </c>
    </row>
    <row r="1044" spans="1:4" x14ac:dyDescent="0.45">
      <c r="A1044">
        <v>59184</v>
      </c>
      <c r="B1044" s="72">
        <v>37308</v>
      </c>
      <c r="C1044">
        <v>48.56</v>
      </c>
      <c r="D1044">
        <v>48.56</v>
      </c>
    </row>
    <row r="1045" spans="1:4" x14ac:dyDescent="0.45">
      <c r="A1045">
        <v>59184</v>
      </c>
      <c r="B1045" s="72">
        <v>37309</v>
      </c>
      <c r="C1045">
        <v>50.01</v>
      </c>
      <c r="D1045">
        <v>50.01</v>
      </c>
    </row>
    <row r="1046" spans="1:4" x14ac:dyDescent="0.45">
      <c r="A1046">
        <v>59184</v>
      </c>
      <c r="B1046" s="72">
        <v>37312</v>
      </c>
      <c r="C1046">
        <v>50</v>
      </c>
      <c r="D1046">
        <v>50</v>
      </c>
    </row>
    <row r="1047" spans="1:4" x14ac:dyDescent="0.45">
      <c r="A1047">
        <v>59184</v>
      </c>
      <c r="B1047" s="72">
        <v>37313</v>
      </c>
      <c r="C1047">
        <v>49.88</v>
      </c>
      <c r="D1047">
        <v>49.88</v>
      </c>
    </row>
    <row r="1048" spans="1:4" x14ac:dyDescent="0.45">
      <c r="A1048">
        <v>59184</v>
      </c>
      <c r="B1048" s="72">
        <v>37314</v>
      </c>
      <c r="C1048">
        <v>50.17</v>
      </c>
      <c r="D1048">
        <v>50.17</v>
      </c>
    </row>
    <row r="1049" spans="1:4" x14ac:dyDescent="0.45">
      <c r="A1049">
        <v>59184</v>
      </c>
      <c r="B1049" s="72">
        <v>37315</v>
      </c>
      <c r="C1049">
        <v>50.85</v>
      </c>
      <c r="D1049">
        <v>50.85</v>
      </c>
    </row>
    <row r="1050" spans="1:4" x14ac:dyDescent="0.45">
      <c r="A1050">
        <v>59184</v>
      </c>
      <c r="B1050" s="72">
        <v>37316</v>
      </c>
      <c r="C1050">
        <v>50.79</v>
      </c>
      <c r="D1050">
        <v>50.79</v>
      </c>
    </row>
    <row r="1051" spans="1:4" x14ac:dyDescent="0.45">
      <c r="A1051">
        <v>59184</v>
      </c>
      <c r="B1051" s="72">
        <v>37319</v>
      </c>
      <c r="C1051">
        <v>49.9</v>
      </c>
      <c r="D1051">
        <v>49.9</v>
      </c>
    </row>
    <row r="1052" spans="1:4" x14ac:dyDescent="0.45">
      <c r="A1052">
        <v>59184</v>
      </c>
      <c r="B1052" s="72">
        <v>37320</v>
      </c>
      <c r="C1052">
        <v>49.46</v>
      </c>
      <c r="D1052">
        <v>49.46</v>
      </c>
    </row>
    <row r="1053" spans="1:4" x14ac:dyDescent="0.45">
      <c r="A1053">
        <v>59184</v>
      </c>
      <c r="B1053" s="72">
        <v>37321</v>
      </c>
      <c r="C1053">
        <v>49.9</v>
      </c>
      <c r="D1053">
        <v>49.9</v>
      </c>
    </row>
    <row r="1054" spans="1:4" x14ac:dyDescent="0.45">
      <c r="A1054">
        <v>59184</v>
      </c>
      <c r="B1054" s="72">
        <v>37322</v>
      </c>
      <c r="C1054">
        <v>49.28</v>
      </c>
      <c r="D1054">
        <v>49.28</v>
      </c>
    </row>
    <row r="1055" spans="1:4" x14ac:dyDescent="0.45">
      <c r="A1055">
        <v>59184</v>
      </c>
      <c r="B1055" s="72">
        <v>37323</v>
      </c>
      <c r="C1055">
        <v>49.77</v>
      </c>
      <c r="D1055">
        <v>49.77</v>
      </c>
    </row>
    <row r="1056" spans="1:4" x14ac:dyDescent="0.45">
      <c r="A1056">
        <v>59184</v>
      </c>
      <c r="B1056" s="72">
        <v>37326</v>
      </c>
      <c r="C1056">
        <v>49.68</v>
      </c>
      <c r="D1056">
        <v>49.68</v>
      </c>
    </row>
    <row r="1057" spans="1:4" x14ac:dyDescent="0.45">
      <c r="A1057">
        <v>59184</v>
      </c>
      <c r="B1057" s="72">
        <v>37327</v>
      </c>
      <c r="C1057">
        <v>50.38</v>
      </c>
      <c r="D1057">
        <v>50.38</v>
      </c>
    </row>
    <row r="1058" spans="1:4" x14ac:dyDescent="0.45">
      <c r="A1058">
        <v>59184</v>
      </c>
      <c r="B1058" s="72">
        <v>37328</v>
      </c>
      <c r="C1058">
        <v>50.04</v>
      </c>
      <c r="D1058">
        <v>50.04</v>
      </c>
    </row>
    <row r="1059" spans="1:4" x14ac:dyDescent="0.45">
      <c r="A1059">
        <v>59184</v>
      </c>
      <c r="B1059" s="72">
        <v>37329</v>
      </c>
      <c r="C1059">
        <v>50.16</v>
      </c>
      <c r="D1059">
        <v>50.16</v>
      </c>
    </row>
    <row r="1060" spans="1:4" x14ac:dyDescent="0.45">
      <c r="A1060">
        <v>59184</v>
      </c>
      <c r="B1060" s="72">
        <v>37330</v>
      </c>
      <c r="C1060">
        <v>50.6</v>
      </c>
      <c r="D1060">
        <v>50.6</v>
      </c>
    </row>
    <row r="1061" spans="1:4" x14ac:dyDescent="0.45">
      <c r="A1061">
        <v>59184</v>
      </c>
      <c r="B1061" s="72">
        <v>37333</v>
      </c>
      <c r="C1061">
        <v>50.86</v>
      </c>
      <c r="D1061">
        <v>50.86</v>
      </c>
    </row>
    <row r="1062" spans="1:4" x14ac:dyDescent="0.45">
      <c r="A1062">
        <v>59184</v>
      </c>
      <c r="B1062" s="72">
        <v>37334</v>
      </c>
      <c r="C1062">
        <v>51.3</v>
      </c>
      <c r="D1062">
        <v>51.3</v>
      </c>
    </row>
    <row r="1063" spans="1:4" x14ac:dyDescent="0.45">
      <c r="A1063">
        <v>59184</v>
      </c>
      <c r="B1063" s="72">
        <v>37335</v>
      </c>
      <c r="C1063">
        <v>51.7</v>
      </c>
      <c r="D1063">
        <v>51.7</v>
      </c>
    </row>
    <row r="1064" spans="1:4" x14ac:dyDescent="0.45">
      <c r="A1064">
        <v>59184</v>
      </c>
      <c r="B1064" s="72">
        <v>37336</v>
      </c>
      <c r="C1064">
        <v>51.3</v>
      </c>
      <c r="D1064">
        <v>51.3</v>
      </c>
    </row>
    <row r="1065" spans="1:4" x14ac:dyDescent="0.45">
      <c r="A1065">
        <v>59184</v>
      </c>
      <c r="B1065" s="72">
        <v>37337</v>
      </c>
      <c r="C1065">
        <v>51.97</v>
      </c>
      <c r="D1065">
        <v>51.97</v>
      </c>
    </row>
    <row r="1066" spans="1:4" x14ac:dyDescent="0.45">
      <c r="A1066">
        <v>59184</v>
      </c>
      <c r="B1066" s="72">
        <v>37340</v>
      </c>
      <c r="C1066">
        <v>52.04</v>
      </c>
      <c r="D1066">
        <v>52.04</v>
      </c>
    </row>
    <row r="1067" spans="1:4" x14ac:dyDescent="0.45">
      <c r="A1067">
        <v>59184</v>
      </c>
      <c r="B1067" s="72">
        <v>37341</v>
      </c>
      <c r="C1067">
        <v>52.08</v>
      </c>
      <c r="D1067">
        <v>52.08</v>
      </c>
    </row>
    <row r="1068" spans="1:4" x14ac:dyDescent="0.45">
      <c r="A1068">
        <v>59184</v>
      </c>
      <c r="B1068" s="72">
        <v>37342</v>
      </c>
      <c r="C1068">
        <v>52.73</v>
      </c>
      <c r="D1068">
        <v>52.73</v>
      </c>
    </row>
    <row r="1069" spans="1:4" x14ac:dyDescent="0.45">
      <c r="A1069">
        <v>59184</v>
      </c>
      <c r="B1069" s="72">
        <v>37343</v>
      </c>
      <c r="C1069">
        <v>52.2</v>
      </c>
      <c r="D1069">
        <v>52.2</v>
      </c>
    </row>
    <row r="1070" spans="1:4" x14ac:dyDescent="0.45">
      <c r="A1070">
        <v>59184</v>
      </c>
      <c r="B1070" s="72">
        <v>37347</v>
      </c>
      <c r="C1070">
        <v>52.14</v>
      </c>
      <c r="D1070">
        <v>52.14</v>
      </c>
    </row>
    <row r="1071" spans="1:4" x14ac:dyDescent="0.45">
      <c r="A1071">
        <v>59184</v>
      </c>
      <c r="B1071" s="72">
        <v>37348</v>
      </c>
      <c r="C1071">
        <v>52.15</v>
      </c>
      <c r="D1071">
        <v>52.15</v>
      </c>
    </row>
    <row r="1072" spans="1:4" x14ac:dyDescent="0.45">
      <c r="A1072">
        <v>59184</v>
      </c>
      <c r="B1072" s="72">
        <v>37349</v>
      </c>
      <c r="C1072">
        <v>51.44</v>
      </c>
      <c r="D1072">
        <v>51.44</v>
      </c>
    </row>
    <row r="1073" spans="1:4" x14ac:dyDescent="0.45">
      <c r="A1073">
        <v>59184</v>
      </c>
      <c r="B1073" s="72">
        <v>37350</v>
      </c>
      <c r="C1073">
        <v>52.37</v>
      </c>
      <c r="D1073">
        <v>52.37</v>
      </c>
    </row>
    <row r="1074" spans="1:4" x14ac:dyDescent="0.45">
      <c r="A1074">
        <v>59184</v>
      </c>
      <c r="B1074" s="72">
        <v>37351</v>
      </c>
      <c r="C1074">
        <v>52.17</v>
      </c>
      <c r="D1074">
        <v>52.17</v>
      </c>
    </row>
    <row r="1075" spans="1:4" x14ac:dyDescent="0.45">
      <c r="A1075">
        <v>59184</v>
      </c>
      <c r="B1075" s="72">
        <v>37354</v>
      </c>
      <c r="C1075">
        <v>51.84</v>
      </c>
      <c r="D1075">
        <v>51.84</v>
      </c>
    </row>
    <row r="1076" spans="1:4" x14ac:dyDescent="0.45">
      <c r="A1076">
        <v>59184</v>
      </c>
      <c r="B1076" s="72">
        <v>37355</v>
      </c>
      <c r="C1076">
        <v>51.88</v>
      </c>
      <c r="D1076">
        <v>51.88</v>
      </c>
    </row>
    <row r="1077" spans="1:4" x14ac:dyDescent="0.45">
      <c r="A1077">
        <v>59184</v>
      </c>
      <c r="B1077" s="72">
        <v>37356</v>
      </c>
      <c r="C1077">
        <v>52.77</v>
      </c>
      <c r="D1077">
        <v>52.77</v>
      </c>
    </row>
    <row r="1078" spans="1:4" x14ac:dyDescent="0.45">
      <c r="A1078">
        <v>59184</v>
      </c>
      <c r="B1078" s="72">
        <v>37357</v>
      </c>
      <c r="C1078">
        <v>52.42</v>
      </c>
      <c r="D1078">
        <v>52.42</v>
      </c>
    </row>
    <row r="1079" spans="1:4" x14ac:dyDescent="0.45">
      <c r="A1079">
        <v>59184</v>
      </c>
      <c r="B1079" s="72">
        <v>37358</v>
      </c>
      <c r="C1079">
        <v>52.49</v>
      </c>
      <c r="D1079">
        <v>52.49</v>
      </c>
    </row>
    <row r="1080" spans="1:4" x14ac:dyDescent="0.45">
      <c r="A1080">
        <v>59184</v>
      </c>
      <c r="B1080" s="72">
        <v>37361</v>
      </c>
      <c r="C1080">
        <v>51.7</v>
      </c>
      <c r="D1080">
        <v>51.7</v>
      </c>
    </row>
    <row r="1081" spans="1:4" x14ac:dyDescent="0.45">
      <c r="A1081">
        <v>59184</v>
      </c>
      <c r="B1081" s="72">
        <v>37362</v>
      </c>
      <c r="C1081">
        <v>51.76</v>
      </c>
      <c r="D1081">
        <v>51.76</v>
      </c>
    </row>
    <row r="1082" spans="1:4" x14ac:dyDescent="0.45">
      <c r="A1082">
        <v>59184</v>
      </c>
      <c r="B1082" s="72">
        <v>37363</v>
      </c>
      <c r="C1082">
        <v>51.55</v>
      </c>
      <c r="D1082">
        <v>51.55</v>
      </c>
    </row>
    <row r="1083" spans="1:4" x14ac:dyDescent="0.45">
      <c r="A1083">
        <v>59184</v>
      </c>
      <c r="B1083" s="72">
        <v>37364</v>
      </c>
      <c r="C1083">
        <v>51.58</v>
      </c>
      <c r="D1083">
        <v>51.58</v>
      </c>
    </row>
    <row r="1084" spans="1:4" x14ac:dyDescent="0.45">
      <c r="A1084">
        <v>59184</v>
      </c>
      <c r="B1084" s="72">
        <v>37365</v>
      </c>
      <c r="C1084">
        <v>52.2</v>
      </c>
      <c r="D1084">
        <v>52.2</v>
      </c>
    </row>
    <row r="1085" spans="1:4" x14ac:dyDescent="0.45">
      <c r="A1085">
        <v>59184</v>
      </c>
      <c r="B1085" s="72">
        <v>37368</v>
      </c>
      <c r="C1085">
        <v>52.63</v>
      </c>
      <c r="D1085">
        <v>52.63</v>
      </c>
    </row>
    <row r="1086" spans="1:4" x14ac:dyDescent="0.45">
      <c r="A1086">
        <v>59184</v>
      </c>
      <c r="B1086" s="72">
        <v>37369</v>
      </c>
      <c r="C1086">
        <v>53.02</v>
      </c>
      <c r="D1086">
        <v>53.02</v>
      </c>
    </row>
    <row r="1087" spans="1:4" x14ac:dyDescent="0.45">
      <c r="A1087">
        <v>59184</v>
      </c>
      <c r="B1087" s="72">
        <v>37370</v>
      </c>
      <c r="C1087">
        <v>51.7</v>
      </c>
      <c r="D1087">
        <v>51.7</v>
      </c>
    </row>
    <row r="1088" spans="1:4" x14ac:dyDescent="0.45">
      <c r="A1088">
        <v>59184</v>
      </c>
      <c r="B1088" s="72">
        <v>37371</v>
      </c>
      <c r="C1088">
        <v>52.64</v>
      </c>
      <c r="D1088">
        <v>52.64</v>
      </c>
    </row>
    <row r="1089" spans="1:4" x14ac:dyDescent="0.45">
      <c r="A1089">
        <v>59184</v>
      </c>
      <c r="B1089" s="72">
        <v>37372</v>
      </c>
      <c r="C1089">
        <v>52.39</v>
      </c>
      <c r="D1089">
        <v>52.39</v>
      </c>
    </row>
    <row r="1090" spans="1:4" x14ac:dyDescent="0.45">
      <c r="A1090">
        <v>59184</v>
      </c>
      <c r="B1090" s="72">
        <v>37375</v>
      </c>
      <c r="C1090">
        <v>52.61</v>
      </c>
      <c r="D1090">
        <v>52.61</v>
      </c>
    </row>
    <row r="1091" spans="1:4" x14ac:dyDescent="0.45">
      <c r="A1091">
        <v>59184</v>
      </c>
      <c r="B1091" s="72">
        <v>37376</v>
      </c>
      <c r="C1091">
        <v>53</v>
      </c>
      <c r="D1091">
        <v>53</v>
      </c>
    </row>
    <row r="1092" spans="1:4" x14ac:dyDescent="0.45">
      <c r="A1092">
        <v>59184</v>
      </c>
      <c r="B1092" s="72">
        <v>37377</v>
      </c>
      <c r="C1092">
        <v>53.95</v>
      </c>
      <c r="D1092">
        <v>53.95</v>
      </c>
    </row>
    <row r="1093" spans="1:4" x14ac:dyDescent="0.45">
      <c r="A1093">
        <v>59184</v>
      </c>
      <c r="B1093" s="72">
        <v>37378</v>
      </c>
      <c r="C1093">
        <v>53.89</v>
      </c>
      <c r="D1093">
        <v>53.89</v>
      </c>
    </row>
    <row r="1094" spans="1:4" x14ac:dyDescent="0.45">
      <c r="A1094">
        <v>59184</v>
      </c>
      <c r="B1094" s="72">
        <v>37379</v>
      </c>
      <c r="C1094">
        <v>53.89</v>
      </c>
      <c r="D1094">
        <v>53.89</v>
      </c>
    </row>
    <row r="1095" spans="1:4" x14ac:dyDescent="0.45">
      <c r="A1095">
        <v>59184</v>
      </c>
      <c r="B1095" s="72">
        <v>37382</v>
      </c>
      <c r="C1095">
        <v>53.6</v>
      </c>
      <c r="D1095">
        <v>53.6</v>
      </c>
    </row>
    <row r="1096" spans="1:4" x14ac:dyDescent="0.45">
      <c r="A1096">
        <v>59184</v>
      </c>
      <c r="B1096" s="72">
        <v>37383</v>
      </c>
      <c r="C1096">
        <v>53.09</v>
      </c>
      <c r="D1096">
        <v>53.09</v>
      </c>
    </row>
    <row r="1097" spans="1:4" x14ac:dyDescent="0.45">
      <c r="A1097">
        <v>59184</v>
      </c>
      <c r="B1097" s="72">
        <v>37384</v>
      </c>
      <c r="C1097">
        <v>51.63</v>
      </c>
      <c r="D1097">
        <v>51.63</v>
      </c>
    </row>
    <row r="1098" spans="1:4" x14ac:dyDescent="0.45">
      <c r="A1098">
        <v>59184</v>
      </c>
      <c r="B1098" s="72">
        <v>37385</v>
      </c>
      <c r="C1098">
        <v>51.62</v>
      </c>
      <c r="D1098">
        <v>51.62</v>
      </c>
    </row>
    <row r="1099" spans="1:4" x14ac:dyDescent="0.45">
      <c r="A1099">
        <v>59184</v>
      </c>
      <c r="B1099" s="72">
        <v>37386</v>
      </c>
      <c r="C1099">
        <v>51.12</v>
      </c>
      <c r="D1099">
        <v>51.12</v>
      </c>
    </row>
    <row r="1100" spans="1:4" x14ac:dyDescent="0.45">
      <c r="A1100">
        <v>59184</v>
      </c>
      <c r="B1100" s="72">
        <v>37389</v>
      </c>
      <c r="C1100">
        <v>50.64</v>
      </c>
      <c r="D1100">
        <v>50.64</v>
      </c>
    </row>
    <row r="1101" spans="1:4" x14ac:dyDescent="0.45">
      <c r="A1101">
        <v>59184</v>
      </c>
      <c r="B1101" s="72">
        <v>37390</v>
      </c>
      <c r="C1101">
        <v>49.1</v>
      </c>
      <c r="D1101">
        <v>49.1</v>
      </c>
    </row>
    <row r="1102" spans="1:4" x14ac:dyDescent="0.45">
      <c r="A1102">
        <v>59184</v>
      </c>
      <c r="B1102" s="72">
        <v>37391</v>
      </c>
      <c r="C1102">
        <v>50.25</v>
      </c>
      <c r="D1102">
        <v>50.25</v>
      </c>
    </row>
    <row r="1103" spans="1:4" x14ac:dyDescent="0.45">
      <c r="A1103">
        <v>59184</v>
      </c>
      <c r="B1103" s="72">
        <v>37392</v>
      </c>
      <c r="C1103">
        <v>50.9</v>
      </c>
      <c r="D1103">
        <v>50.9</v>
      </c>
    </row>
    <row r="1104" spans="1:4" x14ac:dyDescent="0.45">
      <c r="A1104">
        <v>59184</v>
      </c>
      <c r="B1104" s="72">
        <v>37393</v>
      </c>
      <c r="C1104">
        <v>50.95</v>
      </c>
      <c r="D1104">
        <v>50.95</v>
      </c>
    </row>
    <row r="1105" spans="1:4" x14ac:dyDescent="0.45">
      <c r="A1105">
        <v>59184</v>
      </c>
      <c r="B1105" s="72">
        <v>37396</v>
      </c>
      <c r="C1105">
        <v>50.44</v>
      </c>
      <c r="D1105">
        <v>50.44</v>
      </c>
    </row>
    <row r="1106" spans="1:4" x14ac:dyDescent="0.45">
      <c r="A1106">
        <v>59184</v>
      </c>
      <c r="B1106" s="72">
        <v>37397</v>
      </c>
      <c r="C1106">
        <v>50.58</v>
      </c>
      <c r="D1106">
        <v>50.58</v>
      </c>
    </row>
    <row r="1107" spans="1:4" x14ac:dyDescent="0.45">
      <c r="A1107">
        <v>59184</v>
      </c>
      <c r="B1107" s="72">
        <v>37398</v>
      </c>
      <c r="C1107">
        <v>50.93</v>
      </c>
      <c r="D1107">
        <v>50.93</v>
      </c>
    </row>
    <row r="1108" spans="1:4" x14ac:dyDescent="0.45">
      <c r="A1108">
        <v>59184</v>
      </c>
      <c r="B1108" s="72">
        <v>37399</v>
      </c>
      <c r="C1108">
        <v>50.56</v>
      </c>
      <c r="D1108">
        <v>50.56</v>
      </c>
    </row>
    <row r="1109" spans="1:4" x14ac:dyDescent="0.45">
      <c r="A1109">
        <v>59184</v>
      </c>
      <c r="B1109" s="72">
        <v>37400</v>
      </c>
      <c r="C1109">
        <v>50.62</v>
      </c>
      <c r="D1109">
        <v>50.62</v>
      </c>
    </row>
    <row r="1110" spans="1:4" x14ac:dyDescent="0.45">
      <c r="A1110">
        <v>59184</v>
      </c>
      <c r="B1110" s="72">
        <v>37404</v>
      </c>
      <c r="C1110">
        <v>50.65</v>
      </c>
      <c r="D1110">
        <v>50.65</v>
      </c>
    </row>
    <row r="1111" spans="1:4" x14ac:dyDescent="0.45">
      <c r="A1111">
        <v>59184</v>
      </c>
      <c r="B1111" s="72">
        <v>37405</v>
      </c>
      <c r="C1111">
        <v>50.63</v>
      </c>
      <c r="D1111">
        <v>50.63</v>
      </c>
    </row>
    <row r="1112" spans="1:4" x14ac:dyDescent="0.45">
      <c r="A1112">
        <v>59184</v>
      </c>
      <c r="B1112" s="72">
        <v>37406</v>
      </c>
      <c r="C1112">
        <v>51</v>
      </c>
      <c r="D1112">
        <v>51</v>
      </c>
    </row>
    <row r="1113" spans="1:4" x14ac:dyDescent="0.45">
      <c r="A1113">
        <v>59184</v>
      </c>
      <c r="B1113" s="72">
        <v>37407</v>
      </c>
      <c r="C1113">
        <v>51.61</v>
      </c>
      <c r="D1113">
        <v>51.61</v>
      </c>
    </row>
    <row r="1114" spans="1:4" x14ac:dyDescent="0.45">
      <c r="A1114">
        <v>59184</v>
      </c>
      <c r="B1114" s="72">
        <v>37410</v>
      </c>
      <c r="C1114">
        <v>50.65</v>
      </c>
      <c r="D1114">
        <v>50.65</v>
      </c>
    </row>
    <row r="1115" spans="1:4" x14ac:dyDescent="0.45">
      <c r="A1115">
        <v>59184</v>
      </c>
      <c r="B1115" s="72">
        <v>37411</v>
      </c>
      <c r="C1115">
        <v>50.97</v>
      </c>
      <c r="D1115">
        <v>50.97</v>
      </c>
    </row>
    <row r="1116" spans="1:4" x14ac:dyDescent="0.45">
      <c r="A1116">
        <v>59184</v>
      </c>
      <c r="B1116" s="72">
        <v>37412</v>
      </c>
      <c r="C1116">
        <v>52</v>
      </c>
      <c r="D1116">
        <v>52</v>
      </c>
    </row>
    <row r="1117" spans="1:4" x14ac:dyDescent="0.45">
      <c r="A1117">
        <v>59184</v>
      </c>
      <c r="B1117" s="72">
        <v>37413</v>
      </c>
      <c r="C1117">
        <v>51.88</v>
      </c>
      <c r="D1117">
        <v>51.88</v>
      </c>
    </row>
    <row r="1118" spans="1:4" x14ac:dyDescent="0.45">
      <c r="A1118">
        <v>59184</v>
      </c>
      <c r="B1118" s="72">
        <v>37414</v>
      </c>
      <c r="C1118">
        <v>51.5</v>
      </c>
      <c r="D1118">
        <v>51.5</v>
      </c>
    </row>
    <row r="1119" spans="1:4" x14ac:dyDescent="0.45">
      <c r="A1119">
        <v>59184</v>
      </c>
      <c r="B1119" s="72">
        <v>37417</v>
      </c>
      <c r="C1119">
        <v>51.5</v>
      </c>
      <c r="D1119">
        <v>51.5</v>
      </c>
    </row>
    <row r="1120" spans="1:4" x14ac:dyDescent="0.45">
      <c r="A1120">
        <v>59184</v>
      </c>
      <c r="B1120" s="72">
        <v>37418</v>
      </c>
      <c r="C1120">
        <v>51.8</v>
      </c>
      <c r="D1120">
        <v>51.8</v>
      </c>
    </row>
    <row r="1121" spans="1:4" x14ac:dyDescent="0.45">
      <c r="A1121">
        <v>59184</v>
      </c>
      <c r="B1121" s="72">
        <v>37419</v>
      </c>
      <c r="C1121">
        <v>52.05</v>
      </c>
      <c r="D1121">
        <v>52.05</v>
      </c>
    </row>
    <row r="1122" spans="1:4" x14ac:dyDescent="0.45">
      <c r="A1122">
        <v>59184</v>
      </c>
      <c r="B1122" s="72">
        <v>37420</v>
      </c>
      <c r="C1122">
        <v>52.81</v>
      </c>
      <c r="D1122">
        <v>52.81</v>
      </c>
    </row>
    <row r="1123" spans="1:4" x14ac:dyDescent="0.45">
      <c r="A1123">
        <v>59184</v>
      </c>
      <c r="B1123" s="72">
        <v>37421</v>
      </c>
      <c r="C1123">
        <v>52.14</v>
      </c>
      <c r="D1123">
        <v>52.14</v>
      </c>
    </row>
    <row r="1124" spans="1:4" x14ac:dyDescent="0.45">
      <c r="A1124">
        <v>59184</v>
      </c>
      <c r="B1124" s="72">
        <v>37424</v>
      </c>
      <c r="C1124">
        <v>52.71</v>
      </c>
      <c r="D1124">
        <v>52.71</v>
      </c>
    </row>
    <row r="1125" spans="1:4" x14ac:dyDescent="0.45">
      <c r="A1125">
        <v>59184</v>
      </c>
      <c r="B1125" s="72">
        <v>37425</v>
      </c>
      <c r="C1125">
        <v>52.61</v>
      </c>
      <c r="D1125">
        <v>52.61</v>
      </c>
    </row>
    <row r="1126" spans="1:4" x14ac:dyDescent="0.45">
      <c r="A1126">
        <v>59184</v>
      </c>
      <c r="B1126" s="72">
        <v>37426</v>
      </c>
      <c r="C1126">
        <v>50.55</v>
      </c>
      <c r="D1126">
        <v>50.55</v>
      </c>
    </row>
    <row r="1127" spans="1:4" x14ac:dyDescent="0.45">
      <c r="A1127">
        <v>59184</v>
      </c>
      <c r="B1127" s="72">
        <v>37427</v>
      </c>
      <c r="C1127">
        <v>50.95</v>
      </c>
      <c r="D1127">
        <v>50.95</v>
      </c>
    </row>
    <row r="1128" spans="1:4" x14ac:dyDescent="0.45">
      <c r="A1128">
        <v>59184</v>
      </c>
      <c r="B1128" s="72">
        <v>37428</v>
      </c>
      <c r="C1128">
        <v>50.7</v>
      </c>
      <c r="D1128">
        <v>50.7</v>
      </c>
    </row>
    <row r="1129" spans="1:4" x14ac:dyDescent="0.45">
      <c r="A1129">
        <v>59184</v>
      </c>
      <c r="B1129" s="72">
        <v>37431</v>
      </c>
      <c r="C1129">
        <v>50.7</v>
      </c>
      <c r="D1129">
        <v>50.7</v>
      </c>
    </row>
    <row r="1130" spans="1:4" x14ac:dyDescent="0.45">
      <c r="A1130">
        <v>59184</v>
      </c>
      <c r="B1130" s="72">
        <v>37432</v>
      </c>
      <c r="C1130">
        <v>49.76</v>
      </c>
      <c r="D1130">
        <v>49.76</v>
      </c>
    </row>
    <row r="1131" spans="1:4" x14ac:dyDescent="0.45">
      <c r="A1131">
        <v>59184</v>
      </c>
      <c r="B1131" s="72">
        <v>37433</v>
      </c>
      <c r="C1131">
        <v>50.26</v>
      </c>
      <c r="D1131">
        <v>50.26</v>
      </c>
    </row>
    <row r="1132" spans="1:4" x14ac:dyDescent="0.45">
      <c r="A1132">
        <v>59184</v>
      </c>
      <c r="B1132" s="72">
        <v>37434</v>
      </c>
      <c r="C1132">
        <v>50.72</v>
      </c>
      <c r="D1132">
        <v>50.72</v>
      </c>
    </row>
    <row r="1133" spans="1:4" x14ac:dyDescent="0.45">
      <c r="A1133">
        <v>59184</v>
      </c>
      <c r="B1133" s="72">
        <v>37435</v>
      </c>
      <c r="C1133">
        <v>50</v>
      </c>
      <c r="D1133">
        <v>50</v>
      </c>
    </row>
    <row r="1134" spans="1:4" x14ac:dyDescent="0.45">
      <c r="A1134">
        <v>59184</v>
      </c>
      <c r="B1134" s="72">
        <v>37438</v>
      </c>
      <c r="C1134">
        <v>50.3</v>
      </c>
      <c r="D1134">
        <v>50.3</v>
      </c>
    </row>
    <row r="1135" spans="1:4" x14ac:dyDescent="0.45">
      <c r="A1135">
        <v>59184</v>
      </c>
      <c r="B1135" s="72">
        <v>37439</v>
      </c>
      <c r="C1135">
        <v>51.2</v>
      </c>
      <c r="D1135">
        <v>51.2</v>
      </c>
    </row>
    <row r="1136" spans="1:4" x14ac:dyDescent="0.45">
      <c r="A1136">
        <v>59184</v>
      </c>
      <c r="B1136" s="72">
        <v>37440</v>
      </c>
      <c r="C1136">
        <v>50.55</v>
      </c>
      <c r="D1136">
        <v>50.55</v>
      </c>
    </row>
    <row r="1137" spans="1:4" x14ac:dyDescent="0.45">
      <c r="A1137">
        <v>59184</v>
      </c>
      <c r="B1137" s="72">
        <v>37442</v>
      </c>
      <c r="C1137">
        <v>51.16</v>
      </c>
      <c r="D1137">
        <v>51.16</v>
      </c>
    </row>
    <row r="1138" spans="1:4" x14ac:dyDescent="0.45">
      <c r="A1138">
        <v>59184</v>
      </c>
      <c r="B1138" s="72">
        <v>37445</v>
      </c>
      <c r="C1138">
        <v>51.05</v>
      </c>
      <c r="D1138">
        <v>51.05</v>
      </c>
    </row>
    <row r="1139" spans="1:4" x14ac:dyDescent="0.45">
      <c r="A1139">
        <v>59184</v>
      </c>
      <c r="B1139" s="72">
        <v>37446</v>
      </c>
      <c r="C1139">
        <v>50.75</v>
      </c>
      <c r="D1139">
        <v>50.75</v>
      </c>
    </row>
    <row r="1140" spans="1:4" x14ac:dyDescent="0.45">
      <c r="A1140">
        <v>59184</v>
      </c>
      <c r="B1140" s="72">
        <v>37447</v>
      </c>
      <c r="C1140">
        <v>50.15</v>
      </c>
      <c r="D1140">
        <v>50.15</v>
      </c>
    </row>
    <row r="1141" spans="1:4" x14ac:dyDescent="0.45">
      <c r="A1141">
        <v>59184</v>
      </c>
      <c r="B1141" s="72">
        <v>37448</v>
      </c>
      <c r="C1141">
        <v>49.56</v>
      </c>
      <c r="D1141">
        <v>49.56</v>
      </c>
    </row>
    <row r="1142" spans="1:4" x14ac:dyDescent="0.45">
      <c r="A1142">
        <v>59184</v>
      </c>
      <c r="B1142" s="72">
        <v>37449</v>
      </c>
      <c r="C1142">
        <v>49.2</v>
      </c>
      <c r="D1142">
        <v>49.2</v>
      </c>
    </row>
    <row r="1143" spans="1:4" x14ac:dyDescent="0.45">
      <c r="A1143">
        <v>59184</v>
      </c>
      <c r="B1143" s="72">
        <v>37452</v>
      </c>
      <c r="C1143">
        <v>49.57</v>
      </c>
      <c r="D1143">
        <v>49.57</v>
      </c>
    </row>
    <row r="1144" spans="1:4" x14ac:dyDescent="0.45">
      <c r="A1144">
        <v>59184</v>
      </c>
      <c r="B1144" s="72">
        <v>37453</v>
      </c>
      <c r="C1144">
        <v>46.55</v>
      </c>
      <c r="D1144">
        <v>46.55</v>
      </c>
    </row>
    <row r="1145" spans="1:4" x14ac:dyDescent="0.45">
      <c r="A1145">
        <v>59184</v>
      </c>
      <c r="B1145" s="72">
        <v>37454</v>
      </c>
      <c r="C1145">
        <v>47</v>
      </c>
      <c r="D1145">
        <v>47</v>
      </c>
    </row>
    <row r="1146" spans="1:4" x14ac:dyDescent="0.45">
      <c r="A1146">
        <v>59184</v>
      </c>
      <c r="B1146" s="72">
        <v>37455</v>
      </c>
      <c r="C1146">
        <v>47.3</v>
      </c>
      <c r="D1146">
        <v>47.3</v>
      </c>
    </row>
    <row r="1147" spans="1:4" x14ac:dyDescent="0.45">
      <c r="A1147">
        <v>59184</v>
      </c>
      <c r="B1147" s="72">
        <v>37456</v>
      </c>
      <c r="C1147">
        <v>44</v>
      </c>
      <c r="D1147">
        <v>44</v>
      </c>
    </row>
    <row r="1148" spans="1:4" x14ac:dyDescent="0.45">
      <c r="A1148">
        <v>59184</v>
      </c>
      <c r="B1148" s="72">
        <v>37459</v>
      </c>
      <c r="C1148">
        <v>45.67</v>
      </c>
      <c r="D1148">
        <v>45.67</v>
      </c>
    </row>
    <row r="1149" spans="1:4" x14ac:dyDescent="0.45">
      <c r="A1149">
        <v>59184</v>
      </c>
      <c r="B1149" s="72">
        <v>37460</v>
      </c>
      <c r="C1149">
        <v>44.75</v>
      </c>
      <c r="D1149">
        <v>44.75</v>
      </c>
    </row>
    <row r="1150" spans="1:4" x14ac:dyDescent="0.45">
      <c r="A1150">
        <v>59184</v>
      </c>
      <c r="B1150" s="72">
        <v>37461</v>
      </c>
      <c r="C1150">
        <v>46.25</v>
      </c>
      <c r="D1150">
        <v>46.25</v>
      </c>
    </row>
    <row r="1151" spans="1:4" x14ac:dyDescent="0.45">
      <c r="A1151">
        <v>59184</v>
      </c>
      <c r="B1151" s="72">
        <v>37462</v>
      </c>
      <c r="C1151">
        <v>47.45</v>
      </c>
      <c r="D1151">
        <v>47.45</v>
      </c>
    </row>
    <row r="1152" spans="1:4" x14ac:dyDescent="0.45">
      <c r="A1152">
        <v>59184</v>
      </c>
      <c r="B1152" s="72">
        <v>37463</v>
      </c>
      <c r="C1152">
        <v>47.5</v>
      </c>
      <c r="D1152">
        <v>47.5</v>
      </c>
    </row>
    <row r="1153" spans="1:4" x14ac:dyDescent="0.45">
      <c r="A1153">
        <v>59184</v>
      </c>
      <c r="B1153" s="72">
        <v>37466</v>
      </c>
      <c r="C1153">
        <v>49.55</v>
      </c>
      <c r="D1153">
        <v>49.55</v>
      </c>
    </row>
    <row r="1154" spans="1:4" x14ac:dyDescent="0.45">
      <c r="A1154">
        <v>59184</v>
      </c>
      <c r="B1154" s="72">
        <v>37467</v>
      </c>
      <c r="C1154">
        <v>48.61</v>
      </c>
      <c r="D1154">
        <v>48.61</v>
      </c>
    </row>
    <row r="1155" spans="1:4" x14ac:dyDescent="0.45">
      <c r="A1155">
        <v>59184</v>
      </c>
      <c r="B1155" s="72">
        <v>37468</v>
      </c>
      <c r="C1155">
        <v>51.71</v>
      </c>
      <c r="D1155">
        <v>51.71</v>
      </c>
    </row>
    <row r="1156" spans="1:4" x14ac:dyDescent="0.45">
      <c r="A1156">
        <v>59184</v>
      </c>
      <c r="B1156" s="72">
        <v>37469</v>
      </c>
      <c r="C1156">
        <v>50.78</v>
      </c>
      <c r="D1156">
        <v>50.78</v>
      </c>
    </row>
    <row r="1157" spans="1:4" x14ac:dyDescent="0.45">
      <c r="A1157">
        <v>59184</v>
      </c>
      <c r="B1157" s="72">
        <v>37470</v>
      </c>
      <c r="C1157">
        <v>50.81</v>
      </c>
      <c r="D1157">
        <v>50.81</v>
      </c>
    </row>
    <row r="1158" spans="1:4" x14ac:dyDescent="0.45">
      <c r="A1158">
        <v>59184</v>
      </c>
      <c r="B1158" s="72">
        <v>37473</v>
      </c>
      <c r="C1158">
        <v>50.3</v>
      </c>
      <c r="D1158">
        <v>50.3</v>
      </c>
    </row>
    <row r="1159" spans="1:4" x14ac:dyDescent="0.45">
      <c r="A1159">
        <v>59184</v>
      </c>
      <c r="B1159" s="72">
        <v>37474</v>
      </c>
      <c r="C1159">
        <v>50.63</v>
      </c>
      <c r="D1159">
        <v>50.63</v>
      </c>
    </row>
    <row r="1160" spans="1:4" x14ac:dyDescent="0.45">
      <c r="A1160">
        <v>59184</v>
      </c>
      <c r="B1160" s="72">
        <v>37475</v>
      </c>
      <c r="C1160">
        <v>51.14</v>
      </c>
      <c r="D1160">
        <v>51.14</v>
      </c>
    </row>
    <row r="1161" spans="1:4" x14ac:dyDescent="0.45">
      <c r="A1161">
        <v>59184</v>
      </c>
      <c r="B1161" s="72">
        <v>37476</v>
      </c>
      <c r="C1161">
        <v>51.88</v>
      </c>
      <c r="D1161">
        <v>51.88</v>
      </c>
    </row>
    <row r="1162" spans="1:4" x14ac:dyDescent="0.45">
      <c r="A1162">
        <v>59184</v>
      </c>
      <c r="B1162" s="72">
        <v>37477</v>
      </c>
      <c r="C1162">
        <v>51.6</v>
      </c>
      <c r="D1162">
        <v>51.6</v>
      </c>
    </row>
    <row r="1163" spans="1:4" x14ac:dyDescent="0.45">
      <c r="A1163">
        <v>59184</v>
      </c>
      <c r="B1163" s="72">
        <v>37480</v>
      </c>
      <c r="C1163">
        <v>51.78</v>
      </c>
      <c r="D1163">
        <v>51.78</v>
      </c>
    </row>
    <row r="1164" spans="1:4" x14ac:dyDescent="0.45">
      <c r="A1164">
        <v>59184</v>
      </c>
      <c r="B1164" s="72">
        <v>37481</v>
      </c>
      <c r="C1164">
        <v>52.12</v>
      </c>
      <c r="D1164">
        <v>52.12</v>
      </c>
    </row>
    <row r="1165" spans="1:4" x14ac:dyDescent="0.45">
      <c r="A1165">
        <v>59184</v>
      </c>
      <c r="B1165" s="72">
        <v>37482</v>
      </c>
      <c r="C1165">
        <v>52.8</v>
      </c>
      <c r="D1165">
        <v>52.8</v>
      </c>
    </row>
    <row r="1166" spans="1:4" x14ac:dyDescent="0.45">
      <c r="A1166">
        <v>59184</v>
      </c>
      <c r="B1166" s="72">
        <v>37483</v>
      </c>
      <c r="C1166">
        <v>51.98</v>
      </c>
      <c r="D1166">
        <v>51.98</v>
      </c>
    </row>
    <row r="1167" spans="1:4" x14ac:dyDescent="0.45">
      <c r="A1167">
        <v>59184</v>
      </c>
      <c r="B1167" s="72">
        <v>37484</v>
      </c>
      <c r="C1167">
        <v>51.48</v>
      </c>
      <c r="D1167">
        <v>51.48</v>
      </c>
    </row>
    <row r="1168" spans="1:4" x14ac:dyDescent="0.45">
      <c r="A1168">
        <v>59184</v>
      </c>
      <c r="B1168" s="72">
        <v>37487</v>
      </c>
      <c r="C1168">
        <v>53.03</v>
      </c>
      <c r="D1168">
        <v>53.03</v>
      </c>
    </row>
    <row r="1169" spans="1:4" x14ac:dyDescent="0.45">
      <c r="A1169">
        <v>59184</v>
      </c>
      <c r="B1169" s="72">
        <v>37488</v>
      </c>
      <c r="C1169">
        <v>52.8</v>
      </c>
      <c r="D1169">
        <v>52.8</v>
      </c>
    </row>
    <row r="1170" spans="1:4" x14ac:dyDescent="0.45">
      <c r="A1170">
        <v>59184</v>
      </c>
      <c r="B1170" s="72">
        <v>37489</v>
      </c>
      <c r="C1170">
        <v>52.16</v>
      </c>
      <c r="D1170">
        <v>52.16</v>
      </c>
    </row>
    <row r="1171" spans="1:4" x14ac:dyDescent="0.45">
      <c r="A1171">
        <v>59184</v>
      </c>
      <c r="B1171" s="72">
        <v>37490</v>
      </c>
      <c r="C1171">
        <v>52.75</v>
      </c>
      <c r="D1171">
        <v>52.75</v>
      </c>
    </row>
    <row r="1172" spans="1:4" x14ac:dyDescent="0.45">
      <c r="A1172">
        <v>59184</v>
      </c>
      <c r="B1172" s="72">
        <v>37491</v>
      </c>
      <c r="C1172">
        <v>52.09</v>
      </c>
      <c r="D1172">
        <v>52.09</v>
      </c>
    </row>
    <row r="1173" spans="1:4" x14ac:dyDescent="0.45">
      <c r="A1173">
        <v>59184</v>
      </c>
      <c r="B1173" s="72">
        <v>37494</v>
      </c>
      <c r="C1173">
        <v>53.03</v>
      </c>
      <c r="D1173">
        <v>53.03</v>
      </c>
    </row>
    <row r="1174" spans="1:4" x14ac:dyDescent="0.45">
      <c r="A1174">
        <v>59184</v>
      </c>
      <c r="B1174" s="72">
        <v>37495</v>
      </c>
      <c r="C1174">
        <v>52.95</v>
      </c>
      <c r="D1174">
        <v>52.95</v>
      </c>
    </row>
    <row r="1175" spans="1:4" x14ac:dyDescent="0.45">
      <c r="A1175">
        <v>59184</v>
      </c>
      <c r="B1175" s="72">
        <v>37496</v>
      </c>
      <c r="C1175">
        <v>52.5</v>
      </c>
      <c r="D1175">
        <v>52.5</v>
      </c>
    </row>
    <row r="1176" spans="1:4" x14ac:dyDescent="0.45">
      <c r="A1176">
        <v>59184</v>
      </c>
      <c r="B1176" s="72">
        <v>37497</v>
      </c>
      <c r="C1176">
        <v>52.46</v>
      </c>
      <c r="D1176">
        <v>52.46</v>
      </c>
    </row>
    <row r="1177" spans="1:4" x14ac:dyDescent="0.45">
      <c r="A1177">
        <v>59184</v>
      </c>
      <c r="B1177" s="72">
        <v>37498</v>
      </c>
      <c r="C1177">
        <v>53.16</v>
      </c>
      <c r="D1177">
        <v>53.16</v>
      </c>
    </row>
    <row r="1178" spans="1:4" x14ac:dyDescent="0.45">
      <c r="A1178">
        <v>59184</v>
      </c>
      <c r="B1178" s="72">
        <v>37502</v>
      </c>
      <c r="C1178">
        <v>52.52</v>
      </c>
      <c r="D1178">
        <v>52.52</v>
      </c>
    </row>
    <row r="1179" spans="1:4" x14ac:dyDescent="0.45">
      <c r="A1179">
        <v>59184</v>
      </c>
      <c r="B1179" s="72">
        <v>37503</v>
      </c>
      <c r="C1179">
        <v>53.16</v>
      </c>
      <c r="D1179">
        <v>53.16</v>
      </c>
    </row>
    <row r="1180" spans="1:4" x14ac:dyDescent="0.45">
      <c r="A1180">
        <v>59184</v>
      </c>
      <c r="B1180" s="72">
        <v>37504</v>
      </c>
      <c r="C1180">
        <v>54.03</v>
      </c>
      <c r="D1180">
        <v>54.03</v>
      </c>
    </row>
    <row r="1181" spans="1:4" x14ac:dyDescent="0.45">
      <c r="A1181">
        <v>59184</v>
      </c>
      <c r="B1181" s="72">
        <v>37505</v>
      </c>
      <c r="C1181">
        <v>53.37</v>
      </c>
      <c r="D1181">
        <v>53.37</v>
      </c>
    </row>
    <row r="1182" spans="1:4" x14ac:dyDescent="0.45">
      <c r="A1182">
        <v>59184</v>
      </c>
      <c r="B1182" s="72">
        <v>37508</v>
      </c>
      <c r="C1182">
        <v>54.08</v>
      </c>
      <c r="D1182">
        <v>54.08</v>
      </c>
    </row>
    <row r="1183" spans="1:4" x14ac:dyDescent="0.45">
      <c r="A1183">
        <v>59184</v>
      </c>
      <c r="B1183" s="72">
        <v>37509</v>
      </c>
      <c r="C1183">
        <v>53</v>
      </c>
      <c r="D1183">
        <v>53</v>
      </c>
    </row>
    <row r="1184" spans="1:4" x14ac:dyDescent="0.45">
      <c r="A1184">
        <v>59184</v>
      </c>
      <c r="B1184" s="72">
        <v>37510</v>
      </c>
      <c r="C1184">
        <v>52.44</v>
      </c>
      <c r="D1184">
        <v>52.44</v>
      </c>
    </row>
    <row r="1185" spans="1:4" x14ac:dyDescent="0.45">
      <c r="A1185">
        <v>59184</v>
      </c>
      <c r="B1185" s="72">
        <v>37511</v>
      </c>
      <c r="C1185">
        <v>52.5</v>
      </c>
      <c r="D1185">
        <v>52.5</v>
      </c>
    </row>
    <row r="1186" spans="1:4" x14ac:dyDescent="0.45">
      <c r="A1186">
        <v>59184</v>
      </c>
      <c r="B1186" s="72">
        <v>37512</v>
      </c>
      <c r="C1186">
        <v>52.5</v>
      </c>
      <c r="D1186">
        <v>52.5</v>
      </c>
    </row>
    <row r="1187" spans="1:4" x14ac:dyDescent="0.45">
      <c r="A1187">
        <v>59184</v>
      </c>
      <c r="B1187" s="72">
        <v>37515</v>
      </c>
      <c r="C1187">
        <v>53.03</v>
      </c>
      <c r="D1187">
        <v>53.03</v>
      </c>
    </row>
    <row r="1188" spans="1:4" x14ac:dyDescent="0.45">
      <c r="A1188">
        <v>59184</v>
      </c>
      <c r="B1188" s="72">
        <v>37516</v>
      </c>
      <c r="C1188">
        <v>52.32</v>
      </c>
      <c r="D1188">
        <v>52.32</v>
      </c>
    </row>
    <row r="1189" spans="1:4" x14ac:dyDescent="0.45">
      <c r="A1189">
        <v>59184</v>
      </c>
      <c r="B1189" s="72">
        <v>37517</v>
      </c>
      <c r="C1189">
        <v>52.13</v>
      </c>
      <c r="D1189">
        <v>52.13</v>
      </c>
    </row>
    <row r="1190" spans="1:4" x14ac:dyDescent="0.45">
      <c r="A1190">
        <v>59184</v>
      </c>
      <c r="B1190" s="72">
        <v>37518</v>
      </c>
      <c r="C1190">
        <v>50.85</v>
      </c>
      <c r="D1190">
        <v>50.85</v>
      </c>
    </row>
    <row r="1191" spans="1:4" x14ac:dyDescent="0.45">
      <c r="A1191">
        <v>59184</v>
      </c>
      <c r="B1191" s="72">
        <v>37519</v>
      </c>
      <c r="C1191">
        <v>51.23</v>
      </c>
      <c r="D1191">
        <v>51.23</v>
      </c>
    </row>
    <row r="1192" spans="1:4" x14ac:dyDescent="0.45">
      <c r="A1192">
        <v>59184</v>
      </c>
      <c r="B1192" s="72">
        <v>37522</v>
      </c>
      <c r="C1192">
        <v>50.65</v>
      </c>
      <c r="D1192">
        <v>50.65</v>
      </c>
    </row>
    <row r="1193" spans="1:4" x14ac:dyDescent="0.45">
      <c r="A1193">
        <v>59184</v>
      </c>
      <c r="B1193" s="72">
        <v>37523</v>
      </c>
      <c r="C1193">
        <v>50.2</v>
      </c>
      <c r="D1193">
        <v>50.2</v>
      </c>
    </row>
    <row r="1194" spans="1:4" x14ac:dyDescent="0.45">
      <c r="A1194">
        <v>59184</v>
      </c>
      <c r="B1194" s="72">
        <v>37524</v>
      </c>
      <c r="C1194">
        <v>51.67</v>
      </c>
      <c r="D1194">
        <v>51.67</v>
      </c>
    </row>
    <row r="1195" spans="1:4" x14ac:dyDescent="0.45">
      <c r="A1195">
        <v>59184</v>
      </c>
      <c r="B1195" s="72">
        <v>37525</v>
      </c>
      <c r="C1195">
        <v>52.27</v>
      </c>
      <c r="D1195">
        <v>52.27</v>
      </c>
    </row>
    <row r="1196" spans="1:4" x14ac:dyDescent="0.45">
      <c r="A1196">
        <v>59184</v>
      </c>
      <c r="B1196" s="72">
        <v>37526</v>
      </c>
      <c r="C1196">
        <v>51.73</v>
      </c>
      <c r="D1196">
        <v>51.73</v>
      </c>
    </row>
    <row r="1197" spans="1:4" x14ac:dyDescent="0.45">
      <c r="A1197">
        <v>59184</v>
      </c>
      <c r="B1197" s="72">
        <v>37529</v>
      </c>
      <c r="C1197">
        <v>50.6</v>
      </c>
      <c r="D1197">
        <v>50.6</v>
      </c>
    </row>
    <row r="1198" spans="1:4" x14ac:dyDescent="0.45">
      <c r="A1198">
        <v>59184</v>
      </c>
      <c r="B1198" s="72">
        <v>37530</v>
      </c>
      <c r="C1198">
        <v>52.24</v>
      </c>
      <c r="D1198">
        <v>52.24</v>
      </c>
    </row>
    <row r="1199" spans="1:4" x14ac:dyDescent="0.45">
      <c r="A1199">
        <v>59184</v>
      </c>
      <c r="B1199" s="72">
        <v>37531</v>
      </c>
      <c r="C1199">
        <v>52.47</v>
      </c>
      <c r="D1199">
        <v>52.47</v>
      </c>
    </row>
    <row r="1200" spans="1:4" x14ac:dyDescent="0.45">
      <c r="A1200">
        <v>59184</v>
      </c>
      <c r="B1200" s="72">
        <v>37532</v>
      </c>
      <c r="C1200">
        <v>52.05</v>
      </c>
      <c r="D1200">
        <v>52.05</v>
      </c>
    </row>
    <row r="1201" spans="1:4" x14ac:dyDescent="0.45">
      <c r="A1201">
        <v>59184</v>
      </c>
      <c r="B1201" s="72">
        <v>37533</v>
      </c>
      <c r="C1201">
        <v>52.94</v>
      </c>
      <c r="D1201">
        <v>52.94</v>
      </c>
    </row>
    <row r="1202" spans="1:4" x14ac:dyDescent="0.45">
      <c r="A1202">
        <v>59184</v>
      </c>
      <c r="B1202" s="72">
        <v>37536</v>
      </c>
      <c r="C1202">
        <v>52.39</v>
      </c>
      <c r="D1202">
        <v>52.39</v>
      </c>
    </row>
    <row r="1203" spans="1:4" x14ac:dyDescent="0.45">
      <c r="A1203">
        <v>59184</v>
      </c>
      <c r="B1203" s="72">
        <v>37537</v>
      </c>
      <c r="C1203">
        <v>53.18</v>
      </c>
      <c r="D1203">
        <v>53.18</v>
      </c>
    </row>
    <row r="1204" spans="1:4" x14ac:dyDescent="0.45">
      <c r="A1204">
        <v>59184</v>
      </c>
      <c r="B1204" s="72">
        <v>37538</v>
      </c>
      <c r="C1204">
        <v>51.5</v>
      </c>
      <c r="D1204">
        <v>51.5</v>
      </c>
    </row>
    <row r="1205" spans="1:4" x14ac:dyDescent="0.45">
      <c r="A1205">
        <v>59184</v>
      </c>
      <c r="B1205" s="72">
        <v>37539</v>
      </c>
      <c r="C1205">
        <v>51.65</v>
      </c>
      <c r="D1205">
        <v>51.65</v>
      </c>
    </row>
    <row r="1206" spans="1:4" x14ac:dyDescent="0.45">
      <c r="A1206">
        <v>59184</v>
      </c>
      <c r="B1206" s="72">
        <v>37540</v>
      </c>
      <c r="C1206">
        <v>52.67</v>
      </c>
      <c r="D1206">
        <v>52.67</v>
      </c>
    </row>
    <row r="1207" spans="1:4" x14ac:dyDescent="0.45">
      <c r="A1207">
        <v>59184</v>
      </c>
      <c r="B1207" s="72">
        <v>37543</v>
      </c>
      <c r="C1207">
        <v>53.94</v>
      </c>
      <c r="D1207">
        <v>53.94</v>
      </c>
    </row>
    <row r="1208" spans="1:4" x14ac:dyDescent="0.45">
      <c r="A1208">
        <v>59184</v>
      </c>
      <c r="B1208" s="72">
        <v>37544</v>
      </c>
      <c r="C1208">
        <v>53.78</v>
      </c>
      <c r="D1208">
        <v>53.78</v>
      </c>
    </row>
    <row r="1209" spans="1:4" x14ac:dyDescent="0.45">
      <c r="A1209">
        <v>59184</v>
      </c>
      <c r="B1209" s="72">
        <v>37545</v>
      </c>
      <c r="C1209">
        <v>53.9</v>
      </c>
      <c r="D1209">
        <v>53.9</v>
      </c>
    </row>
    <row r="1210" spans="1:4" x14ac:dyDescent="0.45">
      <c r="A1210">
        <v>59184</v>
      </c>
      <c r="B1210" s="72">
        <v>37546</v>
      </c>
      <c r="C1210">
        <v>53.65</v>
      </c>
      <c r="D1210">
        <v>53.65</v>
      </c>
    </row>
    <row r="1211" spans="1:4" x14ac:dyDescent="0.45">
      <c r="A1211">
        <v>59184</v>
      </c>
      <c r="B1211" s="72">
        <v>37547</v>
      </c>
      <c r="C1211">
        <v>54.05</v>
      </c>
      <c r="D1211">
        <v>54.05</v>
      </c>
    </row>
    <row r="1212" spans="1:4" x14ac:dyDescent="0.45">
      <c r="A1212">
        <v>59184</v>
      </c>
      <c r="B1212" s="72">
        <v>37550</v>
      </c>
      <c r="C1212">
        <v>54.97</v>
      </c>
      <c r="D1212">
        <v>54.97</v>
      </c>
    </row>
    <row r="1213" spans="1:4" x14ac:dyDescent="0.45">
      <c r="A1213">
        <v>59184</v>
      </c>
      <c r="B1213" s="72">
        <v>37551</v>
      </c>
      <c r="C1213">
        <v>53.97</v>
      </c>
      <c r="D1213">
        <v>53.97</v>
      </c>
    </row>
    <row r="1214" spans="1:4" x14ac:dyDescent="0.45">
      <c r="A1214">
        <v>59184</v>
      </c>
      <c r="B1214" s="72">
        <v>37552</v>
      </c>
      <c r="C1214">
        <v>51.91</v>
      </c>
      <c r="D1214">
        <v>51.91</v>
      </c>
    </row>
    <row r="1215" spans="1:4" x14ac:dyDescent="0.45">
      <c r="A1215">
        <v>59184</v>
      </c>
      <c r="B1215" s="72">
        <v>37553</v>
      </c>
      <c r="C1215">
        <v>53.1</v>
      </c>
      <c r="D1215">
        <v>53.1</v>
      </c>
    </row>
    <row r="1216" spans="1:4" x14ac:dyDescent="0.45">
      <c r="A1216">
        <v>59184</v>
      </c>
      <c r="B1216" s="72">
        <v>37554</v>
      </c>
      <c r="C1216">
        <v>53.04</v>
      </c>
      <c r="D1216">
        <v>53.04</v>
      </c>
    </row>
    <row r="1217" spans="1:4" x14ac:dyDescent="0.45">
      <c r="A1217">
        <v>59184</v>
      </c>
      <c r="B1217" s="72">
        <v>37557</v>
      </c>
      <c r="C1217">
        <v>51.94</v>
      </c>
      <c r="D1217">
        <v>51.94</v>
      </c>
    </row>
    <row r="1218" spans="1:4" x14ac:dyDescent="0.45">
      <c r="A1218">
        <v>59184</v>
      </c>
      <c r="B1218" s="72">
        <v>37558</v>
      </c>
      <c r="C1218">
        <v>52.65</v>
      </c>
      <c r="D1218">
        <v>52.65</v>
      </c>
    </row>
    <row r="1219" spans="1:4" x14ac:dyDescent="0.45">
      <c r="A1219">
        <v>59184</v>
      </c>
      <c r="B1219" s="72">
        <v>37559</v>
      </c>
      <c r="C1219">
        <v>52.38</v>
      </c>
      <c r="D1219">
        <v>52.38</v>
      </c>
    </row>
    <row r="1220" spans="1:4" x14ac:dyDescent="0.45">
      <c r="A1220">
        <v>59184</v>
      </c>
      <c r="B1220" s="72">
        <v>37560</v>
      </c>
      <c r="C1220">
        <v>52.76</v>
      </c>
      <c r="D1220">
        <v>52.76</v>
      </c>
    </row>
    <row r="1221" spans="1:4" x14ac:dyDescent="0.45">
      <c r="A1221">
        <v>59184</v>
      </c>
      <c r="B1221" s="72">
        <v>37561</v>
      </c>
      <c r="C1221">
        <v>53.22</v>
      </c>
      <c r="D1221">
        <v>53.22</v>
      </c>
    </row>
    <row r="1222" spans="1:4" x14ac:dyDescent="0.45">
      <c r="A1222">
        <v>59184</v>
      </c>
      <c r="B1222" s="72">
        <v>37564</v>
      </c>
      <c r="C1222">
        <v>51.95</v>
      </c>
      <c r="D1222">
        <v>51.95</v>
      </c>
    </row>
    <row r="1223" spans="1:4" x14ac:dyDescent="0.45">
      <c r="A1223">
        <v>59184</v>
      </c>
      <c r="B1223" s="72">
        <v>37565</v>
      </c>
      <c r="C1223">
        <v>53.14</v>
      </c>
      <c r="D1223">
        <v>53.14</v>
      </c>
    </row>
    <row r="1224" spans="1:4" x14ac:dyDescent="0.45">
      <c r="A1224">
        <v>59184</v>
      </c>
      <c r="B1224" s="72">
        <v>37566</v>
      </c>
      <c r="C1224">
        <v>52.5</v>
      </c>
      <c r="D1224">
        <v>52.5</v>
      </c>
    </row>
    <row r="1225" spans="1:4" x14ac:dyDescent="0.45">
      <c r="A1225">
        <v>59184</v>
      </c>
      <c r="B1225" s="72">
        <v>37567</v>
      </c>
      <c r="C1225">
        <v>52.43</v>
      </c>
      <c r="D1225">
        <v>52.43</v>
      </c>
    </row>
    <row r="1226" spans="1:4" x14ac:dyDescent="0.45">
      <c r="A1226">
        <v>59184</v>
      </c>
      <c r="B1226" s="72">
        <v>37568</v>
      </c>
      <c r="C1226">
        <v>52.12</v>
      </c>
      <c r="D1226">
        <v>52.12</v>
      </c>
    </row>
    <row r="1227" spans="1:4" x14ac:dyDescent="0.45">
      <c r="A1227">
        <v>59184</v>
      </c>
      <c r="B1227" s="72">
        <v>37571</v>
      </c>
      <c r="C1227">
        <v>51.77</v>
      </c>
      <c r="D1227">
        <v>51.77</v>
      </c>
    </row>
    <row r="1228" spans="1:4" x14ac:dyDescent="0.45">
      <c r="A1228">
        <v>59184</v>
      </c>
      <c r="B1228" s="72">
        <v>37572</v>
      </c>
      <c r="C1228">
        <v>48.48</v>
      </c>
      <c r="D1228">
        <v>48.48</v>
      </c>
    </row>
    <row r="1229" spans="1:4" x14ac:dyDescent="0.45">
      <c r="A1229">
        <v>59184</v>
      </c>
      <c r="B1229" s="72">
        <v>37573</v>
      </c>
      <c r="C1229">
        <v>49.48</v>
      </c>
      <c r="D1229">
        <v>49.48</v>
      </c>
    </row>
    <row r="1230" spans="1:4" x14ac:dyDescent="0.45">
      <c r="A1230">
        <v>59184</v>
      </c>
      <c r="B1230" s="72">
        <v>37574</v>
      </c>
      <c r="C1230">
        <v>51.08</v>
      </c>
      <c r="D1230">
        <v>51.08</v>
      </c>
    </row>
    <row r="1231" spans="1:4" x14ac:dyDescent="0.45">
      <c r="A1231">
        <v>59184</v>
      </c>
      <c r="B1231" s="72">
        <v>37575</v>
      </c>
      <c r="C1231">
        <v>51.7</v>
      </c>
      <c r="D1231">
        <v>51.7</v>
      </c>
    </row>
    <row r="1232" spans="1:4" x14ac:dyDescent="0.45">
      <c r="A1232">
        <v>59184</v>
      </c>
      <c r="B1232" s="72">
        <v>37578</v>
      </c>
      <c r="C1232">
        <v>50.62</v>
      </c>
      <c r="D1232">
        <v>50.62</v>
      </c>
    </row>
    <row r="1233" spans="1:4" x14ac:dyDescent="0.45">
      <c r="A1233">
        <v>59184</v>
      </c>
      <c r="B1233" s="72">
        <v>37579</v>
      </c>
      <c r="C1233">
        <v>51.15</v>
      </c>
      <c r="D1233">
        <v>51.15</v>
      </c>
    </row>
    <row r="1234" spans="1:4" x14ac:dyDescent="0.45">
      <c r="A1234">
        <v>59184</v>
      </c>
      <c r="B1234" s="72">
        <v>37580</v>
      </c>
      <c r="C1234">
        <v>51.51</v>
      </c>
      <c r="D1234">
        <v>51.51</v>
      </c>
    </row>
    <row r="1235" spans="1:4" x14ac:dyDescent="0.45">
      <c r="A1235">
        <v>59184</v>
      </c>
      <c r="B1235" s="72">
        <v>37581</v>
      </c>
      <c r="C1235">
        <v>50.45</v>
      </c>
      <c r="D1235">
        <v>50.45</v>
      </c>
    </row>
    <row r="1236" spans="1:4" x14ac:dyDescent="0.45">
      <c r="A1236">
        <v>59184</v>
      </c>
      <c r="B1236" s="72">
        <v>37582</v>
      </c>
      <c r="C1236">
        <v>51.1</v>
      </c>
      <c r="D1236">
        <v>51.1</v>
      </c>
    </row>
    <row r="1237" spans="1:4" x14ac:dyDescent="0.45">
      <c r="A1237">
        <v>59184</v>
      </c>
      <c r="B1237" s="72">
        <v>37585</v>
      </c>
      <c r="C1237">
        <v>49.31</v>
      </c>
      <c r="D1237">
        <v>49.31</v>
      </c>
    </row>
    <row r="1238" spans="1:4" x14ac:dyDescent="0.45">
      <c r="A1238">
        <v>59184</v>
      </c>
      <c r="B1238" s="72">
        <v>37586</v>
      </c>
      <c r="C1238">
        <v>49.08</v>
      </c>
      <c r="D1238">
        <v>49.08</v>
      </c>
    </row>
    <row r="1239" spans="1:4" x14ac:dyDescent="0.45">
      <c r="A1239">
        <v>59184</v>
      </c>
      <c r="B1239" s="72">
        <v>37587</v>
      </c>
      <c r="C1239">
        <v>49.88</v>
      </c>
      <c r="D1239">
        <v>49.88</v>
      </c>
    </row>
    <row r="1240" spans="1:4" x14ac:dyDescent="0.45">
      <c r="A1240">
        <v>59184</v>
      </c>
      <c r="B1240" s="72">
        <v>37589</v>
      </c>
      <c r="C1240">
        <v>49.12</v>
      </c>
      <c r="D1240">
        <v>49.12</v>
      </c>
    </row>
    <row r="1241" spans="1:4" x14ac:dyDescent="0.45">
      <c r="A1241">
        <v>59184</v>
      </c>
      <c r="B1241" s="72">
        <v>37592</v>
      </c>
      <c r="C1241">
        <v>48.29</v>
      </c>
      <c r="D1241">
        <v>48.29</v>
      </c>
    </row>
    <row r="1242" spans="1:4" x14ac:dyDescent="0.45">
      <c r="A1242">
        <v>59184</v>
      </c>
      <c r="B1242" s="72">
        <v>37593</v>
      </c>
      <c r="C1242">
        <v>49.64</v>
      </c>
      <c r="D1242">
        <v>49.64</v>
      </c>
    </row>
    <row r="1243" spans="1:4" x14ac:dyDescent="0.45">
      <c r="A1243">
        <v>59184</v>
      </c>
      <c r="B1243" s="72">
        <v>37594</v>
      </c>
      <c r="C1243">
        <v>49.62</v>
      </c>
      <c r="D1243">
        <v>49.62</v>
      </c>
    </row>
    <row r="1244" spans="1:4" x14ac:dyDescent="0.45">
      <c r="A1244">
        <v>59184</v>
      </c>
      <c r="B1244" s="72">
        <v>37595</v>
      </c>
      <c r="C1244">
        <v>48.79</v>
      </c>
      <c r="D1244">
        <v>48.79</v>
      </c>
    </row>
    <row r="1245" spans="1:4" x14ac:dyDescent="0.45">
      <c r="A1245">
        <v>59184</v>
      </c>
      <c r="B1245" s="72">
        <v>37596</v>
      </c>
      <c r="C1245">
        <v>49.51</v>
      </c>
      <c r="D1245">
        <v>49.51</v>
      </c>
    </row>
    <row r="1246" spans="1:4" x14ac:dyDescent="0.45">
      <c r="A1246">
        <v>59184</v>
      </c>
      <c r="B1246" s="72">
        <v>37599</v>
      </c>
      <c r="C1246">
        <v>49.56</v>
      </c>
      <c r="D1246">
        <v>49.56</v>
      </c>
    </row>
    <row r="1247" spans="1:4" x14ac:dyDescent="0.45">
      <c r="A1247">
        <v>59184</v>
      </c>
      <c r="B1247" s="72">
        <v>37600</v>
      </c>
      <c r="C1247">
        <v>49.31</v>
      </c>
      <c r="D1247">
        <v>49.31</v>
      </c>
    </row>
    <row r="1248" spans="1:4" x14ac:dyDescent="0.45">
      <c r="A1248">
        <v>59184</v>
      </c>
      <c r="B1248" s="72">
        <v>37601</v>
      </c>
      <c r="C1248">
        <v>48.69</v>
      </c>
      <c r="D1248">
        <v>48.69</v>
      </c>
    </row>
    <row r="1249" spans="1:4" x14ac:dyDescent="0.45">
      <c r="A1249">
        <v>59184</v>
      </c>
      <c r="B1249" s="72">
        <v>37602</v>
      </c>
      <c r="C1249">
        <v>48.23</v>
      </c>
      <c r="D1249">
        <v>48.23</v>
      </c>
    </row>
    <row r="1250" spans="1:4" x14ac:dyDescent="0.45">
      <c r="A1250">
        <v>59184</v>
      </c>
      <c r="B1250" s="72">
        <v>37603</v>
      </c>
      <c r="C1250">
        <v>48</v>
      </c>
      <c r="D1250">
        <v>48</v>
      </c>
    </row>
    <row r="1251" spans="1:4" x14ac:dyDescent="0.45">
      <c r="A1251">
        <v>59184</v>
      </c>
      <c r="B1251" s="72">
        <v>37606</v>
      </c>
      <c r="C1251">
        <v>48.76</v>
      </c>
      <c r="D1251">
        <v>48.76</v>
      </c>
    </row>
    <row r="1252" spans="1:4" x14ac:dyDescent="0.45">
      <c r="A1252">
        <v>59184</v>
      </c>
      <c r="B1252" s="72">
        <v>37607</v>
      </c>
      <c r="C1252">
        <v>48</v>
      </c>
      <c r="D1252">
        <v>48</v>
      </c>
    </row>
    <row r="1253" spans="1:4" x14ac:dyDescent="0.45">
      <c r="A1253">
        <v>59184</v>
      </c>
      <c r="B1253" s="72">
        <v>37608</v>
      </c>
      <c r="C1253">
        <v>48.04</v>
      </c>
      <c r="D1253">
        <v>48.04</v>
      </c>
    </row>
    <row r="1254" spans="1:4" x14ac:dyDescent="0.45">
      <c r="A1254">
        <v>59184</v>
      </c>
      <c r="B1254" s="72">
        <v>37609</v>
      </c>
      <c r="C1254">
        <v>47.85</v>
      </c>
      <c r="D1254">
        <v>47.85</v>
      </c>
    </row>
    <row r="1255" spans="1:4" x14ac:dyDescent="0.45">
      <c r="A1255">
        <v>59184</v>
      </c>
      <c r="B1255" s="72">
        <v>37610</v>
      </c>
      <c r="C1255">
        <v>47.8</v>
      </c>
      <c r="D1255">
        <v>47.8</v>
      </c>
    </row>
    <row r="1256" spans="1:4" x14ac:dyDescent="0.45">
      <c r="A1256">
        <v>59184</v>
      </c>
      <c r="B1256" s="72">
        <v>37613</v>
      </c>
      <c r="C1256">
        <v>47.91</v>
      </c>
      <c r="D1256">
        <v>47.91</v>
      </c>
    </row>
    <row r="1257" spans="1:4" x14ac:dyDescent="0.45">
      <c r="A1257">
        <v>59184</v>
      </c>
      <c r="B1257" s="72">
        <v>37614</v>
      </c>
      <c r="C1257">
        <v>47.8</v>
      </c>
      <c r="D1257">
        <v>47.8</v>
      </c>
    </row>
    <row r="1258" spans="1:4" x14ac:dyDescent="0.45">
      <c r="A1258">
        <v>59184</v>
      </c>
      <c r="B1258" s="72">
        <v>37616</v>
      </c>
      <c r="C1258">
        <v>47.78</v>
      </c>
      <c r="D1258">
        <v>47.78</v>
      </c>
    </row>
    <row r="1259" spans="1:4" x14ac:dyDescent="0.45">
      <c r="A1259">
        <v>59184</v>
      </c>
      <c r="B1259" s="72">
        <v>37617</v>
      </c>
      <c r="C1259">
        <v>47.7</v>
      </c>
      <c r="D1259">
        <v>47.7</v>
      </c>
    </row>
    <row r="1260" spans="1:4" x14ac:dyDescent="0.45">
      <c r="A1260">
        <v>59184</v>
      </c>
      <c r="B1260" s="72">
        <v>37620</v>
      </c>
      <c r="C1260">
        <v>48.5</v>
      </c>
      <c r="D1260">
        <v>48.5</v>
      </c>
    </row>
    <row r="1261" spans="1:4" x14ac:dyDescent="0.45">
      <c r="A1261">
        <v>59184</v>
      </c>
      <c r="B1261" s="72">
        <v>37621</v>
      </c>
      <c r="C1261">
        <v>48.4</v>
      </c>
      <c r="D1261">
        <v>48.4</v>
      </c>
    </row>
    <row r="1262" spans="1:4" x14ac:dyDescent="0.45">
      <c r="A1262">
        <v>59184</v>
      </c>
      <c r="B1262" s="72">
        <v>37623</v>
      </c>
      <c r="C1262">
        <v>49.43</v>
      </c>
      <c r="D1262">
        <v>49.43</v>
      </c>
    </row>
    <row r="1263" spans="1:4" x14ac:dyDescent="0.45">
      <c r="A1263">
        <v>59184</v>
      </c>
      <c r="B1263" s="72">
        <v>37624</v>
      </c>
      <c r="C1263">
        <v>48.86</v>
      </c>
      <c r="D1263">
        <v>48.86</v>
      </c>
    </row>
    <row r="1264" spans="1:4" x14ac:dyDescent="0.45">
      <c r="A1264">
        <v>59184</v>
      </c>
      <c r="B1264" s="72">
        <v>37627</v>
      </c>
      <c r="C1264">
        <v>49.63</v>
      </c>
      <c r="D1264">
        <v>49.63</v>
      </c>
    </row>
    <row r="1265" spans="1:4" x14ac:dyDescent="0.45">
      <c r="A1265">
        <v>59184</v>
      </c>
      <c r="B1265" s="72">
        <v>37628</v>
      </c>
      <c r="C1265">
        <v>49.11</v>
      </c>
      <c r="D1265">
        <v>49.11</v>
      </c>
    </row>
    <row r="1266" spans="1:4" x14ac:dyDescent="0.45">
      <c r="A1266">
        <v>59184</v>
      </c>
      <c r="B1266" s="72">
        <v>37629</v>
      </c>
      <c r="C1266">
        <v>49.3</v>
      </c>
      <c r="D1266">
        <v>49.3</v>
      </c>
    </row>
    <row r="1267" spans="1:4" x14ac:dyDescent="0.45">
      <c r="A1267">
        <v>59184</v>
      </c>
      <c r="B1267" s="72">
        <v>37630</v>
      </c>
      <c r="C1267">
        <v>50.17</v>
      </c>
      <c r="D1267">
        <v>50.17</v>
      </c>
    </row>
    <row r="1268" spans="1:4" x14ac:dyDescent="0.45">
      <c r="A1268">
        <v>59184</v>
      </c>
      <c r="B1268" s="72">
        <v>37631</v>
      </c>
      <c r="C1268">
        <v>49.6</v>
      </c>
      <c r="D1268">
        <v>49.6</v>
      </c>
    </row>
    <row r="1269" spans="1:4" x14ac:dyDescent="0.45">
      <c r="A1269">
        <v>59184</v>
      </c>
      <c r="B1269" s="72">
        <v>37634</v>
      </c>
      <c r="C1269">
        <v>49.82</v>
      </c>
      <c r="D1269">
        <v>49.82</v>
      </c>
    </row>
    <row r="1270" spans="1:4" x14ac:dyDescent="0.45">
      <c r="A1270">
        <v>59184</v>
      </c>
      <c r="B1270" s="72">
        <v>37635</v>
      </c>
      <c r="C1270">
        <v>50.27</v>
      </c>
      <c r="D1270">
        <v>50.27</v>
      </c>
    </row>
    <row r="1271" spans="1:4" x14ac:dyDescent="0.45">
      <c r="A1271">
        <v>59184</v>
      </c>
      <c r="B1271" s="72">
        <v>37636</v>
      </c>
      <c r="C1271">
        <v>49.76</v>
      </c>
      <c r="D1271">
        <v>49.76</v>
      </c>
    </row>
    <row r="1272" spans="1:4" x14ac:dyDescent="0.45">
      <c r="A1272">
        <v>59184</v>
      </c>
      <c r="B1272" s="72">
        <v>37637</v>
      </c>
      <c r="C1272">
        <v>49.94</v>
      </c>
      <c r="D1272">
        <v>49.94</v>
      </c>
    </row>
    <row r="1273" spans="1:4" x14ac:dyDescent="0.45">
      <c r="A1273">
        <v>59184</v>
      </c>
      <c r="B1273" s="72">
        <v>37638</v>
      </c>
      <c r="C1273">
        <v>49.98</v>
      </c>
      <c r="D1273">
        <v>49.98</v>
      </c>
    </row>
    <row r="1274" spans="1:4" x14ac:dyDescent="0.45">
      <c r="A1274">
        <v>59184</v>
      </c>
      <c r="B1274" s="72">
        <v>37642</v>
      </c>
      <c r="C1274">
        <v>49.25</v>
      </c>
      <c r="D1274">
        <v>49.25</v>
      </c>
    </row>
    <row r="1275" spans="1:4" x14ac:dyDescent="0.45">
      <c r="A1275">
        <v>59184</v>
      </c>
      <c r="B1275" s="72">
        <v>37643</v>
      </c>
      <c r="C1275">
        <v>49.76</v>
      </c>
      <c r="D1275">
        <v>49.76</v>
      </c>
    </row>
    <row r="1276" spans="1:4" x14ac:dyDescent="0.45">
      <c r="A1276">
        <v>59184</v>
      </c>
      <c r="B1276" s="72">
        <v>37644</v>
      </c>
      <c r="C1276">
        <v>49.15</v>
      </c>
      <c r="D1276">
        <v>49.15</v>
      </c>
    </row>
    <row r="1277" spans="1:4" x14ac:dyDescent="0.45">
      <c r="A1277">
        <v>59184</v>
      </c>
      <c r="B1277" s="72">
        <v>37645</v>
      </c>
      <c r="C1277">
        <v>47.95</v>
      </c>
      <c r="D1277">
        <v>47.95</v>
      </c>
    </row>
    <row r="1278" spans="1:4" x14ac:dyDescent="0.45">
      <c r="A1278">
        <v>59184</v>
      </c>
      <c r="B1278" s="72">
        <v>37648</v>
      </c>
      <c r="C1278">
        <v>47.89</v>
      </c>
      <c r="D1278">
        <v>47.89</v>
      </c>
    </row>
    <row r="1279" spans="1:4" x14ac:dyDescent="0.45">
      <c r="A1279">
        <v>59184</v>
      </c>
      <c r="B1279" s="72">
        <v>37649</v>
      </c>
      <c r="C1279">
        <v>48.05</v>
      </c>
      <c r="D1279">
        <v>48.05</v>
      </c>
    </row>
    <row r="1280" spans="1:4" x14ac:dyDescent="0.45">
      <c r="A1280">
        <v>59184</v>
      </c>
      <c r="B1280" s="72">
        <v>37650</v>
      </c>
      <c r="C1280">
        <v>47.57</v>
      </c>
      <c r="D1280">
        <v>47.57</v>
      </c>
    </row>
    <row r="1281" spans="1:4" x14ac:dyDescent="0.45">
      <c r="A1281">
        <v>59184</v>
      </c>
      <c r="B1281" s="72">
        <v>37651</v>
      </c>
      <c r="C1281">
        <v>46.17</v>
      </c>
      <c r="D1281">
        <v>46.17</v>
      </c>
    </row>
    <row r="1282" spans="1:4" x14ac:dyDescent="0.45">
      <c r="A1282">
        <v>59184</v>
      </c>
      <c r="B1282" s="72">
        <v>37652</v>
      </c>
      <c r="C1282">
        <v>47.47</v>
      </c>
      <c r="D1282">
        <v>47.47</v>
      </c>
    </row>
    <row r="1283" spans="1:4" x14ac:dyDescent="0.45">
      <c r="A1283">
        <v>59184</v>
      </c>
      <c r="B1283" s="72">
        <v>37655</v>
      </c>
      <c r="C1283">
        <v>48.07</v>
      </c>
      <c r="D1283">
        <v>48.07</v>
      </c>
    </row>
    <row r="1284" spans="1:4" x14ac:dyDescent="0.45">
      <c r="A1284">
        <v>59184</v>
      </c>
      <c r="B1284" s="72">
        <v>37656</v>
      </c>
      <c r="C1284">
        <v>48.19</v>
      </c>
      <c r="D1284">
        <v>48.19</v>
      </c>
    </row>
    <row r="1285" spans="1:4" x14ac:dyDescent="0.45">
      <c r="A1285">
        <v>59184</v>
      </c>
      <c r="B1285" s="72">
        <v>37657</v>
      </c>
      <c r="C1285">
        <v>48.15</v>
      </c>
      <c r="D1285">
        <v>48.15</v>
      </c>
    </row>
    <row r="1286" spans="1:4" x14ac:dyDescent="0.45">
      <c r="A1286">
        <v>59184</v>
      </c>
      <c r="B1286" s="72">
        <v>37658</v>
      </c>
      <c r="C1286">
        <v>47.25</v>
      </c>
      <c r="D1286">
        <v>47.25</v>
      </c>
    </row>
    <row r="1287" spans="1:4" x14ac:dyDescent="0.45">
      <c r="A1287">
        <v>59184</v>
      </c>
      <c r="B1287" s="72">
        <v>37659</v>
      </c>
      <c r="C1287">
        <v>47.3</v>
      </c>
      <c r="D1287">
        <v>47.3</v>
      </c>
    </row>
    <row r="1288" spans="1:4" x14ac:dyDescent="0.45">
      <c r="A1288">
        <v>59184</v>
      </c>
      <c r="B1288" s="72">
        <v>37662</v>
      </c>
      <c r="C1288">
        <v>47.79</v>
      </c>
      <c r="D1288">
        <v>47.79</v>
      </c>
    </row>
    <row r="1289" spans="1:4" x14ac:dyDescent="0.45">
      <c r="A1289">
        <v>59184</v>
      </c>
      <c r="B1289" s="72">
        <v>37663</v>
      </c>
      <c r="C1289">
        <v>47.58</v>
      </c>
      <c r="D1289">
        <v>47.58</v>
      </c>
    </row>
    <row r="1290" spans="1:4" x14ac:dyDescent="0.45">
      <c r="A1290">
        <v>59184</v>
      </c>
      <c r="B1290" s="72">
        <v>37664</v>
      </c>
      <c r="C1290">
        <v>47.37</v>
      </c>
      <c r="D1290">
        <v>47.37</v>
      </c>
    </row>
    <row r="1291" spans="1:4" x14ac:dyDescent="0.45">
      <c r="A1291">
        <v>59184</v>
      </c>
      <c r="B1291" s="72">
        <v>37665</v>
      </c>
      <c r="C1291">
        <v>47.63</v>
      </c>
      <c r="D1291">
        <v>47.63</v>
      </c>
    </row>
    <row r="1292" spans="1:4" x14ac:dyDescent="0.45">
      <c r="A1292">
        <v>59184</v>
      </c>
      <c r="B1292" s="72">
        <v>37666</v>
      </c>
      <c r="C1292">
        <v>47.7</v>
      </c>
      <c r="D1292">
        <v>47.7</v>
      </c>
    </row>
    <row r="1293" spans="1:4" x14ac:dyDescent="0.45">
      <c r="A1293">
        <v>59184</v>
      </c>
      <c r="B1293" s="72">
        <v>37670</v>
      </c>
      <c r="C1293">
        <v>48.25</v>
      </c>
      <c r="D1293">
        <v>48.25</v>
      </c>
    </row>
    <row r="1294" spans="1:4" x14ac:dyDescent="0.45">
      <c r="A1294">
        <v>59184</v>
      </c>
      <c r="B1294" s="72">
        <v>37671</v>
      </c>
      <c r="C1294">
        <v>47.78</v>
      </c>
      <c r="D1294">
        <v>47.78</v>
      </c>
    </row>
    <row r="1295" spans="1:4" x14ac:dyDescent="0.45">
      <c r="A1295">
        <v>59184</v>
      </c>
      <c r="B1295" s="72">
        <v>37672</v>
      </c>
      <c r="C1295">
        <v>47.8</v>
      </c>
      <c r="D1295">
        <v>47.8</v>
      </c>
    </row>
    <row r="1296" spans="1:4" x14ac:dyDescent="0.45">
      <c r="A1296">
        <v>59184</v>
      </c>
      <c r="B1296" s="72">
        <v>37673</v>
      </c>
      <c r="C1296">
        <v>47.89</v>
      </c>
      <c r="D1296">
        <v>47.89</v>
      </c>
    </row>
    <row r="1297" spans="1:4" x14ac:dyDescent="0.45">
      <c r="A1297">
        <v>59184</v>
      </c>
      <c r="B1297" s="72">
        <v>37676</v>
      </c>
      <c r="C1297">
        <v>47.3</v>
      </c>
      <c r="D1297">
        <v>47.3</v>
      </c>
    </row>
    <row r="1298" spans="1:4" x14ac:dyDescent="0.45">
      <c r="A1298">
        <v>59184</v>
      </c>
      <c r="B1298" s="72">
        <v>37677</v>
      </c>
      <c r="C1298">
        <v>47.9</v>
      </c>
      <c r="D1298">
        <v>47.9</v>
      </c>
    </row>
    <row r="1299" spans="1:4" x14ac:dyDescent="0.45">
      <c r="A1299">
        <v>59184</v>
      </c>
      <c r="B1299" s="72">
        <v>37678</v>
      </c>
      <c r="C1299">
        <v>47.47</v>
      </c>
      <c r="D1299">
        <v>47.47</v>
      </c>
    </row>
    <row r="1300" spans="1:4" x14ac:dyDescent="0.45">
      <c r="A1300">
        <v>59184</v>
      </c>
      <c r="B1300" s="72">
        <v>37679</v>
      </c>
      <c r="C1300">
        <v>47.25</v>
      </c>
      <c r="D1300">
        <v>47.25</v>
      </c>
    </row>
    <row r="1301" spans="1:4" x14ac:dyDescent="0.45">
      <c r="A1301">
        <v>59184</v>
      </c>
      <c r="B1301" s="72">
        <v>37680</v>
      </c>
      <c r="C1301">
        <v>46.5</v>
      </c>
      <c r="D1301">
        <v>46.5</v>
      </c>
    </row>
    <row r="1302" spans="1:4" x14ac:dyDescent="0.45">
      <c r="A1302">
        <v>59184</v>
      </c>
      <c r="B1302" s="72">
        <v>37683</v>
      </c>
      <c r="C1302">
        <v>46.75</v>
      </c>
      <c r="D1302">
        <v>46.75</v>
      </c>
    </row>
    <row r="1303" spans="1:4" x14ac:dyDescent="0.45">
      <c r="A1303">
        <v>59184</v>
      </c>
      <c r="B1303" s="72">
        <v>37684</v>
      </c>
      <c r="C1303">
        <v>45.92</v>
      </c>
      <c r="D1303">
        <v>45.92</v>
      </c>
    </row>
    <row r="1304" spans="1:4" x14ac:dyDescent="0.45">
      <c r="A1304">
        <v>59184</v>
      </c>
      <c r="B1304" s="72">
        <v>37685</v>
      </c>
      <c r="C1304">
        <v>45.97</v>
      </c>
      <c r="D1304">
        <v>45.97</v>
      </c>
    </row>
    <row r="1305" spans="1:4" x14ac:dyDescent="0.45">
      <c r="A1305">
        <v>59184</v>
      </c>
      <c r="B1305" s="72">
        <v>37686</v>
      </c>
      <c r="C1305">
        <v>46.5</v>
      </c>
      <c r="D1305">
        <v>46.5</v>
      </c>
    </row>
    <row r="1306" spans="1:4" x14ac:dyDescent="0.45">
      <c r="A1306">
        <v>59184</v>
      </c>
      <c r="B1306" s="72">
        <v>37687</v>
      </c>
      <c r="C1306">
        <v>46.93</v>
      </c>
      <c r="D1306">
        <v>46.93</v>
      </c>
    </row>
    <row r="1307" spans="1:4" x14ac:dyDescent="0.45">
      <c r="A1307">
        <v>59184</v>
      </c>
      <c r="B1307" s="72">
        <v>37690</v>
      </c>
      <c r="C1307">
        <v>46.32</v>
      </c>
      <c r="D1307">
        <v>46.32</v>
      </c>
    </row>
    <row r="1308" spans="1:4" x14ac:dyDescent="0.45">
      <c r="A1308">
        <v>59184</v>
      </c>
      <c r="B1308" s="72">
        <v>37691</v>
      </c>
      <c r="C1308">
        <v>46.34</v>
      </c>
      <c r="D1308">
        <v>46.34</v>
      </c>
    </row>
    <row r="1309" spans="1:4" x14ac:dyDescent="0.45">
      <c r="A1309">
        <v>59184</v>
      </c>
      <c r="B1309" s="72">
        <v>37692</v>
      </c>
      <c r="C1309">
        <v>47.08</v>
      </c>
      <c r="D1309">
        <v>47.08</v>
      </c>
    </row>
    <row r="1310" spans="1:4" x14ac:dyDescent="0.45">
      <c r="A1310">
        <v>59184</v>
      </c>
      <c r="B1310" s="72">
        <v>37693</v>
      </c>
      <c r="C1310">
        <v>47.79</v>
      </c>
      <c r="D1310">
        <v>47.79</v>
      </c>
    </row>
    <row r="1311" spans="1:4" x14ac:dyDescent="0.45">
      <c r="A1311">
        <v>59184</v>
      </c>
      <c r="B1311" s="72">
        <v>37694</v>
      </c>
      <c r="C1311">
        <v>47.7</v>
      </c>
      <c r="D1311">
        <v>47.7</v>
      </c>
    </row>
    <row r="1312" spans="1:4" x14ac:dyDescent="0.45">
      <c r="A1312">
        <v>59184</v>
      </c>
      <c r="B1312" s="72">
        <v>37697</v>
      </c>
      <c r="C1312">
        <v>48.83</v>
      </c>
      <c r="D1312">
        <v>48.83</v>
      </c>
    </row>
    <row r="1313" spans="1:4" x14ac:dyDescent="0.45">
      <c r="A1313">
        <v>59184</v>
      </c>
      <c r="B1313" s="72">
        <v>37698</v>
      </c>
      <c r="C1313">
        <v>48.43</v>
      </c>
      <c r="D1313">
        <v>48.43</v>
      </c>
    </row>
    <row r="1314" spans="1:4" x14ac:dyDescent="0.45">
      <c r="A1314">
        <v>59184</v>
      </c>
      <c r="B1314" s="72">
        <v>37699</v>
      </c>
      <c r="C1314">
        <v>48.78</v>
      </c>
      <c r="D1314">
        <v>48.78</v>
      </c>
    </row>
    <row r="1315" spans="1:4" x14ac:dyDescent="0.45">
      <c r="A1315">
        <v>59184</v>
      </c>
      <c r="B1315" s="72">
        <v>37700</v>
      </c>
      <c r="C1315">
        <v>47.97</v>
      </c>
      <c r="D1315">
        <v>47.97</v>
      </c>
    </row>
    <row r="1316" spans="1:4" x14ac:dyDescent="0.45">
      <c r="A1316">
        <v>59184</v>
      </c>
      <c r="B1316" s="72">
        <v>37701</v>
      </c>
      <c r="C1316">
        <v>48.4</v>
      </c>
      <c r="D1316">
        <v>48.4</v>
      </c>
    </row>
    <row r="1317" spans="1:4" x14ac:dyDescent="0.45">
      <c r="A1317">
        <v>59184</v>
      </c>
      <c r="B1317" s="72">
        <v>37704</v>
      </c>
      <c r="C1317">
        <v>47.56</v>
      </c>
      <c r="D1317">
        <v>47.56</v>
      </c>
    </row>
    <row r="1318" spans="1:4" x14ac:dyDescent="0.45">
      <c r="A1318">
        <v>59184</v>
      </c>
      <c r="B1318" s="72">
        <v>37705</v>
      </c>
      <c r="C1318">
        <v>47.58</v>
      </c>
      <c r="D1318">
        <v>47.58</v>
      </c>
    </row>
    <row r="1319" spans="1:4" x14ac:dyDescent="0.45">
      <c r="A1319">
        <v>59184</v>
      </c>
      <c r="B1319" s="72">
        <v>37706</v>
      </c>
      <c r="C1319">
        <v>47.08</v>
      </c>
      <c r="D1319">
        <v>47.08</v>
      </c>
    </row>
    <row r="1320" spans="1:4" x14ac:dyDescent="0.45">
      <c r="A1320">
        <v>59184</v>
      </c>
      <c r="B1320" s="72">
        <v>37707</v>
      </c>
      <c r="C1320">
        <v>46.98</v>
      </c>
      <c r="D1320">
        <v>46.98</v>
      </c>
    </row>
    <row r="1321" spans="1:4" x14ac:dyDescent="0.45">
      <c r="A1321">
        <v>59184</v>
      </c>
      <c r="B1321" s="72">
        <v>37708</v>
      </c>
      <c r="C1321">
        <v>46.81</v>
      </c>
      <c r="D1321">
        <v>46.81</v>
      </c>
    </row>
    <row r="1322" spans="1:4" x14ac:dyDescent="0.45">
      <c r="A1322">
        <v>59184</v>
      </c>
      <c r="B1322" s="72">
        <v>37711</v>
      </c>
      <c r="C1322">
        <v>46.61</v>
      </c>
      <c r="D1322">
        <v>46.61</v>
      </c>
    </row>
    <row r="1323" spans="1:4" x14ac:dyDescent="0.45">
      <c r="A1323">
        <v>59184</v>
      </c>
      <c r="B1323" s="72">
        <v>37712</v>
      </c>
      <c r="C1323">
        <v>46.97</v>
      </c>
      <c r="D1323">
        <v>46.97</v>
      </c>
    </row>
    <row r="1324" spans="1:4" x14ac:dyDescent="0.45">
      <c r="A1324">
        <v>59184</v>
      </c>
      <c r="B1324" s="72">
        <v>37713</v>
      </c>
      <c r="C1324">
        <v>47.45</v>
      </c>
      <c r="D1324">
        <v>47.45</v>
      </c>
    </row>
    <row r="1325" spans="1:4" x14ac:dyDescent="0.45">
      <c r="A1325">
        <v>59184</v>
      </c>
      <c r="B1325" s="72">
        <v>37714</v>
      </c>
      <c r="C1325">
        <v>47.51</v>
      </c>
      <c r="D1325">
        <v>47.51</v>
      </c>
    </row>
    <row r="1326" spans="1:4" x14ac:dyDescent="0.45">
      <c r="A1326">
        <v>59184</v>
      </c>
      <c r="B1326" s="72">
        <v>37715</v>
      </c>
      <c r="C1326">
        <v>48.1</v>
      </c>
      <c r="D1326">
        <v>48.1</v>
      </c>
    </row>
    <row r="1327" spans="1:4" x14ac:dyDescent="0.45">
      <c r="A1327">
        <v>59184</v>
      </c>
      <c r="B1327" s="72">
        <v>37718</v>
      </c>
      <c r="C1327">
        <v>47.67</v>
      </c>
      <c r="D1327">
        <v>47.67</v>
      </c>
    </row>
    <row r="1328" spans="1:4" x14ac:dyDescent="0.45">
      <c r="A1328">
        <v>59184</v>
      </c>
      <c r="B1328" s="72">
        <v>37719</v>
      </c>
      <c r="C1328">
        <v>48.15</v>
      </c>
      <c r="D1328">
        <v>48.15</v>
      </c>
    </row>
    <row r="1329" spans="1:4" x14ac:dyDescent="0.45">
      <c r="A1329">
        <v>59184</v>
      </c>
      <c r="B1329" s="72">
        <v>37720</v>
      </c>
      <c r="C1329">
        <v>46.45</v>
      </c>
      <c r="D1329">
        <v>46.45</v>
      </c>
    </row>
    <row r="1330" spans="1:4" x14ac:dyDescent="0.45">
      <c r="A1330">
        <v>59184</v>
      </c>
      <c r="B1330" s="72">
        <v>37721</v>
      </c>
      <c r="C1330">
        <v>47.26</v>
      </c>
      <c r="D1330">
        <v>47.26</v>
      </c>
    </row>
    <row r="1331" spans="1:4" x14ac:dyDescent="0.45">
      <c r="A1331">
        <v>59184</v>
      </c>
      <c r="B1331" s="72">
        <v>37722</v>
      </c>
      <c r="C1331">
        <v>47.43</v>
      </c>
      <c r="D1331">
        <v>47.43</v>
      </c>
    </row>
    <row r="1332" spans="1:4" x14ac:dyDescent="0.45">
      <c r="A1332">
        <v>59184</v>
      </c>
      <c r="B1332" s="72">
        <v>37725</v>
      </c>
      <c r="C1332">
        <v>48.04</v>
      </c>
      <c r="D1332">
        <v>48.04</v>
      </c>
    </row>
    <row r="1333" spans="1:4" x14ac:dyDescent="0.45">
      <c r="A1333">
        <v>59184</v>
      </c>
      <c r="B1333" s="72">
        <v>37726</v>
      </c>
      <c r="C1333">
        <v>47.92</v>
      </c>
      <c r="D1333">
        <v>47.92</v>
      </c>
    </row>
    <row r="1334" spans="1:4" x14ac:dyDescent="0.45">
      <c r="A1334">
        <v>59184</v>
      </c>
      <c r="B1334" s="72">
        <v>37727</v>
      </c>
      <c r="C1334">
        <v>47.23</v>
      </c>
      <c r="D1334">
        <v>47.23</v>
      </c>
    </row>
    <row r="1335" spans="1:4" x14ac:dyDescent="0.45">
      <c r="A1335">
        <v>59184</v>
      </c>
      <c r="B1335" s="72">
        <v>37728</v>
      </c>
      <c r="C1335">
        <v>48.11</v>
      </c>
      <c r="D1335">
        <v>48.11</v>
      </c>
    </row>
    <row r="1336" spans="1:4" x14ac:dyDescent="0.45">
      <c r="A1336">
        <v>59184</v>
      </c>
      <c r="B1336" s="72">
        <v>37732</v>
      </c>
      <c r="C1336">
        <v>47.82</v>
      </c>
      <c r="D1336">
        <v>47.82</v>
      </c>
    </row>
    <row r="1337" spans="1:4" x14ac:dyDescent="0.45">
      <c r="A1337">
        <v>59184</v>
      </c>
      <c r="B1337" s="72">
        <v>37733</v>
      </c>
      <c r="C1337">
        <v>48.09</v>
      </c>
      <c r="D1337">
        <v>48.09</v>
      </c>
    </row>
    <row r="1338" spans="1:4" x14ac:dyDescent="0.45">
      <c r="A1338">
        <v>59184</v>
      </c>
      <c r="B1338" s="72">
        <v>37734</v>
      </c>
      <c r="C1338">
        <v>48.85</v>
      </c>
      <c r="D1338">
        <v>48.85</v>
      </c>
    </row>
    <row r="1339" spans="1:4" x14ac:dyDescent="0.45">
      <c r="A1339">
        <v>59184</v>
      </c>
      <c r="B1339" s="72">
        <v>37735</v>
      </c>
      <c r="C1339">
        <v>48.01</v>
      </c>
      <c r="D1339">
        <v>48.01</v>
      </c>
    </row>
    <row r="1340" spans="1:4" x14ac:dyDescent="0.45">
      <c r="A1340">
        <v>59184</v>
      </c>
      <c r="B1340" s="72">
        <v>37736</v>
      </c>
      <c r="C1340">
        <v>48.25</v>
      </c>
      <c r="D1340">
        <v>48.25</v>
      </c>
    </row>
    <row r="1341" spans="1:4" x14ac:dyDescent="0.45">
      <c r="A1341">
        <v>59184</v>
      </c>
      <c r="B1341" s="72">
        <v>37739</v>
      </c>
      <c r="C1341">
        <v>49.06</v>
      </c>
      <c r="D1341">
        <v>49.06</v>
      </c>
    </row>
    <row r="1342" spans="1:4" x14ac:dyDescent="0.45">
      <c r="A1342">
        <v>59184</v>
      </c>
      <c r="B1342" s="72">
        <v>37740</v>
      </c>
      <c r="C1342">
        <v>50.25</v>
      </c>
      <c r="D1342">
        <v>50.25</v>
      </c>
    </row>
    <row r="1343" spans="1:4" x14ac:dyDescent="0.45">
      <c r="A1343">
        <v>59184</v>
      </c>
      <c r="B1343" s="72">
        <v>37741</v>
      </c>
      <c r="C1343">
        <v>49.88</v>
      </c>
      <c r="D1343">
        <v>49.88</v>
      </c>
    </row>
    <row r="1344" spans="1:4" x14ac:dyDescent="0.45">
      <c r="A1344">
        <v>59184</v>
      </c>
      <c r="B1344" s="72">
        <v>37742</v>
      </c>
      <c r="C1344">
        <v>49.97</v>
      </c>
      <c r="D1344">
        <v>49.97</v>
      </c>
    </row>
    <row r="1345" spans="1:4" x14ac:dyDescent="0.45">
      <c r="A1345">
        <v>59184</v>
      </c>
      <c r="B1345" s="72">
        <v>37743</v>
      </c>
      <c r="C1345">
        <v>50</v>
      </c>
      <c r="D1345">
        <v>50</v>
      </c>
    </row>
    <row r="1346" spans="1:4" x14ac:dyDescent="0.45">
      <c r="A1346">
        <v>59184</v>
      </c>
      <c r="B1346" s="72">
        <v>37746</v>
      </c>
      <c r="C1346">
        <v>49.84</v>
      </c>
      <c r="D1346">
        <v>49.84</v>
      </c>
    </row>
    <row r="1347" spans="1:4" x14ac:dyDescent="0.45">
      <c r="A1347">
        <v>59184</v>
      </c>
      <c r="B1347" s="72">
        <v>37747</v>
      </c>
      <c r="C1347">
        <v>50.01</v>
      </c>
      <c r="D1347">
        <v>50.01</v>
      </c>
    </row>
    <row r="1348" spans="1:4" x14ac:dyDescent="0.45">
      <c r="A1348">
        <v>59184</v>
      </c>
      <c r="B1348" s="72">
        <v>37748</v>
      </c>
      <c r="C1348">
        <v>49.86</v>
      </c>
      <c r="D1348">
        <v>49.86</v>
      </c>
    </row>
    <row r="1349" spans="1:4" x14ac:dyDescent="0.45">
      <c r="A1349">
        <v>59184</v>
      </c>
      <c r="B1349" s="72">
        <v>37749</v>
      </c>
      <c r="C1349">
        <v>49.9</v>
      </c>
      <c r="D1349">
        <v>49.9</v>
      </c>
    </row>
    <row r="1350" spans="1:4" x14ac:dyDescent="0.45">
      <c r="A1350">
        <v>59184</v>
      </c>
      <c r="B1350" s="72">
        <v>37750</v>
      </c>
      <c r="C1350">
        <v>50.61</v>
      </c>
      <c r="D1350">
        <v>50.61</v>
      </c>
    </row>
    <row r="1351" spans="1:4" x14ac:dyDescent="0.45">
      <c r="A1351">
        <v>59184</v>
      </c>
      <c r="B1351" s="72">
        <v>37753</v>
      </c>
      <c r="C1351">
        <v>51.2</v>
      </c>
      <c r="D1351">
        <v>51.2</v>
      </c>
    </row>
    <row r="1352" spans="1:4" x14ac:dyDescent="0.45">
      <c r="A1352">
        <v>59184</v>
      </c>
      <c r="B1352" s="72">
        <v>37754</v>
      </c>
      <c r="C1352">
        <v>50.85</v>
      </c>
      <c r="D1352">
        <v>50.85</v>
      </c>
    </row>
    <row r="1353" spans="1:4" x14ac:dyDescent="0.45">
      <c r="A1353">
        <v>59184</v>
      </c>
      <c r="B1353" s="72">
        <v>37755</v>
      </c>
      <c r="C1353">
        <v>51.16</v>
      </c>
      <c r="D1353">
        <v>51.16</v>
      </c>
    </row>
    <row r="1354" spans="1:4" x14ac:dyDescent="0.45">
      <c r="A1354">
        <v>59184</v>
      </c>
      <c r="B1354" s="72">
        <v>37756</v>
      </c>
      <c r="C1354">
        <v>51.51</v>
      </c>
      <c r="D1354">
        <v>51.51</v>
      </c>
    </row>
    <row r="1355" spans="1:4" x14ac:dyDescent="0.45">
      <c r="A1355">
        <v>59184</v>
      </c>
      <c r="B1355" s="72">
        <v>37757</v>
      </c>
      <c r="C1355">
        <v>51.74</v>
      </c>
      <c r="D1355">
        <v>51.74</v>
      </c>
    </row>
    <row r="1356" spans="1:4" x14ac:dyDescent="0.45">
      <c r="A1356">
        <v>59184</v>
      </c>
      <c r="B1356" s="72">
        <v>37760</v>
      </c>
      <c r="C1356">
        <v>51.76</v>
      </c>
      <c r="D1356">
        <v>51.76</v>
      </c>
    </row>
    <row r="1357" spans="1:4" x14ac:dyDescent="0.45">
      <c r="A1357">
        <v>59184</v>
      </c>
      <c r="B1357" s="72">
        <v>37761</v>
      </c>
      <c r="C1357">
        <v>51.82</v>
      </c>
      <c r="D1357">
        <v>51.82</v>
      </c>
    </row>
    <row r="1358" spans="1:4" x14ac:dyDescent="0.45">
      <c r="A1358">
        <v>59184</v>
      </c>
      <c r="B1358" s="72">
        <v>37762</v>
      </c>
      <c r="C1358">
        <v>51.49</v>
      </c>
      <c r="D1358">
        <v>51.49</v>
      </c>
    </row>
    <row r="1359" spans="1:4" x14ac:dyDescent="0.45">
      <c r="A1359">
        <v>59184</v>
      </c>
      <c r="B1359" s="72">
        <v>37763</v>
      </c>
      <c r="C1359">
        <v>51.87</v>
      </c>
      <c r="D1359">
        <v>51.87</v>
      </c>
    </row>
    <row r="1360" spans="1:4" x14ac:dyDescent="0.45">
      <c r="A1360">
        <v>59184</v>
      </c>
      <c r="B1360" s="72">
        <v>37764</v>
      </c>
      <c r="C1360">
        <v>52.47</v>
      </c>
      <c r="D1360">
        <v>52.47</v>
      </c>
    </row>
    <row r="1361" spans="1:4" x14ac:dyDescent="0.45">
      <c r="A1361">
        <v>59184</v>
      </c>
      <c r="B1361" s="72">
        <v>37768</v>
      </c>
      <c r="C1361">
        <v>52.3</v>
      </c>
      <c r="D1361">
        <v>52.3</v>
      </c>
    </row>
    <row r="1362" spans="1:4" x14ac:dyDescent="0.45">
      <c r="A1362">
        <v>59184</v>
      </c>
      <c r="B1362" s="72">
        <v>37769</v>
      </c>
      <c r="C1362">
        <v>52.3</v>
      </c>
      <c r="D1362">
        <v>52.3</v>
      </c>
    </row>
    <row r="1363" spans="1:4" x14ac:dyDescent="0.45">
      <c r="A1363">
        <v>59184</v>
      </c>
      <c r="B1363" s="72">
        <v>37770</v>
      </c>
      <c r="C1363">
        <v>52.64</v>
      </c>
      <c r="D1363">
        <v>52.64</v>
      </c>
    </row>
    <row r="1364" spans="1:4" x14ac:dyDescent="0.45">
      <c r="A1364">
        <v>59184</v>
      </c>
      <c r="B1364" s="72">
        <v>37771</v>
      </c>
      <c r="C1364">
        <v>52.63</v>
      </c>
      <c r="D1364">
        <v>52.63</v>
      </c>
    </row>
    <row r="1365" spans="1:4" x14ac:dyDescent="0.45">
      <c r="A1365">
        <v>59184</v>
      </c>
      <c r="B1365" s="72">
        <v>37774</v>
      </c>
      <c r="C1365">
        <v>52.99</v>
      </c>
      <c r="D1365">
        <v>52.99</v>
      </c>
    </row>
    <row r="1366" spans="1:4" x14ac:dyDescent="0.45">
      <c r="A1366">
        <v>59184</v>
      </c>
      <c r="B1366" s="72">
        <v>37775</v>
      </c>
      <c r="C1366">
        <v>52.99</v>
      </c>
      <c r="D1366">
        <v>52.99</v>
      </c>
    </row>
    <row r="1367" spans="1:4" x14ac:dyDescent="0.45">
      <c r="A1367">
        <v>59184</v>
      </c>
      <c r="B1367" s="72">
        <v>37776</v>
      </c>
      <c r="C1367">
        <v>53.08</v>
      </c>
      <c r="D1367">
        <v>53.08</v>
      </c>
    </row>
    <row r="1368" spans="1:4" x14ac:dyDescent="0.45">
      <c r="A1368">
        <v>59184</v>
      </c>
      <c r="B1368" s="72">
        <v>37777</v>
      </c>
      <c r="C1368">
        <v>52.69</v>
      </c>
      <c r="D1368">
        <v>52.69</v>
      </c>
    </row>
    <row r="1369" spans="1:4" x14ac:dyDescent="0.45">
      <c r="A1369">
        <v>59184</v>
      </c>
      <c r="B1369" s="72">
        <v>37778</v>
      </c>
      <c r="C1369">
        <v>52.63</v>
      </c>
      <c r="D1369">
        <v>52.63</v>
      </c>
    </row>
    <row r="1370" spans="1:4" x14ac:dyDescent="0.45">
      <c r="A1370">
        <v>59184</v>
      </c>
      <c r="B1370" s="72">
        <v>37781</v>
      </c>
      <c r="C1370">
        <v>52.51</v>
      </c>
      <c r="D1370">
        <v>52.51</v>
      </c>
    </row>
    <row r="1371" spans="1:4" x14ac:dyDescent="0.45">
      <c r="A1371">
        <v>59184</v>
      </c>
      <c r="B1371" s="72">
        <v>37782</v>
      </c>
      <c r="C1371">
        <v>53</v>
      </c>
      <c r="D1371">
        <v>53</v>
      </c>
    </row>
    <row r="1372" spans="1:4" x14ac:dyDescent="0.45">
      <c r="A1372">
        <v>59184</v>
      </c>
      <c r="B1372" s="72">
        <v>37783</v>
      </c>
      <c r="C1372">
        <v>53.25</v>
      </c>
      <c r="D1372">
        <v>53.25</v>
      </c>
    </row>
    <row r="1373" spans="1:4" x14ac:dyDescent="0.45">
      <c r="A1373">
        <v>59184</v>
      </c>
      <c r="B1373" s="72">
        <v>37784</v>
      </c>
      <c r="C1373">
        <v>52.99</v>
      </c>
      <c r="D1373">
        <v>52.99</v>
      </c>
    </row>
    <row r="1374" spans="1:4" x14ac:dyDescent="0.45">
      <c r="A1374">
        <v>59184</v>
      </c>
      <c r="B1374" s="72">
        <v>37785</v>
      </c>
      <c r="C1374">
        <v>53.31</v>
      </c>
      <c r="D1374">
        <v>53.31</v>
      </c>
    </row>
    <row r="1375" spans="1:4" x14ac:dyDescent="0.45">
      <c r="A1375">
        <v>59184</v>
      </c>
      <c r="B1375" s="72">
        <v>37788</v>
      </c>
      <c r="C1375">
        <v>53.69</v>
      </c>
      <c r="D1375">
        <v>53.69</v>
      </c>
    </row>
    <row r="1376" spans="1:4" x14ac:dyDescent="0.45">
      <c r="A1376">
        <v>59184</v>
      </c>
      <c r="B1376" s="72">
        <v>37789</v>
      </c>
      <c r="C1376">
        <v>53.39</v>
      </c>
      <c r="D1376">
        <v>53.39</v>
      </c>
    </row>
    <row r="1377" spans="1:4" x14ac:dyDescent="0.45">
      <c r="A1377">
        <v>59184</v>
      </c>
      <c r="B1377" s="72">
        <v>37790</v>
      </c>
      <c r="C1377">
        <v>53.54</v>
      </c>
      <c r="D1377">
        <v>53.54</v>
      </c>
    </row>
    <row r="1378" spans="1:4" x14ac:dyDescent="0.45">
      <c r="A1378">
        <v>59184</v>
      </c>
      <c r="B1378" s="72">
        <v>37791</v>
      </c>
      <c r="C1378">
        <v>52.4</v>
      </c>
      <c r="D1378">
        <v>52.4</v>
      </c>
    </row>
    <row r="1379" spans="1:4" x14ac:dyDescent="0.45">
      <c r="A1379">
        <v>59184</v>
      </c>
      <c r="B1379" s="72">
        <v>37792</v>
      </c>
      <c r="C1379">
        <v>51.35</v>
      </c>
      <c r="D1379">
        <v>51.35</v>
      </c>
    </row>
    <row r="1380" spans="1:4" x14ac:dyDescent="0.45">
      <c r="A1380">
        <v>59184</v>
      </c>
      <c r="B1380" s="72">
        <v>37795</v>
      </c>
      <c r="C1380">
        <v>50.69</v>
      </c>
      <c r="D1380">
        <v>50.69</v>
      </c>
    </row>
    <row r="1381" spans="1:4" x14ac:dyDescent="0.45">
      <c r="A1381">
        <v>59184</v>
      </c>
      <c r="B1381" s="72">
        <v>37796</v>
      </c>
      <c r="C1381">
        <v>50.85</v>
      </c>
      <c r="D1381">
        <v>50.85</v>
      </c>
    </row>
    <row r="1382" spans="1:4" x14ac:dyDescent="0.45">
      <c r="A1382">
        <v>59184</v>
      </c>
      <c r="B1382" s="72">
        <v>37797</v>
      </c>
      <c r="C1382">
        <v>50.4</v>
      </c>
      <c r="D1382">
        <v>50.4</v>
      </c>
    </row>
    <row r="1383" spans="1:4" x14ac:dyDescent="0.45">
      <c r="A1383">
        <v>59184</v>
      </c>
      <c r="B1383" s="72">
        <v>37798</v>
      </c>
      <c r="C1383">
        <v>51.12</v>
      </c>
      <c r="D1383">
        <v>51.12</v>
      </c>
    </row>
    <row r="1384" spans="1:4" x14ac:dyDescent="0.45">
      <c r="A1384">
        <v>59184</v>
      </c>
      <c r="B1384" s="72">
        <v>37799</v>
      </c>
      <c r="C1384">
        <v>50.98</v>
      </c>
      <c r="D1384">
        <v>50.98</v>
      </c>
    </row>
    <row r="1385" spans="1:4" x14ac:dyDescent="0.45">
      <c r="A1385">
        <v>59184</v>
      </c>
      <c r="B1385" s="72">
        <v>37802</v>
      </c>
      <c r="C1385">
        <v>51.05</v>
      </c>
      <c r="D1385">
        <v>51.05</v>
      </c>
    </row>
    <row r="1386" spans="1:4" x14ac:dyDescent="0.45">
      <c r="A1386">
        <v>59184</v>
      </c>
      <c r="B1386" s="72">
        <v>37803</v>
      </c>
      <c r="C1386">
        <v>51.24</v>
      </c>
      <c r="D1386">
        <v>51.24</v>
      </c>
    </row>
    <row r="1387" spans="1:4" x14ac:dyDescent="0.45">
      <c r="A1387">
        <v>59184</v>
      </c>
      <c r="B1387" s="72">
        <v>37804</v>
      </c>
      <c r="C1387">
        <v>51.6</v>
      </c>
      <c r="D1387">
        <v>51.6</v>
      </c>
    </row>
    <row r="1388" spans="1:4" x14ac:dyDescent="0.45">
      <c r="A1388">
        <v>59184</v>
      </c>
      <c r="B1388" s="72">
        <v>37805</v>
      </c>
      <c r="C1388">
        <v>51.4</v>
      </c>
      <c r="D1388">
        <v>51.4</v>
      </c>
    </row>
    <row r="1389" spans="1:4" x14ac:dyDescent="0.45">
      <c r="A1389">
        <v>59184</v>
      </c>
      <c r="B1389" s="72">
        <v>37809</v>
      </c>
      <c r="C1389">
        <v>51.47</v>
      </c>
      <c r="D1389">
        <v>51.47</v>
      </c>
    </row>
    <row r="1390" spans="1:4" x14ac:dyDescent="0.45">
      <c r="A1390">
        <v>59184</v>
      </c>
      <c r="B1390" s="72">
        <v>37810</v>
      </c>
      <c r="C1390">
        <v>51</v>
      </c>
      <c r="D1390">
        <v>51</v>
      </c>
    </row>
    <row r="1391" spans="1:4" x14ac:dyDescent="0.45">
      <c r="A1391">
        <v>59184</v>
      </c>
      <c r="B1391" s="72">
        <v>37811</v>
      </c>
      <c r="C1391">
        <v>51.07</v>
      </c>
      <c r="D1391">
        <v>51.07</v>
      </c>
    </row>
    <row r="1392" spans="1:4" x14ac:dyDescent="0.45">
      <c r="A1392">
        <v>59184</v>
      </c>
      <c r="B1392" s="72">
        <v>37812</v>
      </c>
      <c r="C1392">
        <v>51.34</v>
      </c>
      <c r="D1392">
        <v>51.34</v>
      </c>
    </row>
    <row r="1393" spans="1:4" x14ac:dyDescent="0.45">
      <c r="A1393">
        <v>59184</v>
      </c>
      <c r="B1393" s="72">
        <v>37813</v>
      </c>
      <c r="C1393">
        <v>51.3</v>
      </c>
      <c r="D1393">
        <v>51.3</v>
      </c>
    </row>
    <row r="1394" spans="1:4" x14ac:dyDescent="0.45">
      <c r="A1394">
        <v>59184</v>
      </c>
      <c r="B1394" s="72">
        <v>37816</v>
      </c>
      <c r="C1394">
        <v>50.33</v>
      </c>
      <c r="D1394">
        <v>50.33</v>
      </c>
    </row>
    <row r="1395" spans="1:4" x14ac:dyDescent="0.45">
      <c r="A1395">
        <v>59184</v>
      </c>
      <c r="B1395" s="72">
        <v>37817</v>
      </c>
      <c r="C1395">
        <v>50.81</v>
      </c>
      <c r="D1395">
        <v>50.81</v>
      </c>
    </row>
    <row r="1396" spans="1:4" x14ac:dyDescent="0.45">
      <c r="A1396">
        <v>59184</v>
      </c>
      <c r="B1396" s="72">
        <v>37818</v>
      </c>
      <c r="C1396">
        <v>51.28</v>
      </c>
      <c r="D1396">
        <v>51.28</v>
      </c>
    </row>
    <row r="1397" spans="1:4" x14ac:dyDescent="0.45">
      <c r="A1397">
        <v>59184</v>
      </c>
      <c r="B1397" s="72">
        <v>37819</v>
      </c>
      <c r="C1397">
        <v>50.93</v>
      </c>
      <c r="D1397">
        <v>50.93</v>
      </c>
    </row>
    <row r="1398" spans="1:4" x14ac:dyDescent="0.45">
      <c r="A1398">
        <v>59184</v>
      </c>
      <c r="B1398" s="72">
        <v>37820</v>
      </c>
      <c r="C1398">
        <v>51.47</v>
      </c>
      <c r="D1398">
        <v>51.47</v>
      </c>
    </row>
    <row r="1399" spans="1:4" x14ac:dyDescent="0.45">
      <c r="A1399">
        <v>59184</v>
      </c>
      <c r="B1399" s="72">
        <v>37823</v>
      </c>
      <c r="C1399">
        <v>51.2</v>
      </c>
      <c r="D1399">
        <v>51.2</v>
      </c>
    </row>
    <row r="1400" spans="1:4" x14ac:dyDescent="0.45">
      <c r="A1400">
        <v>59184</v>
      </c>
      <c r="B1400" s="72">
        <v>37824</v>
      </c>
      <c r="C1400">
        <v>51.54</v>
      </c>
      <c r="D1400">
        <v>51.54</v>
      </c>
    </row>
    <row r="1401" spans="1:4" x14ac:dyDescent="0.45">
      <c r="A1401">
        <v>59184</v>
      </c>
      <c r="B1401" s="72">
        <v>37825</v>
      </c>
      <c r="C1401">
        <v>51.1</v>
      </c>
      <c r="D1401">
        <v>51.1</v>
      </c>
    </row>
    <row r="1402" spans="1:4" x14ac:dyDescent="0.45">
      <c r="A1402">
        <v>59184</v>
      </c>
      <c r="B1402" s="72">
        <v>37826</v>
      </c>
      <c r="C1402">
        <v>51.08</v>
      </c>
      <c r="D1402">
        <v>51.08</v>
      </c>
    </row>
    <row r="1403" spans="1:4" x14ac:dyDescent="0.45">
      <c r="A1403">
        <v>59184</v>
      </c>
      <c r="B1403" s="72">
        <v>37827</v>
      </c>
      <c r="C1403">
        <v>52.19</v>
      </c>
      <c r="D1403">
        <v>52.19</v>
      </c>
    </row>
    <row r="1404" spans="1:4" x14ac:dyDescent="0.45">
      <c r="A1404">
        <v>59184</v>
      </c>
      <c r="B1404" s="72">
        <v>37830</v>
      </c>
      <c r="C1404">
        <v>52.16</v>
      </c>
      <c r="D1404">
        <v>52.16</v>
      </c>
    </row>
    <row r="1405" spans="1:4" x14ac:dyDescent="0.45">
      <c r="A1405">
        <v>59184</v>
      </c>
      <c r="B1405" s="72">
        <v>37831</v>
      </c>
      <c r="C1405">
        <v>51.68</v>
      </c>
      <c r="D1405">
        <v>51.68</v>
      </c>
    </row>
    <row r="1406" spans="1:4" x14ac:dyDescent="0.45">
      <c r="A1406">
        <v>59184</v>
      </c>
      <c r="B1406" s="72">
        <v>37832</v>
      </c>
      <c r="C1406">
        <v>52</v>
      </c>
      <c r="D1406">
        <v>52</v>
      </c>
    </row>
    <row r="1407" spans="1:4" x14ac:dyDescent="0.45">
      <c r="A1407">
        <v>59184</v>
      </c>
      <c r="B1407" s="72">
        <v>37833</v>
      </c>
      <c r="C1407">
        <v>51.82</v>
      </c>
      <c r="D1407">
        <v>51.82</v>
      </c>
    </row>
    <row r="1408" spans="1:4" x14ac:dyDescent="0.45">
      <c r="A1408">
        <v>59184</v>
      </c>
      <c r="B1408" s="72">
        <v>37834</v>
      </c>
      <c r="C1408">
        <v>51.34</v>
      </c>
      <c r="D1408">
        <v>51.34</v>
      </c>
    </row>
    <row r="1409" spans="1:4" x14ac:dyDescent="0.45">
      <c r="A1409">
        <v>59184</v>
      </c>
      <c r="B1409" s="72">
        <v>37837</v>
      </c>
      <c r="C1409">
        <v>51.88</v>
      </c>
      <c r="D1409">
        <v>51.88</v>
      </c>
    </row>
    <row r="1410" spans="1:4" x14ac:dyDescent="0.45">
      <c r="A1410">
        <v>59184</v>
      </c>
      <c r="B1410" s="72">
        <v>37838</v>
      </c>
      <c r="C1410">
        <v>51</v>
      </c>
      <c r="D1410">
        <v>51</v>
      </c>
    </row>
    <row r="1411" spans="1:4" x14ac:dyDescent="0.45">
      <c r="A1411">
        <v>59184</v>
      </c>
      <c r="B1411" s="72">
        <v>37839</v>
      </c>
      <c r="C1411">
        <v>51.23</v>
      </c>
      <c r="D1411">
        <v>51.23</v>
      </c>
    </row>
    <row r="1412" spans="1:4" x14ac:dyDescent="0.45">
      <c r="A1412">
        <v>59184</v>
      </c>
      <c r="B1412" s="72">
        <v>37840</v>
      </c>
      <c r="C1412">
        <v>51.65</v>
      </c>
      <c r="D1412">
        <v>51.65</v>
      </c>
    </row>
    <row r="1413" spans="1:4" x14ac:dyDescent="0.45">
      <c r="A1413">
        <v>59184</v>
      </c>
      <c r="B1413" s="72">
        <v>37841</v>
      </c>
      <c r="C1413">
        <v>52</v>
      </c>
      <c r="D1413">
        <v>52</v>
      </c>
    </row>
    <row r="1414" spans="1:4" x14ac:dyDescent="0.45">
      <c r="A1414">
        <v>59184</v>
      </c>
      <c r="B1414" s="72">
        <v>37844</v>
      </c>
      <c r="C1414">
        <v>52.13</v>
      </c>
      <c r="D1414">
        <v>52.13</v>
      </c>
    </row>
    <row r="1415" spans="1:4" x14ac:dyDescent="0.45">
      <c r="A1415">
        <v>59184</v>
      </c>
      <c r="B1415" s="72">
        <v>37845</v>
      </c>
      <c r="C1415">
        <v>52.11</v>
      </c>
      <c r="D1415">
        <v>52.11</v>
      </c>
    </row>
    <row r="1416" spans="1:4" x14ac:dyDescent="0.45">
      <c r="A1416">
        <v>59184</v>
      </c>
      <c r="B1416" s="72">
        <v>37846</v>
      </c>
      <c r="C1416">
        <v>51.91</v>
      </c>
      <c r="D1416">
        <v>51.91</v>
      </c>
    </row>
    <row r="1417" spans="1:4" x14ac:dyDescent="0.45">
      <c r="A1417">
        <v>59184</v>
      </c>
      <c r="B1417" s="72">
        <v>37847</v>
      </c>
      <c r="C1417">
        <v>51.87</v>
      </c>
      <c r="D1417">
        <v>51.87</v>
      </c>
    </row>
    <row r="1418" spans="1:4" x14ac:dyDescent="0.45">
      <c r="A1418">
        <v>59184</v>
      </c>
      <c r="B1418" s="72">
        <v>37848</v>
      </c>
      <c r="C1418">
        <v>51.83</v>
      </c>
      <c r="D1418">
        <v>51.83</v>
      </c>
    </row>
    <row r="1419" spans="1:4" x14ac:dyDescent="0.45">
      <c r="A1419">
        <v>59184</v>
      </c>
      <c r="B1419" s="72">
        <v>37851</v>
      </c>
      <c r="C1419">
        <v>52.13</v>
      </c>
      <c r="D1419">
        <v>52.13</v>
      </c>
    </row>
    <row r="1420" spans="1:4" x14ac:dyDescent="0.45">
      <c r="A1420">
        <v>59184</v>
      </c>
      <c r="B1420" s="72">
        <v>37852</v>
      </c>
      <c r="C1420">
        <v>51.49</v>
      </c>
      <c r="D1420">
        <v>51.49</v>
      </c>
    </row>
    <row r="1421" spans="1:4" x14ac:dyDescent="0.45">
      <c r="A1421">
        <v>59184</v>
      </c>
      <c r="B1421" s="72">
        <v>37853</v>
      </c>
      <c r="C1421">
        <v>51.01</v>
      </c>
      <c r="D1421">
        <v>51.01</v>
      </c>
    </row>
    <row r="1422" spans="1:4" x14ac:dyDescent="0.45">
      <c r="A1422">
        <v>59184</v>
      </c>
      <c r="B1422" s="72">
        <v>37854</v>
      </c>
      <c r="C1422">
        <v>50.83</v>
      </c>
      <c r="D1422">
        <v>50.83</v>
      </c>
    </row>
    <row r="1423" spans="1:4" x14ac:dyDescent="0.45">
      <c r="A1423">
        <v>59184</v>
      </c>
      <c r="B1423" s="72">
        <v>37855</v>
      </c>
      <c r="C1423">
        <v>50.48</v>
      </c>
      <c r="D1423">
        <v>50.48</v>
      </c>
    </row>
    <row r="1424" spans="1:4" x14ac:dyDescent="0.45">
      <c r="A1424">
        <v>59184</v>
      </c>
      <c r="B1424" s="72">
        <v>37858</v>
      </c>
      <c r="C1424">
        <v>50.68</v>
      </c>
      <c r="D1424">
        <v>50.68</v>
      </c>
    </row>
    <row r="1425" spans="1:4" x14ac:dyDescent="0.45">
      <c r="A1425">
        <v>59184</v>
      </c>
      <c r="B1425" s="72">
        <v>37859</v>
      </c>
      <c r="C1425">
        <v>50.58</v>
      </c>
      <c r="D1425">
        <v>50.58</v>
      </c>
    </row>
    <row r="1426" spans="1:4" x14ac:dyDescent="0.45">
      <c r="A1426">
        <v>59184</v>
      </c>
      <c r="B1426" s="72">
        <v>37860</v>
      </c>
      <c r="C1426">
        <v>50.85</v>
      </c>
      <c r="D1426">
        <v>50.85</v>
      </c>
    </row>
    <row r="1427" spans="1:4" x14ac:dyDescent="0.45">
      <c r="A1427">
        <v>59184</v>
      </c>
      <c r="B1427" s="72">
        <v>37861</v>
      </c>
      <c r="C1427">
        <v>50.98</v>
      </c>
      <c r="D1427">
        <v>50.98</v>
      </c>
    </row>
    <row r="1428" spans="1:4" x14ac:dyDescent="0.45">
      <c r="A1428">
        <v>59184</v>
      </c>
      <c r="B1428" s="72">
        <v>37862</v>
      </c>
      <c r="C1428">
        <v>51.54</v>
      </c>
      <c r="D1428">
        <v>51.54</v>
      </c>
    </row>
    <row r="1429" spans="1:4" x14ac:dyDescent="0.45">
      <c r="A1429">
        <v>59184</v>
      </c>
      <c r="B1429" s="72">
        <v>37866</v>
      </c>
      <c r="C1429">
        <v>52.26</v>
      </c>
      <c r="D1429">
        <v>52.26</v>
      </c>
    </row>
    <row r="1430" spans="1:4" x14ac:dyDescent="0.45">
      <c r="A1430">
        <v>59184</v>
      </c>
      <c r="B1430" s="72">
        <v>37867</v>
      </c>
      <c r="C1430">
        <v>52.29</v>
      </c>
      <c r="D1430">
        <v>52.29</v>
      </c>
    </row>
    <row r="1431" spans="1:4" x14ac:dyDescent="0.45">
      <c r="A1431">
        <v>59184</v>
      </c>
      <c r="B1431" s="72">
        <v>37868</v>
      </c>
      <c r="C1431">
        <v>52.15</v>
      </c>
      <c r="D1431">
        <v>52.15</v>
      </c>
    </row>
    <row r="1432" spans="1:4" x14ac:dyDescent="0.45">
      <c r="A1432">
        <v>59184</v>
      </c>
      <c r="B1432" s="72">
        <v>37869</v>
      </c>
      <c r="C1432">
        <v>51.63</v>
      </c>
      <c r="D1432">
        <v>51.63</v>
      </c>
    </row>
    <row r="1433" spans="1:4" x14ac:dyDescent="0.45">
      <c r="A1433">
        <v>59184</v>
      </c>
      <c r="B1433" s="72">
        <v>37872</v>
      </c>
      <c r="C1433">
        <v>51.37</v>
      </c>
      <c r="D1433">
        <v>51.37</v>
      </c>
    </row>
    <row r="1434" spans="1:4" x14ac:dyDescent="0.45">
      <c r="A1434">
        <v>59184</v>
      </c>
      <c r="B1434" s="72">
        <v>37873</v>
      </c>
      <c r="C1434">
        <v>50.71</v>
      </c>
      <c r="D1434">
        <v>50.71</v>
      </c>
    </row>
    <row r="1435" spans="1:4" x14ac:dyDescent="0.45">
      <c r="A1435">
        <v>59184</v>
      </c>
      <c r="B1435" s="72">
        <v>37874</v>
      </c>
      <c r="C1435">
        <v>51.02</v>
      </c>
      <c r="D1435">
        <v>51.02</v>
      </c>
    </row>
    <row r="1436" spans="1:4" x14ac:dyDescent="0.45">
      <c r="A1436">
        <v>59184</v>
      </c>
      <c r="B1436" s="72">
        <v>37875</v>
      </c>
      <c r="C1436">
        <v>50.93</v>
      </c>
      <c r="D1436">
        <v>50.93</v>
      </c>
    </row>
    <row r="1437" spans="1:4" x14ac:dyDescent="0.45">
      <c r="A1437">
        <v>59184</v>
      </c>
      <c r="B1437" s="72">
        <v>37876</v>
      </c>
      <c r="C1437">
        <v>51.15</v>
      </c>
      <c r="D1437">
        <v>51.15</v>
      </c>
    </row>
    <row r="1438" spans="1:4" x14ac:dyDescent="0.45">
      <c r="A1438">
        <v>59184</v>
      </c>
      <c r="B1438" s="72">
        <v>37879</v>
      </c>
      <c r="C1438">
        <v>51.49</v>
      </c>
      <c r="D1438">
        <v>51.49</v>
      </c>
    </row>
    <row r="1439" spans="1:4" x14ac:dyDescent="0.45">
      <c r="A1439">
        <v>59184</v>
      </c>
      <c r="B1439" s="72">
        <v>37880</v>
      </c>
      <c r="C1439">
        <v>51.61</v>
      </c>
      <c r="D1439">
        <v>51.61</v>
      </c>
    </row>
    <row r="1440" spans="1:4" x14ac:dyDescent="0.45">
      <c r="A1440">
        <v>59184</v>
      </c>
      <c r="B1440" s="72">
        <v>37881</v>
      </c>
      <c r="C1440">
        <v>51.11</v>
      </c>
      <c r="D1440">
        <v>51.11</v>
      </c>
    </row>
    <row r="1441" spans="1:4" x14ac:dyDescent="0.45">
      <c r="A1441">
        <v>59184</v>
      </c>
      <c r="B1441" s="72">
        <v>37882</v>
      </c>
      <c r="C1441">
        <v>51.4</v>
      </c>
      <c r="D1441">
        <v>51.4</v>
      </c>
    </row>
    <row r="1442" spans="1:4" x14ac:dyDescent="0.45">
      <c r="A1442">
        <v>59184</v>
      </c>
      <c r="B1442" s="72">
        <v>37883</v>
      </c>
      <c r="C1442">
        <v>51.1</v>
      </c>
      <c r="D1442">
        <v>51.1</v>
      </c>
    </row>
    <row r="1443" spans="1:4" x14ac:dyDescent="0.45">
      <c r="A1443">
        <v>59184</v>
      </c>
      <c r="B1443" s="72">
        <v>37886</v>
      </c>
      <c r="C1443">
        <v>50.5</v>
      </c>
      <c r="D1443">
        <v>50.5</v>
      </c>
    </row>
    <row r="1444" spans="1:4" x14ac:dyDescent="0.45">
      <c r="A1444">
        <v>59184</v>
      </c>
      <c r="B1444" s="72">
        <v>37887</v>
      </c>
      <c r="C1444">
        <v>50.8</v>
      </c>
      <c r="D1444">
        <v>50.8</v>
      </c>
    </row>
    <row r="1445" spans="1:4" x14ac:dyDescent="0.45">
      <c r="A1445">
        <v>59184</v>
      </c>
      <c r="B1445" s="72">
        <v>37888</v>
      </c>
      <c r="C1445">
        <v>50.72</v>
      </c>
      <c r="D1445">
        <v>50.72</v>
      </c>
    </row>
    <row r="1446" spans="1:4" x14ac:dyDescent="0.45">
      <c r="A1446">
        <v>59184</v>
      </c>
      <c r="B1446" s="72">
        <v>37889</v>
      </c>
      <c r="C1446">
        <v>50.94</v>
      </c>
      <c r="D1446">
        <v>50.94</v>
      </c>
    </row>
    <row r="1447" spans="1:4" x14ac:dyDescent="0.45">
      <c r="A1447">
        <v>59184</v>
      </c>
      <c r="B1447" s="72">
        <v>37890</v>
      </c>
      <c r="C1447">
        <v>49.92</v>
      </c>
      <c r="D1447">
        <v>49.92</v>
      </c>
    </row>
    <row r="1448" spans="1:4" x14ac:dyDescent="0.45">
      <c r="A1448">
        <v>59184</v>
      </c>
      <c r="B1448" s="72">
        <v>37893</v>
      </c>
      <c r="C1448">
        <v>50.27</v>
      </c>
      <c r="D1448">
        <v>50.27</v>
      </c>
    </row>
    <row r="1449" spans="1:4" x14ac:dyDescent="0.45">
      <c r="A1449">
        <v>59184</v>
      </c>
      <c r="B1449" s="72">
        <v>37894</v>
      </c>
      <c r="C1449">
        <v>49.34</v>
      </c>
      <c r="D1449">
        <v>49.34</v>
      </c>
    </row>
    <row r="1450" spans="1:4" x14ac:dyDescent="0.45">
      <c r="A1450">
        <v>59184</v>
      </c>
      <c r="B1450" s="72">
        <v>37895</v>
      </c>
      <c r="C1450">
        <v>51</v>
      </c>
      <c r="D1450">
        <v>51</v>
      </c>
    </row>
    <row r="1451" spans="1:4" x14ac:dyDescent="0.45">
      <c r="A1451">
        <v>59184</v>
      </c>
      <c r="B1451" s="72">
        <v>37896</v>
      </c>
      <c r="C1451">
        <v>50.56</v>
      </c>
      <c r="D1451">
        <v>50.56</v>
      </c>
    </row>
    <row r="1452" spans="1:4" x14ac:dyDescent="0.45">
      <c r="A1452">
        <v>59184</v>
      </c>
      <c r="B1452" s="72">
        <v>37897</v>
      </c>
      <c r="C1452">
        <v>50.4</v>
      </c>
      <c r="D1452">
        <v>50.4</v>
      </c>
    </row>
    <row r="1453" spans="1:4" x14ac:dyDescent="0.45">
      <c r="A1453">
        <v>59184</v>
      </c>
      <c r="B1453" s="72">
        <v>37900</v>
      </c>
      <c r="C1453">
        <v>50.96</v>
      </c>
      <c r="D1453">
        <v>50.96</v>
      </c>
    </row>
    <row r="1454" spans="1:4" x14ac:dyDescent="0.45">
      <c r="A1454">
        <v>59184</v>
      </c>
      <c r="B1454" s="72">
        <v>37901</v>
      </c>
      <c r="C1454">
        <v>50.95</v>
      </c>
      <c r="D1454">
        <v>50.95</v>
      </c>
    </row>
    <row r="1455" spans="1:4" x14ac:dyDescent="0.45">
      <c r="A1455">
        <v>59184</v>
      </c>
      <c r="B1455" s="72">
        <v>37902</v>
      </c>
      <c r="C1455">
        <v>50.55</v>
      </c>
      <c r="D1455">
        <v>50.55</v>
      </c>
    </row>
    <row r="1456" spans="1:4" x14ac:dyDescent="0.45">
      <c r="A1456">
        <v>59184</v>
      </c>
      <c r="B1456" s="72">
        <v>37903</v>
      </c>
      <c r="C1456">
        <v>50.4</v>
      </c>
      <c r="D1456">
        <v>50.4</v>
      </c>
    </row>
    <row r="1457" spans="1:4" x14ac:dyDescent="0.45">
      <c r="A1457">
        <v>59184</v>
      </c>
      <c r="B1457" s="72">
        <v>37904</v>
      </c>
      <c r="C1457">
        <v>50.56</v>
      </c>
      <c r="D1457">
        <v>50.56</v>
      </c>
    </row>
    <row r="1458" spans="1:4" x14ac:dyDescent="0.45">
      <c r="A1458">
        <v>59184</v>
      </c>
      <c r="B1458" s="72">
        <v>37907</v>
      </c>
      <c r="C1458">
        <v>50.21</v>
      </c>
      <c r="D1458">
        <v>50.21</v>
      </c>
    </row>
    <row r="1459" spans="1:4" x14ac:dyDescent="0.45">
      <c r="A1459">
        <v>59184</v>
      </c>
      <c r="B1459" s="72">
        <v>37908</v>
      </c>
      <c r="C1459">
        <v>49.8</v>
      </c>
      <c r="D1459">
        <v>49.8</v>
      </c>
    </row>
    <row r="1460" spans="1:4" x14ac:dyDescent="0.45">
      <c r="A1460">
        <v>59184</v>
      </c>
      <c r="B1460" s="72">
        <v>37909</v>
      </c>
      <c r="C1460">
        <v>48.89</v>
      </c>
      <c r="D1460">
        <v>48.89</v>
      </c>
    </row>
    <row r="1461" spans="1:4" x14ac:dyDescent="0.45">
      <c r="A1461">
        <v>59184</v>
      </c>
      <c r="B1461" s="72">
        <v>37910</v>
      </c>
      <c r="C1461">
        <v>49.17</v>
      </c>
      <c r="D1461">
        <v>49.17</v>
      </c>
    </row>
    <row r="1462" spans="1:4" x14ac:dyDescent="0.45">
      <c r="A1462">
        <v>59184</v>
      </c>
      <c r="B1462" s="72">
        <v>37911</v>
      </c>
      <c r="C1462">
        <v>48.77</v>
      </c>
      <c r="D1462">
        <v>48.77</v>
      </c>
    </row>
    <row r="1463" spans="1:4" x14ac:dyDescent="0.45">
      <c r="A1463">
        <v>59184</v>
      </c>
      <c r="B1463" s="72">
        <v>37914</v>
      </c>
      <c r="C1463">
        <v>48.69</v>
      </c>
      <c r="D1463">
        <v>48.69</v>
      </c>
    </row>
    <row r="1464" spans="1:4" x14ac:dyDescent="0.45">
      <c r="A1464">
        <v>59184</v>
      </c>
      <c r="B1464" s="72">
        <v>37915</v>
      </c>
      <c r="C1464">
        <v>49.2</v>
      </c>
      <c r="D1464">
        <v>49.2</v>
      </c>
    </row>
    <row r="1465" spans="1:4" x14ac:dyDescent="0.45">
      <c r="A1465">
        <v>59184</v>
      </c>
      <c r="B1465" s="72">
        <v>37916</v>
      </c>
      <c r="C1465">
        <v>49.5</v>
      </c>
      <c r="D1465">
        <v>49.5</v>
      </c>
    </row>
    <row r="1466" spans="1:4" x14ac:dyDescent="0.45">
      <c r="A1466">
        <v>59184</v>
      </c>
      <c r="B1466" s="72">
        <v>37917</v>
      </c>
      <c r="C1466">
        <v>49.6</v>
      </c>
      <c r="D1466">
        <v>49.6</v>
      </c>
    </row>
    <row r="1467" spans="1:4" x14ac:dyDescent="0.45">
      <c r="A1467">
        <v>59184</v>
      </c>
      <c r="B1467" s="72">
        <v>37918</v>
      </c>
      <c r="C1467">
        <v>49.77</v>
      </c>
      <c r="D1467">
        <v>49.77</v>
      </c>
    </row>
    <row r="1468" spans="1:4" x14ac:dyDescent="0.45">
      <c r="A1468">
        <v>59184</v>
      </c>
      <c r="B1468" s="72">
        <v>37921</v>
      </c>
      <c r="C1468">
        <v>49.52</v>
      </c>
      <c r="D1468">
        <v>49.52</v>
      </c>
    </row>
    <row r="1469" spans="1:4" x14ac:dyDescent="0.45">
      <c r="A1469">
        <v>59184</v>
      </c>
      <c r="B1469" s="72">
        <v>37922</v>
      </c>
      <c r="C1469">
        <v>49.2</v>
      </c>
      <c r="D1469">
        <v>49.2</v>
      </c>
    </row>
    <row r="1470" spans="1:4" x14ac:dyDescent="0.45">
      <c r="A1470">
        <v>59184</v>
      </c>
      <c r="B1470" s="72">
        <v>37923</v>
      </c>
      <c r="C1470">
        <v>48.95</v>
      </c>
      <c r="D1470">
        <v>48.95</v>
      </c>
    </row>
    <row r="1471" spans="1:4" x14ac:dyDescent="0.45">
      <c r="A1471">
        <v>59184</v>
      </c>
      <c r="B1471" s="72">
        <v>37924</v>
      </c>
      <c r="C1471">
        <v>48.79</v>
      </c>
      <c r="D1471">
        <v>48.79</v>
      </c>
    </row>
    <row r="1472" spans="1:4" x14ac:dyDescent="0.45">
      <c r="A1472">
        <v>59184</v>
      </c>
      <c r="B1472" s="72">
        <v>37925</v>
      </c>
      <c r="C1472">
        <v>49.26</v>
      </c>
      <c r="D1472">
        <v>49.26</v>
      </c>
    </row>
    <row r="1473" spans="1:4" x14ac:dyDescent="0.45">
      <c r="A1473">
        <v>59184</v>
      </c>
      <c r="B1473" s="72">
        <v>37928</v>
      </c>
      <c r="C1473">
        <v>49.65</v>
      </c>
      <c r="D1473">
        <v>49.65</v>
      </c>
    </row>
    <row r="1474" spans="1:4" x14ac:dyDescent="0.45">
      <c r="A1474">
        <v>59184</v>
      </c>
      <c r="B1474" s="72">
        <v>37929</v>
      </c>
      <c r="C1474">
        <v>49.02</v>
      </c>
      <c r="D1474">
        <v>49.02</v>
      </c>
    </row>
    <row r="1475" spans="1:4" x14ac:dyDescent="0.45">
      <c r="A1475">
        <v>59184</v>
      </c>
      <c r="B1475" s="72">
        <v>37930</v>
      </c>
      <c r="C1475">
        <v>49.22</v>
      </c>
      <c r="D1475">
        <v>49.22</v>
      </c>
    </row>
    <row r="1476" spans="1:4" x14ac:dyDescent="0.45">
      <c r="A1476">
        <v>59184</v>
      </c>
      <c r="B1476" s="72">
        <v>37931</v>
      </c>
      <c r="C1476">
        <v>50.49</v>
      </c>
      <c r="D1476">
        <v>50.49</v>
      </c>
    </row>
    <row r="1477" spans="1:4" x14ac:dyDescent="0.45">
      <c r="A1477">
        <v>59184</v>
      </c>
      <c r="B1477" s="72">
        <v>37932</v>
      </c>
      <c r="C1477">
        <v>51.3</v>
      </c>
      <c r="D1477">
        <v>51.3</v>
      </c>
    </row>
    <row r="1478" spans="1:4" x14ac:dyDescent="0.45">
      <c r="A1478">
        <v>59184</v>
      </c>
      <c r="B1478" s="72">
        <v>37935</v>
      </c>
      <c r="C1478">
        <v>51.72</v>
      </c>
      <c r="D1478">
        <v>51.72</v>
      </c>
    </row>
    <row r="1479" spans="1:4" x14ac:dyDescent="0.45">
      <c r="A1479">
        <v>59184</v>
      </c>
      <c r="B1479" s="72">
        <v>37936</v>
      </c>
      <c r="C1479">
        <v>52.19</v>
      </c>
      <c r="D1479">
        <v>52.19</v>
      </c>
    </row>
    <row r="1480" spans="1:4" x14ac:dyDescent="0.45">
      <c r="A1480">
        <v>59184</v>
      </c>
      <c r="B1480" s="72">
        <v>37937</v>
      </c>
      <c r="C1480">
        <v>52.76</v>
      </c>
      <c r="D1480">
        <v>52.76</v>
      </c>
    </row>
    <row r="1481" spans="1:4" x14ac:dyDescent="0.45">
      <c r="A1481">
        <v>59184</v>
      </c>
      <c r="B1481" s="72">
        <v>37938</v>
      </c>
      <c r="C1481">
        <v>52.41</v>
      </c>
      <c r="D1481">
        <v>52.41</v>
      </c>
    </row>
    <row r="1482" spans="1:4" x14ac:dyDescent="0.45">
      <c r="A1482">
        <v>59184</v>
      </c>
      <c r="B1482" s="72">
        <v>37939</v>
      </c>
      <c r="C1482">
        <v>52.4</v>
      </c>
      <c r="D1482">
        <v>52.4</v>
      </c>
    </row>
    <row r="1483" spans="1:4" x14ac:dyDescent="0.45">
      <c r="A1483">
        <v>59184</v>
      </c>
      <c r="B1483" s="72">
        <v>37942</v>
      </c>
      <c r="C1483">
        <v>52.5</v>
      </c>
      <c r="D1483">
        <v>52.5</v>
      </c>
    </row>
    <row r="1484" spans="1:4" x14ac:dyDescent="0.45">
      <c r="A1484">
        <v>59184</v>
      </c>
      <c r="B1484" s="72">
        <v>37943</v>
      </c>
      <c r="C1484">
        <v>52.73</v>
      </c>
      <c r="D1484">
        <v>52.73</v>
      </c>
    </row>
    <row r="1485" spans="1:4" x14ac:dyDescent="0.45">
      <c r="A1485">
        <v>59184</v>
      </c>
      <c r="B1485" s="72">
        <v>37944</v>
      </c>
      <c r="C1485">
        <v>52.48</v>
      </c>
      <c r="D1485">
        <v>52.48</v>
      </c>
    </row>
    <row r="1486" spans="1:4" x14ac:dyDescent="0.45">
      <c r="A1486">
        <v>59184</v>
      </c>
      <c r="B1486" s="72">
        <v>37945</v>
      </c>
      <c r="C1486">
        <v>51.85</v>
      </c>
      <c r="D1486">
        <v>51.85</v>
      </c>
    </row>
    <row r="1487" spans="1:4" x14ac:dyDescent="0.45">
      <c r="A1487">
        <v>59184</v>
      </c>
      <c r="B1487" s="72">
        <v>37946</v>
      </c>
      <c r="C1487">
        <v>51.95</v>
      </c>
      <c r="D1487">
        <v>51.95</v>
      </c>
    </row>
    <row r="1488" spans="1:4" x14ac:dyDescent="0.45">
      <c r="A1488">
        <v>59184</v>
      </c>
      <c r="B1488" s="72">
        <v>37949</v>
      </c>
      <c r="C1488">
        <v>52.2</v>
      </c>
      <c r="D1488">
        <v>52.2</v>
      </c>
    </row>
    <row r="1489" spans="1:4" x14ac:dyDescent="0.45">
      <c r="A1489">
        <v>59184</v>
      </c>
      <c r="B1489" s="72">
        <v>37950</v>
      </c>
      <c r="C1489">
        <v>52.52</v>
      </c>
      <c r="D1489">
        <v>52.52</v>
      </c>
    </row>
    <row r="1490" spans="1:4" x14ac:dyDescent="0.45">
      <c r="A1490">
        <v>59184</v>
      </c>
      <c r="B1490" s="72">
        <v>37951</v>
      </c>
      <c r="C1490">
        <v>52.4</v>
      </c>
      <c r="D1490">
        <v>52.4</v>
      </c>
    </row>
    <row r="1491" spans="1:4" x14ac:dyDescent="0.45">
      <c r="A1491">
        <v>59184</v>
      </c>
      <c r="B1491" s="72">
        <v>37953</v>
      </c>
      <c r="C1491">
        <v>51.82</v>
      </c>
      <c r="D1491">
        <v>51.82</v>
      </c>
    </row>
    <row r="1492" spans="1:4" x14ac:dyDescent="0.45">
      <c r="A1492">
        <v>59184</v>
      </c>
      <c r="B1492" s="72">
        <v>37956</v>
      </c>
      <c r="C1492">
        <v>52.31</v>
      </c>
      <c r="D1492">
        <v>52.31</v>
      </c>
    </row>
    <row r="1493" spans="1:4" x14ac:dyDescent="0.45">
      <c r="A1493">
        <v>59184</v>
      </c>
      <c r="B1493" s="72">
        <v>37957</v>
      </c>
      <c r="C1493">
        <v>52.2</v>
      </c>
      <c r="D1493">
        <v>52.2</v>
      </c>
    </row>
    <row r="1494" spans="1:4" x14ac:dyDescent="0.45">
      <c r="A1494">
        <v>59184</v>
      </c>
      <c r="B1494" s="72">
        <v>37958</v>
      </c>
      <c r="C1494">
        <v>52.61</v>
      </c>
      <c r="D1494">
        <v>52.61</v>
      </c>
    </row>
    <row r="1495" spans="1:4" x14ac:dyDescent="0.45">
      <c r="A1495">
        <v>59184</v>
      </c>
      <c r="B1495" s="72">
        <v>37959</v>
      </c>
      <c r="C1495">
        <v>52.9</v>
      </c>
      <c r="D1495">
        <v>52.9</v>
      </c>
    </row>
    <row r="1496" spans="1:4" x14ac:dyDescent="0.45">
      <c r="A1496">
        <v>59184</v>
      </c>
      <c r="B1496" s="72">
        <v>37960</v>
      </c>
      <c r="C1496">
        <v>52.61</v>
      </c>
      <c r="D1496">
        <v>52.61</v>
      </c>
    </row>
    <row r="1497" spans="1:4" x14ac:dyDescent="0.45">
      <c r="A1497">
        <v>59184</v>
      </c>
      <c r="B1497" s="72">
        <v>37963</v>
      </c>
      <c r="C1497">
        <v>52.52</v>
      </c>
      <c r="D1497">
        <v>52.52</v>
      </c>
    </row>
    <row r="1498" spans="1:4" x14ac:dyDescent="0.45">
      <c r="A1498">
        <v>59184</v>
      </c>
      <c r="B1498" s="72">
        <v>37964</v>
      </c>
      <c r="C1498">
        <v>52.42</v>
      </c>
      <c r="D1498">
        <v>52.42</v>
      </c>
    </row>
    <row r="1499" spans="1:4" x14ac:dyDescent="0.45">
      <c r="A1499">
        <v>59184</v>
      </c>
      <c r="B1499" s="72">
        <v>37965</v>
      </c>
      <c r="C1499">
        <v>52.23</v>
      </c>
      <c r="D1499">
        <v>52.23</v>
      </c>
    </row>
    <row r="1500" spans="1:4" x14ac:dyDescent="0.45">
      <c r="A1500">
        <v>59184</v>
      </c>
      <c r="B1500" s="72">
        <v>37966</v>
      </c>
      <c r="C1500">
        <v>52.4</v>
      </c>
      <c r="D1500">
        <v>52.4</v>
      </c>
    </row>
    <row r="1501" spans="1:4" x14ac:dyDescent="0.45">
      <c r="A1501">
        <v>59184</v>
      </c>
      <c r="B1501" s="72">
        <v>37967</v>
      </c>
      <c r="C1501">
        <v>52.17</v>
      </c>
      <c r="D1501">
        <v>52.17</v>
      </c>
    </row>
    <row r="1502" spans="1:4" x14ac:dyDescent="0.45">
      <c r="A1502">
        <v>59184</v>
      </c>
      <c r="B1502" s="72">
        <v>37970</v>
      </c>
      <c r="C1502">
        <v>52.26</v>
      </c>
      <c r="D1502">
        <v>52.26</v>
      </c>
    </row>
    <row r="1503" spans="1:4" x14ac:dyDescent="0.45">
      <c r="A1503">
        <v>59184</v>
      </c>
      <c r="B1503" s="72">
        <v>37971</v>
      </c>
      <c r="C1503">
        <v>52.16</v>
      </c>
      <c r="D1503">
        <v>52.16</v>
      </c>
    </row>
    <row r="1504" spans="1:4" x14ac:dyDescent="0.45">
      <c r="A1504">
        <v>59184</v>
      </c>
      <c r="B1504" s="72">
        <v>37972</v>
      </c>
      <c r="C1504">
        <v>52.38</v>
      </c>
      <c r="D1504">
        <v>52.38</v>
      </c>
    </row>
    <row r="1505" spans="1:4" x14ac:dyDescent="0.45">
      <c r="A1505">
        <v>59184</v>
      </c>
      <c r="B1505" s="72">
        <v>37973</v>
      </c>
      <c r="C1505">
        <v>52.38</v>
      </c>
      <c r="D1505">
        <v>52.38</v>
      </c>
    </row>
    <row r="1506" spans="1:4" x14ac:dyDescent="0.45">
      <c r="A1506">
        <v>59184</v>
      </c>
      <c r="B1506" s="72">
        <v>37974</v>
      </c>
      <c r="C1506">
        <v>52.1</v>
      </c>
      <c r="D1506">
        <v>52.1</v>
      </c>
    </row>
    <row r="1507" spans="1:4" x14ac:dyDescent="0.45">
      <c r="A1507">
        <v>59184</v>
      </c>
      <c r="B1507" s="72">
        <v>37977</v>
      </c>
      <c r="C1507">
        <v>52.2</v>
      </c>
      <c r="D1507">
        <v>52.2</v>
      </c>
    </row>
    <row r="1508" spans="1:4" x14ac:dyDescent="0.45">
      <c r="A1508">
        <v>59184</v>
      </c>
      <c r="B1508" s="72">
        <v>37978</v>
      </c>
      <c r="C1508">
        <v>52.55</v>
      </c>
      <c r="D1508">
        <v>52.55</v>
      </c>
    </row>
    <row r="1509" spans="1:4" x14ac:dyDescent="0.45">
      <c r="A1509">
        <v>59184</v>
      </c>
      <c r="B1509" s="72">
        <v>37979</v>
      </c>
      <c r="C1509">
        <v>52.48</v>
      </c>
      <c r="D1509">
        <v>52.48</v>
      </c>
    </row>
    <row r="1510" spans="1:4" x14ac:dyDescent="0.45">
      <c r="A1510">
        <v>59184</v>
      </c>
      <c r="B1510" s="72">
        <v>37981</v>
      </c>
      <c r="C1510">
        <v>52.44</v>
      </c>
      <c r="D1510">
        <v>52.44</v>
      </c>
    </row>
    <row r="1511" spans="1:4" x14ac:dyDescent="0.45">
      <c r="A1511">
        <v>59184</v>
      </c>
      <c r="B1511" s="72">
        <v>37984</v>
      </c>
      <c r="C1511">
        <v>52.4</v>
      </c>
      <c r="D1511">
        <v>52.4</v>
      </c>
    </row>
    <row r="1512" spans="1:4" x14ac:dyDescent="0.45">
      <c r="A1512">
        <v>59184</v>
      </c>
      <c r="B1512" s="72">
        <v>37985</v>
      </c>
      <c r="C1512">
        <v>52.33</v>
      </c>
      <c r="D1512">
        <v>52.33</v>
      </c>
    </row>
    <row r="1513" spans="1:4" x14ac:dyDescent="0.45">
      <c r="A1513">
        <v>59184</v>
      </c>
      <c r="B1513" s="72">
        <v>37986</v>
      </c>
      <c r="C1513">
        <v>52.68</v>
      </c>
      <c r="D1513">
        <v>52.68</v>
      </c>
    </row>
    <row r="1514" spans="1:4" x14ac:dyDescent="0.45">
      <c r="A1514">
        <v>59184</v>
      </c>
      <c r="B1514" s="72">
        <v>37988</v>
      </c>
      <c r="C1514">
        <v>52.44</v>
      </c>
      <c r="D1514">
        <v>52.44</v>
      </c>
    </row>
    <row r="1515" spans="1:4" x14ac:dyDescent="0.45">
      <c r="A1515">
        <v>59184</v>
      </c>
      <c r="B1515" s="72">
        <v>37991</v>
      </c>
      <c r="C1515">
        <v>52.55</v>
      </c>
      <c r="D1515">
        <v>52.55</v>
      </c>
    </row>
    <row r="1516" spans="1:4" x14ac:dyDescent="0.45">
      <c r="A1516">
        <v>59184</v>
      </c>
      <c r="B1516" s="72">
        <v>37992</v>
      </c>
      <c r="C1516">
        <v>51.9</v>
      </c>
      <c r="D1516">
        <v>51.9</v>
      </c>
    </row>
    <row r="1517" spans="1:4" x14ac:dyDescent="0.45">
      <c r="A1517">
        <v>59184</v>
      </c>
      <c r="B1517" s="72">
        <v>37993</v>
      </c>
      <c r="C1517">
        <v>51.38</v>
      </c>
      <c r="D1517">
        <v>51.38</v>
      </c>
    </row>
    <row r="1518" spans="1:4" x14ac:dyDescent="0.45">
      <c r="A1518">
        <v>59184</v>
      </c>
      <c r="B1518" s="72">
        <v>37994</v>
      </c>
      <c r="C1518">
        <v>50.71</v>
      </c>
      <c r="D1518">
        <v>50.71</v>
      </c>
    </row>
    <row r="1519" spans="1:4" x14ac:dyDescent="0.45">
      <c r="A1519">
        <v>59184</v>
      </c>
      <c r="B1519" s="72">
        <v>37995</v>
      </c>
      <c r="C1519">
        <v>50.15</v>
      </c>
      <c r="D1519">
        <v>50.15</v>
      </c>
    </row>
    <row r="1520" spans="1:4" x14ac:dyDescent="0.45">
      <c r="A1520">
        <v>59184</v>
      </c>
      <c r="B1520" s="72">
        <v>37998</v>
      </c>
      <c r="C1520">
        <v>50.82</v>
      </c>
      <c r="D1520">
        <v>50.82</v>
      </c>
    </row>
    <row r="1521" spans="1:4" x14ac:dyDescent="0.45">
      <c r="A1521">
        <v>59184</v>
      </c>
      <c r="B1521" s="72">
        <v>37999</v>
      </c>
      <c r="C1521">
        <v>50.77</v>
      </c>
      <c r="D1521">
        <v>50.77</v>
      </c>
    </row>
    <row r="1522" spans="1:4" x14ac:dyDescent="0.45">
      <c r="A1522">
        <v>59184</v>
      </c>
      <c r="B1522" s="72">
        <v>38000</v>
      </c>
      <c r="C1522">
        <v>51</v>
      </c>
      <c r="D1522">
        <v>51</v>
      </c>
    </row>
    <row r="1523" spans="1:4" x14ac:dyDescent="0.45">
      <c r="A1523">
        <v>59184</v>
      </c>
      <c r="B1523" s="72">
        <v>38001</v>
      </c>
      <c r="C1523">
        <v>50.63</v>
      </c>
      <c r="D1523">
        <v>50.63</v>
      </c>
    </row>
    <row r="1524" spans="1:4" x14ac:dyDescent="0.45">
      <c r="A1524">
        <v>59184</v>
      </c>
      <c r="B1524" s="72">
        <v>38002</v>
      </c>
      <c r="C1524">
        <v>50.35</v>
      </c>
      <c r="D1524">
        <v>50.35</v>
      </c>
    </row>
    <row r="1525" spans="1:4" x14ac:dyDescent="0.45">
      <c r="A1525">
        <v>59184</v>
      </c>
      <c r="B1525" s="72">
        <v>38006</v>
      </c>
      <c r="C1525">
        <v>50.26</v>
      </c>
      <c r="D1525">
        <v>50.26</v>
      </c>
    </row>
    <row r="1526" spans="1:4" x14ac:dyDescent="0.45">
      <c r="A1526">
        <v>59184</v>
      </c>
      <c r="B1526" s="72">
        <v>38007</v>
      </c>
      <c r="C1526">
        <v>50.14</v>
      </c>
      <c r="D1526">
        <v>50.14</v>
      </c>
    </row>
    <row r="1527" spans="1:4" x14ac:dyDescent="0.45">
      <c r="A1527">
        <v>59184</v>
      </c>
      <c r="B1527" s="72">
        <v>38008</v>
      </c>
      <c r="C1527">
        <v>50.69</v>
      </c>
      <c r="D1527">
        <v>50.69</v>
      </c>
    </row>
    <row r="1528" spans="1:4" x14ac:dyDescent="0.45">
      <c r="A1528">
        <v>59184</v>
      </c>
      <c r="B1528" s="72">
        <v>38009</v>
      </c>
      <c r="C1528">
        <v>51.4</v>
      </c>
      <c r="D1528">
        <v>51.4</v>
      </c>
    </row>
    <row r="1529" spans="1:4" x14ac:dyDescent="0.45">
      <c r="A1529">
        <v>59184</v>
      </c>
      <c r="B1529" s="72">
        <v>38012</v>
      </c>
      <c r="C1529">
        <v>51.39</v>
      </c>
      <c r="D1529">
        <v>51.39</v>
      </c>
    </row>
    <row r="1530" spans="1:4" x14ac:dyDescent="0.45">
      <c r="A1530">
        <v>59184</v>
      </c>
      <c r="B1530" s="72">
        <v>38013</v>
      </c>
      <c r="C1530">
        <v>51.33</v>
      </c>
      <c r="D1530">
        <v>51.33</v>
      </c>
    </row>
    <row r="1531" spans="1:4" x14ac:dyDescent="0.45">
      <c r="A1531">
        <v>59184</v>
      </c>
      <c r="B1531" s="72">
        <v>38014</v>
      </c>
      <c r="C1531">
        <v>50.9</v>
      </c>
      <c r="D1531">
        <v>50.9</v>
      </c>
    </row>
    <row r="1532" spans="1:4" x14ac:dyDescent="0.45">
      <c r="A1532">
        <v>59184</v>
      </c>
      <c r="B1532" s="72">
        <v>38015</v>
      </c>
      <c r="C1532">
        <v>51.1</v>
      </c>
      <c r="D1532">
        <v>51.1</v>
      </c>
    </row>
    <row r="1533" spans="1:4" x14ac:dyDescent="0.45">
      <c r="A1533">
        <v>59184</v>
      </c>
      <c r="B1533" s="72">
        <v>38016</v>
      </c>
      <c r="C1533">
        <v>50.72</v>
      </c>
      <c r="D1533">
        <v>50.72</v>
      </c>
    </row>
    <row r="1534" spans="1:4" x14ac:dyDescent="0.45">
      <c r="A1534">
        <v>59184</v>
      </c>
      <c r="B1534" s="72">
        <v>38019</v>
      </c>
      <c r="C1534">
        <v>51.01</v>
      </c>
      <c r="D1534">
        <v>51.01</v>
      </c>
    </row>
    <row r="1535" spans="1:4" x14ac:dyDescent="0.45">
      <c r="A1535">
        <v>59184</v>
      </c>
      <c r="B1535" s="72">
        <v>38020</v>
      </c>
      <c r="C1535">
        <v>51.65</v>
      </c>
      <c r="D1535">
        <v>51.65</v>
      </c>
    </row>
    <row r="1536" spans="1:4" x14ac:dyDescent="0.45">
      <c r="A1536">
        <v>59184</v>
      </c>
      <c r="B1536" s="72">
        <v>38021</v>
      </c>
      <c r="C1536">
        <v>51.88</v>
      </c>
      <c r="D1536">
        <v>51.88</v>
      </c>
    </row>
    <row r="1537" spans="1:4" x14ac:dyDescent="0.45">
      <c r="A1537">
        <v>59184</v>
      </c>
      <c r="B1537" s="72">
        <v>38022</v>
      </c>
      <c r="C1537">
        <v>51.71</v>
      </c>
      <c r="D1537">
        <v>51.71</v>
      </c>
    </row>
    <row r="1538" spans="1:4" x14ac:dyDescent="0.45">
      <c r="A1538">
        <v>59184</v>
      </c>
      <c r="B1538" s="72">
        <v>38023</v>
      </c>
      <c r="C1538">
        <v>52</v>
      </c>
      <c r="D1538">
        <v>52</v>
      </c>
    </row>
    <row r="1539" spans="1:4" x14ac:dyDescent="0.45">
      <c r="A1539">
        <v>59184</v>
      </c>
      <c r="B1539" s="72">
        <v>38026</v>
      </c>
      <c r="C1539">
        <v>51.74</v>
      </c>
      <c r="D1539">
        <v>51.74</v>
      </c>
    </row>
    <row r="1540" spans="1:4" x14ac:dyDescent="0.45">
      <c r="A1540">
        <v>59184</v>
      </c>
      <c r="B1540" s="72">
        <v>38027</v>
      </c>
      <c r="C1540">
        <v>51.8</v>
      </c>
      <c r="D1540">
        <v>51.8</v>
      </c>
    </row>
    <row r="1541" spans="1:4" x14ac:dyDescent="0.45">
      <c r="A1541">
        <v>59184</v>
      </c>
      <c r="B1541" s="72">
        <v>38028</v>
      </c>
      <c r="C1541">
        <v>51.86</v>
      </c>
      <c r="D1541">
        <v>51.86</v>
      </c>
    </row>
    <row r="1542" spans="1:4" x14ac:dyDescent="0.45">
      <c r="A1542">
        <v>59184</v>
      </c>
      <c r="B1542" s="72">
        <v>38029</v>
      </c>
      <c r="C1542">
        <v>51.95</v>
      </c>
      <c r="D1542">
        <v>51.95</v>
      </c>
    </row>
    <row r="1543" spans="1:4" x14ac:dyDescent="0.45">
      <c r="A1543">
        <v>59184</v>
      </c>
      <c r="B1543" s="72">
        <v>38030</v>
      </c>
      <c r="C1543">
        <v>51.97</v>
      </c>
      <c r="D1543">
        <v>51.97</v>
      </c>
    </row>
    <row r="1544" spans="1:4" x14ac:dyDescent="0.45">
      <c r="A1544">
        <v>59184</v>
      </c>
      <c r="B1544" s="72">
        <v>38034</v>
      </c>
      <c r="C1544">
        <v>51.95</v>
      </c>
      <c r="D1544">
        <v>51.95</v>
      </c>
    </row>
    <row r="1545" spans="1:4" x14ac:dyDescent="0.45">
      <c r="A1545">
        <v>59184</v>
      </c>
      <c r="B1545" s="72">
        <v>38035</v>
      </c>
      <c r="C1545">
        <v>51.71</v>
      </c>
      <c r="D1545">
        <v>51.71</v>
      </c>
    </row>
    <row r="1546" spans="1:4" x14ac:dyDescent="0.45">
      <c r="A1546">
        <v>59184</v>
      </c>
      <c r="B1546" s="72">
        <v>38036</v>
      </c>
      <c r="C1546">
        <v>51.9</v>
      </c>
      <c r="D1546">
        <v>51.9</v>
      </c>
    </row>
    <row r="1547" spans="1:4" x14ac:dyDescent="0.45">
      <c r="A1547">
        <v>59184</v>
      </c>
      <c r="B1547" s="72">
        <v>38037</v>
      </c>
      <c r="C1547">
        <v>52.94</v>
      </c>
      <c r="D1547">
        <v>52.94</v>
      </c>
    </row>
    <row r="1548" spans="1:4" x14ac:dyDescent="0.45">
      <c r="A1548">
        <v>59184</v>
      </c>
      <c r="B1548" s="72">
        <v>38040</v>
      </c>
      <c r="C1548">
        <v>54.01</v>
      </c>
      <c r="D1548">
        <v>54.01</v>
      </c>
    </row>
    <row r="1549" spans="1:4" x14ac:dyDescent="0.45">
      <c r="A1549">
        <v>59184</v>
      </c>
      <c r="B1549" s="72">
        <v>38041</v>
      </c>
      <c r="C1549">
        <v>53.26</v>
      </c>
      <c r="D1549">
        <v>53.26</v>
      </c>
    </row>
    <row r="1550" spans="1:4" x14ac:dyDescent="0.45">
      <c r="A1550">
        <v>59184</v>
      </c>
      <c r="B1550" s="72">
        <v>38042</v>
      </c>
      <c r="C1550">
        <v>53.5</v>
      </c>
      <c r="D1550">
        <v>53.5</v>
      </c>
    </row>
    <row r="1551" spans="1:4" x14ac:dyDescent="0.45">
      <c r="A1551">
        <v>59184</v>
      </c>
      <c r="B1551" s="72">
        <v>38043</v>
      </c>
      <c r="C1551">
        <v>53.17</v>
      </c>
      <c r="D1551">
        <v>53.17</v>
      </c>
    </row>
    <row r="1552" spans="1:4" x14ac:dyDescent="0.45">
      <c r="A1552">
        <v>59184</v>
      </c>
      <c r="B1552" s="72">
        <v>38044</v>
      </c>
      <c r="C1552">
        <v>53.22</v>
      </c>
      <c r="D1552">
        <v>53.22</v>
      </c>
    </row>
    <row r="1553" spans="1:4" x14ac:dyDescent="0.45">
      <c r="A1553">
        <v>59184</v>
      </c>
      <c r="B1553" s="72">
        <v>38047</v>
      </c>
      <c r="C1553">
        <v>53.79</v>
      </c>
      <c r="D1553">
        <v>53.79</v>
      </c>
    </row>
    <row r="1554" spans="1:4" x14ac:dyDescent="0.45">
      <c r="A1554">
        <v>59184</v>
      </c>
      <c r="B1554" s="72">
        <v>38048</v>
      </c>
      <c r="C1554">
        <v>53.21</v>
      </c>
      <c r="D1554">
        <v>53.21</v>
      </c>
    </row>
    <row r="1555" spans="1:4" x14ac:dyDescent="0.45">
      <c r="A1555">
        <v>59184</v>
      </c>
      <c r="B1555" s="72">
        <v>38049</v>
      </c>
      <c r="C1555">
        <v>53.74</v>
      </c>
      <c r="D1555">
        <v>53.74</v>
      </c>
    </row>
    <row r="1556" spans="1:4" x14ac:dyDescent="0.45">
      <c r="A1556">
        <v>59184</v>
      </c>
      <c r="B1556" s="72">
        <v>38050</v>
      </c>
      <c r="C1556">
        <v>53.05</v>
      </c>
      <c r="D1556">
        <v>53.05</v>
      </c>
    </row>
    <row r="1557" spans="1:4" x14ac:dyDescent="0.45">
      <c r="A1557">
        <v>59184</v>
      </c>
      <c r="B1557" s="72">
        <v>38051</v>
      </c>
      <c r="C1557">
        <v>52.5</v>
      </c>
      <c r="D1557">
        <v>52.5</v>
      </c>
    </row>
    <row r="1558" spans="1:4" x14ac:dyDescent="0.45">
      <c r="A1558">
        <v>59184</v>
      </c>
      <c r="B1558" s="72">
        <v>38054</v>
      </c>
      <c r="C1558">
        <v>52.21</v>
      </c>
      <c r="D1558">
        <v>52.21</v>
      </c>
    </row>
    <row r="1559" spans="1:4" x14ac:dyDescent="0.45">
      <c r="A1559">
        <v>59184</v>
      </c>
      <c r="B1559" s="72">
        <v>38055</v>
      </c>
      <c r="C1559">
        <v>52.7</v>
      </c>
      <c r="D1559">
        <v>52.7</v>
      </c>
    </row>
    <row r="1560" spans="1:4" x14ac:dyDescent="0.45">
      <c r="A1560">
        <v>59184</v>
      </c>
      <c r="B1560" s="72">
        <v>38056</v>
      </c>
      <c r="C1560">
        <v>53.07</v>
      </c>
      <c r="D1560">
        <v>53.07</v>
      </c>
    </row>
    <row r="1561" spans="1:4" x14ac:dyDescent="0.45">
      <c r="A1561">
        <v>59184</v>
      </c>
      <c r="B1561" s="72">
        <v>38057</v>
      </c>
      <c r="C1561">
        <v>52.85</v>
      </c>
      <c r="D1561">
        <v>52.85</v>
      </c>
    </row>
    <row r="1562" spans="1:4" x14ac:dyDescent="0.45">
      <c r="A1562">
        <v>59184</v>
      </c>
      <c r="B1562" s="72">
        <v>38058</v>
      </c>
      <c r="C1562">
        <v>52.88</v>
      </c>
      <c r="D1562">
        <v>52.88</v>
      </c>
    </row>
    <row r="1563" spans="1:4" x14ac:dyDescent="0.45">
      <c r="A1563">
        <v>59184</v>
      </c>
      <c r="B1563" s="72">
        <v>38061</v>
      </c>
      <c r="C1563">
        <v>52.02</v>
      </c>
      <c r="D1563">
        <v>52.02</v>
      </c>
    </row>
    <row r="1564" spans="1:4" x14ac:dyDescent="0.45">
      <c r="A1564">
        <v>59184</v>
      </c>
      <c r="B1564" s="72">
        <v>38062</v>
      </c>
      <c r="C1564">
        <v>51.77</v>
      </c>
      <c r="D1564">
        <v>51.77</v>
      </c>
    </row>
    <row r="1565" spans="1:4" x14ac:dyDescent="0.45">
      <c r="A1565">
        <v>59184</v>
      </c>
      <c r="B1565" s="72">
        <v>38063</v>
      </c>
      <c r="C1565">
        <v>51.92</v>
      </c>
      <c r="D1565">
        <v>51.92</v>
      </c>
    </row>
    <row r="1566" spans="1:4" x14ac:dyDescent="0.45">
      <c r="A1566">
        <v>59184</v>
      </c>
      <c r="B1566" s="72">
        <v>38064</v>
      </c>
      <c r="C1566">
        <v>51.57</v>
      </c>
      <c r="D1566">
        <v>51.57</v>
      </c>
    </row>
    <row r="1567" spans="1:4" x14ac:dyDescent="0.45">
      <c r="A1567">
        <v>59184</v>
      </c>
      <c r="B1567" s="72">
        <v>38065</v>
      </c>
      <c r="C1567">
        <v>51.85</v>
      </c>
      <c r="D1567">
        <v>51.85</v>
      </c>
    </row>
    <row r="1568" spans="1:4" x14ac:dyDescent="0.45">
      <c r="A1568">
        <v>59184</v>
      </c>
      <c r="B1568" s="72">
        <v>38068</v>
      </c>
      <c r="C1568">
        <v>51.02</v>
      </c>
      <c r="D1568">
        <v>51.02</v>
      </c>
    </row>
    <row r="1569" spans="1:4" x14ac:dyDescent="0.45">
      <c r="A1569">
        <v>59184</v>
      </c>
      <c r="B1569" s="72">
        <v>38069</v>
      </c>
      <c r="C1569">
        <v>50.32</v>
      </c>
      <c r="D1569">
        <v>50.32</v>
      </c>
    </row>
    <row r="1570" spans="1:4" x14ac:dyDescent="0.45">
      <c r="A1570">
        <v>59184</v>
      </c>
      <c r="B1570" s="72">
        <v>38070</v>
      </c>
      <c r="C1570">
        <v>49.99</v>
      </c>
      <c r="D1570">
        <v>49.99</v>
      </c>
    </row>
    <row r="1571" spans="1:4" x14ac:dyDescent="0.45">
      <c r="A1571">
        <v>59184</v>
      </c>
      <c r="B1571" s="72">
        <v>38071</v>
      </c>
      <c r="C1571">
        <v>49.94</v>
      </c>
      <c r="D1571">
        <v>49.94</v>
      </c>
    </row>
    <row r="1572" spans="1:4" x14ac:dyDescent="0.45">
      <c r="A1572">
        <v>59184</v>
      </c>
      <c r="B1572" s="72">
        <v>38072</v>
      </c>
      <c r="C1572">
        <v>50.19</v>
      </c>
      <c r="D1572">
        <v>50.19</v>
      </c>
    </row>
    <row r="1573" spans="1:4" x14ac:dyDescent="0.45">
      <c r="A1573">
        <v>59184</v>
      </c>
      <c r="B1573" s="72">
        <v>38075</v>
      </c>
      <c r="C1573">
        <v>51.11</v>
      </c>
      <c r="D1573">
        <v>51.11</v>
      </c>
    </row>
    <row r="1574" spans="1:4" x14ac:dyDescent="0.45">
      <c r="A1574">
        <v>59184</v>
      </c>
      <c r="B1574" s="72">
        <v>38076</v>
      </c>
      <c r="C1574">
        <v>51.15</v>
      </c>
      <c r="D1574">
        <v>51.15</v>
      </c>
    </row>
    <row r="1575" spans="1:4" x14ac:dyDescent="0.45">
      <c r="A1575">
        <v>59184</v>
      </c>
      <c r="B1575" s="72">
        <v>38077</v>
      </c>
      <c r="C1575">
        <v>51</v>
      </c>
      <c r="D1575">
        <v>51</v>
      </c>
    </row>
    <row r="1576" spans="1:4" x14ac:dyDescent="0.45">
      <c r="A1576">
        <v>59184</v>
      </c>
      <c r="B1576" s="72">
        <v>38078</v>
      </c>
      <c r="C1576">
        <v>51.41</v>
      </c>
      <c r="D1576">
        <v>51.41</v>
      </c>
    </row>
    <row r="1577" spans="1:4" x14ac:dyDescent="0.45">
      <c r="A1577">
        <v>59184</v>
      </c>
      <c r="B1577" s="72">
        <v>38079</v>
      </c>
      <c r="C1577">
        <v>51</v>
      </c>
      <c r="D1577">
        <v>51</v>
      </c>
    </row>
    <row r="1578" spans="1:4" x14ac:dyDescent="0.45">
      <c r="A1578">
        <v>59184</v>
      </c>
      <c r="B1578" s="72">
        <v>38082</v>
      </c>
      <c r="C1578">
        <v>50.62</v>
      </c>
      <c r="D1578">
        <v>50.62</v>
      </c>
    </row>
    <row r="1579" spans="1:4" x14ac:dyDescent="0.45">
      <c r="A1579">
        <v>59184</v>
      </c>
      <c r="B1579" s="72">
        <v>38083</v>
      </c>
      <c r="C1579">
        <v>51.03</v>
      </c>
      <c r="D1579">
        <v>51.03</v>
      </c>
    </row>
    <row r="1580" spans="1:4" x14ac:dyDescent="0.45">
      <c r="A1580">
        <v>59184</v>
      </c>
      <c r="B1580" s="72">
        <v>38084</v>
      </c>
      <c r="C1580">
        <v>50.64</v>
      </c>
      <c r="D1580">
        <v>50.64</v>
      </c>
    </row>
    <row r="1581" spans="1:4" x14ac:dyDescent="0.45">
      <c r="A1581">
        <v>59184</v>
      </c>
      <c r="B1581" s="72">
        <v>38085</v>
      </c>
      <c r="C1581">
        <v>51.03</v>
      </c>
      <c r="D1581">
        <v>51.03</v>
      </c>
    </row>
    <row r="1582" spans="1:4" x14ac:dyDescent="0.45">
      <c r="A1582">
        <v>59184</v>
      </c>
      <c r="B1582" s="72">
        <v>38089</v>
      </c>
      <c r="C1582">
        <v>50.95</v>
      </c>
      <c r="D1582">
        <v>50.95</v>
      </c>
    </row>
    <row r="1583" spans="1:4" x14ac:dyDescent="0.45">
      <c r="A1583">
        <v>59184</v>
      </c>
      <c r="B1583" s="72">
        <v>38090</v>
      </c>
      <c r="C1583">
        <v>50.76</v>
      </c>
      <c r="D1583">
        <v>50.76</v>
      </c>
    </row>
    <row r="1584" spans="1:4" x14ac:dyDescent="0.45">
      <c r="A1584">
        <v>59184</v>
      </c>
      <c r="B1584" s="72">
        <v>38091</v>
      </c>
      <c r="C1584">
        <v>50.69</v>
      </c>
      <c r="D1584">
        <v>50.69</v>
      </c>
    </row>
    <row r="1585" spans="1:4" x14ac:dyDescent="0.45">
      <c r="A1585">
        <v>59184</v>
      </c>
      <c r="B1585" s="72">
        <v>38092</v>
      </c>
      <c r="C1585">
        <v>50.61</v>
      </c>
      <c r="D1585">
        <v>50.61</v>
      </c>
    </row>
    <row r="1586" spans="1:4" x14ac:dyDescent="0.45">
      <c r="A1586">
        <v>59184</v>
      </c>
      <c r="B1586" s="72">
        <v>38093</v>
      </c>
      <c r="C1586">
        <v>50.52</v>
      </c>
      <c r="D1586">
        <v>50.52</v>
      </c>
    </row>
    <row r="1587" spans="1:4" x14ac:dyDescent="0.45">
      <c r="A1587">
        <v>59184</v>
      </c>
      <c r="B1587" s="72">
        <v>38096</v>
      </c>
      <c r="C1587">
        <v>51.19</v>
      </c>
      <c r="D1587">
        <v>51.19</v>
      </c>
    </row>
    <row r="1588" spans="1:4" x14ac:dyDescent="0.45">
      <c r="A1588">
        <v>59184</v>
      </c>
      <c r="B1588" s="72">
        <v>38097</v>
      </c>
      <c r="C1588">
        <v>51.07</v>
      </c>
      <c r="D1588">
        <v>51.07</v>
      </c>
    </row>
    <row r="1589" spans="1:4" x14ac:dyDescent="0.45">
      <c r="A1589">
        <v>59184</v>
      </c>
      <c r="B1589" s="72">
        <v>38098</v>
      </c>
      <c r="C1589">
        <v>51</v>
      </c>
      <c r="D1589">
        <v>51</v>
      </c>
    </row>
    <row r="1590" spans="1:4" x14ac:dyDescent="0.45">
      <c r="A1590">
        <v>59184</v>
      </c>
      <c r="B1590" s="72">
        <v>38099</v>
      </c>
      <c r="C1590">
        <v>51.4</v>
      </c>
      <c r="D1590">
        <v>51.4</v>
      </c>
    </row>
    <row r="1591" spans="1:4" x14ac:dyDescent="0.45">
      <c r="A1591">
        <v>59184</v>
      </c>
      <c r="B1591" s="72">
        <v>38100</v>
      </c>
      <c r="C1591">
        <v>52.26</v>
      </c>
      <c r="D1591">
        <v>52.26</v>
      </c>
    </row>
    <row r="1592" spans="1:4" x14ac:dyDescent="0.45">
      <c r="A1592">
        <v>59184</v>
      </c>
      <c r="B1592" s="72">
        <v>38103</v>
      </c>
      <c r="C1592">
        <v>51.95</v>
      </c>
      <c r="D1592">
        <v>51.95</v>
      </c>
    </row>
    <row r="1593" spans="1:4" x14ac:dyDescent="0.45">
      <c r="A1593">
        <v>59184</v>
      </c>
      <c r="B1593" s="72">
        <v>38104</v>
      </c>
      <c r="C1593">
        <v>51.98</v>
      </c>
      <c r="D1593">
        <v>51.98</v>
      </c>
    </row>
    <row r="1594" spans="1:4" x14ac:dyDescent="0.45">
      <c r="A1594">
        <v>59184</v>
      </c>
      <c r="B1594" s="72">
        <v>38105</v>
      </c>
      <c r="C1594">
        <v>51.28</v>
      </c>
      <c r="D1594">
        <v>51.28</v>
      </c>
    </row>
    <row r="1595" spans="1:4" x14ac:dyDescent="0.45">
      <c r="A1595">
        <v>59184</v>
      </c>
      <c r="B1595" s="72">
        <v>38106</v>
      </c>
      <c r="C1595">
        <v>51.38</v>
      </c>
      <c r="D1595">
        <v>51.38</v>
      </c>
    </row>
    <row r="1596" spans="1:4" x14ac:dyDescent="0.45">
      <c r="A1596">
        <v>59184</v>
      </c>
      <c r="B1596" s="72">
        <v>38107</v>
      </c>
      <c r="C1596">
        <v>51.24</v>
      </c>
      <c r="D1596">
        <v>51.24</v>
      </c>
    </row>
    <row r="1597" spans="1:4" x14ac:dyDescent="0.45">
      <c r="A1597">
        <v>59184</v>
      </c>
      <c r="B1597" s="72">
        <v>38110</v>
      </c>
      <c r="C1597">
        <v>51.29</v>
      </c>
      <c r="D1597">
        <v>51.29</v>
      </c>
    </row>
    <row r="1598" spans="1:4" x14ac:dyDescent="0.45">
      <c r="A1598">
        <v>59184</v>
      </c>
      <c r="B1598" s="72">
        <v>38111</v>
      </c>
      <c r="C1598">
        <v>51.09</v>
      </c>
      <c r="D1598">
        <v>51.09</v>
      </c>
    </row>
    <row r="1599" spans="1:4" x14ac:dyDescent="0.45">
      <c r="A1599">
        <v>59184</v>
      </c>
      <c r="B1599" s="72">
        <v>38112</v>
      </c>
      <c r="C1599">
        <v>51.1</v>
      </c>
      <c r="D1599">
        <v>51.1</v>
      </c>
    </row>
    <row r="1600" spans="1:4" x14ac:dyDescent="0.45">
      <c r="A1600">
        <v>59184</v>
      </c>
      <c r="B1600" s="72">
        <v>38113</v>
      </c>
      <c r="C1600">
        <v>50.9</v>
      </c>
      <c r="D1600">
        <v>50.9</v>
      </c>
    </row>
    <row r="1601" spans="1:4" x14ac:dyDescent="0.45">
      <c r="A1601">
        <v>59184</v>
      </c>
      <c r="B1601" s="72">
        <v>38114</v>
      </c>
      <c r="C1601">
        <v>51.69</v>
      </c>
      <c r="D1601">
        <v>51.69</v>
      </c>
    </row>
    <row r="1602" spans="1:4" x14ac:dyDescent="0.45">
      <c r="A1602">
        <v>59184</v>
      </c>
      <c r="B1602" s="72">
        <v>38117</v>
      </c>
      <c r="C1602">
        <v>51.65</v>
      </c>
      <c r="D1602">
        <v>51.65</v>
      </c>
    </row>
    <row r="1603" spans="1:4" x14ac:dyDescent="0.45">
      <c r="A1603">
        <v>59184</v>
      </c>
      <c r="B1603" s="72">
        <v>38118</v>
      </c>
      <c r="C1603">
        <v>51.95</v>
      </c>
      <c r="D1603">
        <v>51.95</v>
      </c>
    </row>
    <row r="1604" spans="1:4" x14ac:dyDescent="0.45">
      <c r="A1604">
        <v>59184</v>
      </c>
      <c r="B1604" s="72">
        <v>38119</v>
      </c>
      <c r="C1604">
        <v>51.64</v>
      </c>
      <c r="D1604">
        <v>51.64</v>
      </c>
    </row>
    <row r="1605" spans="1:4" x14ac:dyDescent="0.45">
      <c r="A1605">
        <v>59184</v>
      </c>
      <c r="B1605" s="72">
        <v>38120</v>
      </c>
      <c r="C1605">
        <v>51.25</v>
      </c>
      <c r="D1605">
        <v>51.25</v>
      </c>
    </row>
    <row r="1606" spans="1:4" x14ac:dyDescent="0.45">
      <c r="A1606">
        <v>59184</v>
      </c>
      <c r="B1606" s="72">
        <v>38121</v>
      </c>
      <c r="C1606">
        <v>51.22</v>
      </c>
      <c r="D1606">
        <v>51.22</v>
      </c>
    </row>
    <row r="1607" spans="1:4" x14ac:dyDescent="0.45">
      <c r="A1607">
        <v>59184</v>
      </c>
      <c r="B1607" s="72">
        <v>38124</v>
      </c>
      <c r="C1607">
        <v>51.82</v>
      </c>
      <c r="D1607">
        <v>51.82</v>
      </c>
    </row>
    <row r="1608" spans="1:4" x14ac:dyDescent="0.45">
      <c r="A1608">
        <v>59184</v>
      </c>
      <c r="B1608" s="72">
        <v>38125</v>
      </c>
      <c r="C1608">
        <v>51.75</v>
      </c>
      <c r="D1608">
        <v>51.75</v>
      </c>
    </row>
    <row r="1609" spans="1:4" x14ac:dyDescent="0.45">
      <c r="A1609">
        <v>59184</v>
      </c>
      <c r="B1609" s="72">
        <v>38126</v>
      </c>
      <c r="C1609">
        <v>51.81</v>
      </c>
      <c r="D1609">
        <v>51.81</v>
      </c>
    </row>
    <row r="1610" spans="1:4" x14ac:dyDescent="0.45">
      <c r="A1610">
        <v>59184</v>
      </c>
      <c r="B1610" s="72">
        <v>38127</v>
      </c>
      <c r="C1610">
        <v>52.11</v>
      </c>
      <c r="D1610">
        <v>52.11</v>
      </c>
    </row>
    <row r="1611" spans="1:4" x14ac:dyDescent="0.45">
      <c r="A1611">
        <v>59184</v>
      </c>
      <c r="B1611" s="72">
        <v>38128</v>
      </c>
      <c r="C1611">
        <v>51.55</v>
      </c>
      <c r="D1611">
        <v>51.55</v>
      </c>
    </row>
    <row r="1612" spans="1:4" x14ac:dyDescent="0.45">
      <c r="A1612">
        <v>59184</v>
      </c>
      <c r="B1612" s="72">
        <v>38131</v>
      </c>
      <c r="C1612">
        <v>51.65</v>
      </c>
      <c r="D1612">
        <v>51.65</v>
      </c>
    </row>
    <row r="1613" spans="1:4" x14ac:dyDescent="0.45">
      <c r="A1613">
        <v>59184</v>
      </c>
      <c r="B1613" s="72">
        <v>38132</v>
      </c>
      <c r="C1613">
        <v>52.73</v>
      </c>
      <c r="D1613">
        <v>52.73</v>
      </c>
    </row>
    <row r="1614" spans="1:4" x14ac:dyDescent="0.45">
      <c r="A1614">
        <v>59184</v>
      </c>
      <c r="B1614" s="72">
        <v>38133</v>
      </c>
      <c r="C1614">
        <v>52.99</v>
      </c>
      <c r="D1614">
        <v>52.99</v>
      </c>
    </row>
    <row r="1615" spans="1:4" x14ac:dyDescent="0.45">
      <c r="A1615">
        <v>59184</v>
      </c>
      <c r="B1615" s="72">
        <v>38134</v>
      </c>
      <c r="C1615">
        <v>53.27</v>
      </c>
      <c r="D1615">
        <v>53.27</v>
      </c>
    </row>
    <row r="1616" spans="1:4" x14ac:dyDescent="0.45">
      <c r="A1616">
        <v>59184</v>
      </c>
      <c r="B1616" s="72">
        <v>38135</v>
      </c>
      <c r="C1616">
        <v>53.27</v>
      </c>
      <c r="D1616">
        <v>53.27</v>
      </c>
    </row>
    <row r="1617" spans="1:4" x14ac:dyDescent="0.45">
      <c r="A1617">
        <v>59184</v>
      </c>
      <c r="B1617" s="72">
        <v>38139</v>
      </c>
      <c r="C1617">
        <v>53.44</v>
      </c>
      <c r="D1617">
        <v>53.44</v>
      </c>
    </row>
    <row r="1618" spans="1:4" x14ac:dyDescent="0.45">
      <c r="A1618">
        <v>59184</v>
      </c>
      <c r="B1618" s="72">
        <v>38140</v>
      </c>
      <c r="C1618">
        <v>53.87</v>
      </c>
      <c r="D1618">
        <v>53.87</v>
      </c>
    </row>
    <row r="1619" spans="1:4" x14ac:dyDescent="0.45">
      <c r="A1619">
        <v>59184</v>
      </c>
      <c r="B1619" s="72">
        <v>38141</v>
      </c>
      <c r="C1619">
        <v>53.92</v>
      </c>
      <c r="D1619">
        <v>53.92</v>
      </c>
    </row>
    <row r="1620" spans="1:4" x14ac:dyDescent="0.45">
      <c r="A1620">
        <v>59184</v>
      </c>
      <c r="B1620" s="72">
        <v>38142</v>
      </c>
      <c r="C1620">
        <v>54.08</v>
      </c>
      <c r="D1620">
        <v>54.08</v>
      </c>
    </row>
    <row r="1621" spans="1:4" x14ac:dyDescent="0.45">
      <c r="A1621">
        <v>59184</v>
      </c>
      <c r="B1621" s="72">
        <v>38145</v>
      </c>
      <c r="C1621">
        <v>53.75</v>
      </c>
      <c r="D1621">
        <v>53.75</v>
      </c>
    </row>
    <row r="1622" spans="1:4" x14ac:dyDescent="0.45">
      <c r="A1622">
        <v>59184</v>
      </c>
      <c r="B1622" s="72">
        <v>38146</v>
      </c>
      <c r="C1622">
        <v>54.12</v>
      </c>
      <c r="D1622">
        <v>54.12</v>
      </c>
    </row>
    <row r="1623" spans="1:4" x14ac:dyDescent="0.45">
      <c r="A1623">
        <v>59184</v>
      </c>
      <c r="B1623" s="72">
        <v>38147</v>
      </c>
      <c r="C1623">
        <v>54.08</v>
      </c>
      <c r="D1623">
        <v>54.08</v>
      </c>
    </row>
    <row r="1624" spans="1:4" x14ac:dyDescent="0.45">
      <c r="A1624">
        <v>59184</v>
      </c>
      <c r="B1624" s="72">
        <v>38148</v>
      </c>
      <c r="C1624">
        <v>53.66</v>
      </c>
      <c r="D1624">
        <v>53.66</v>
      </c>
    </row>
    <row r="1625" spans="1:4" x14ac:dyDescent="0.45">
      <c r="A1625">
        <v>59184</v>
      </c>
      <c r="B1625" s="72">
        <v>38152</v>
      </c>
      <c r="C1625">
        <v>53.92</v>
      </c>
      <c r="D1625">
        <v>53.92</v>
      </c>
    </row>
    <row r="1626" spans="1:4" x14ac:dyDescent="0.45">
      <c r="A1626">
        <v>59184</v>
      </c>
      <c r="B1626" s="72">
        <v>38153</v>
      </c>
      <c r="C1626">
        <v>54.22</v>
      </c>
      <c r="D1626">
        <v>54.22</v>
      </c>
    </row>
    <row r="1627" spans="1:4" x14ac:dyDescent="0.45">
      <c r="A1627">
        <v>59184</v>
      </c>
      <c r="B1627" s="72">
        <v>38154</v>
      </c>
      <c r="C1627">
        <v>54.11</v>
      </c>
      <c r="D1627">
        <v>54.11</v>
      </c>
    </row>
    <row r="1628" spans="1:4" x14ac:dyDescent="0.45">
      <c r="A1628">
        <v>59184</v>
      </c>
      <c r="B1628" s="72">
        <v>38155</v>
      </c>
      <c r="C1628">
        <v>53.83</v>
      </c>
      <c r="D1628">
        <v>53.83</v>
      </c>
    </row>
    <row r="1629" spans="1:4" x14ac:dyDescent="0.45">
      <c r="A1629">
        <v>59184</v>
      </c>
      <c r="B1629" s="72">
        <v>38156</v>
      </c>
      <c r="C1629">
        <v>54</v>
      </c>
      <c r="D1629">
        <v>54</v>
      </c>
    </row>
    <row r="1630" spans="1:4" x14ac:dyDescent="0.45">
      <c r="A1630">
        <v>59184</v>
      </c>
      <c r="B1630" s="72">
        <v>38159</v>
      </c>
      <c r="C1630">
        <v>53.98</v>
      </c>
      <c r="D1630">
        <v>53.98</v>
      </c>
    </row>
    <row r="1631" spans="1:4" x14ac:dyDescent="0.45">
      <c r="A1631">
        <v>59184</v>
      </c>
      <c r="B1631" s="72">
        <v>38160</v>
      </c>
      <c r="C1631">
        <v>53.93</v>
      </c>
      <c r="D1631">
        <v>53.93</v>
      </c>
    </row>
    <row r="1632" spans="1:4" x14ac:dyDescent="0.45">
      <c r="A1632">
        <v>59184</v>
      </c>
      <c r="B1632" s="72">
        <v>38161</v>
      </c>
      <c r="C1632">
        <v>54.04</v>
      </c>
      <c r="D1632">
        <v>54.04</v>
      </c>
    </row>
    <row r="1633" spans="1:4" x14ac:dyDescent="0.45">
      <c r="A1633">
        <v>59184</v>
      </c>
      <c r="B1633" s="72">
        <v>38162</v>
      </c>
      <c r="C1633">
        <v>54</v>
      </c>
      <c r="D1633">
        <v>54</v>
      </c>
    </row>
    <row r="1634" spans="1:4" x14ac:dyDescent="0.45">
      <c r="A1634">
        <v>59184</v>
      </c>
      <c r="B1634" s="72">
        <v>38163</v>
      </c>
      <c r="C1634">
        <v>53.72</v>
      </c>
      <c r="D1634">
        <v>53.72</v>
      </c>
    </row>
    <row r="1635" spans="1:4" x14ac:dyDescent="0.45">
      <c r="A1635">
        <v>59184</v>
      </c>
      <c r="B1635" s="72">
        <v>38166</v>
      </c>
      <c r="C1635">
        <v>53.89</v>
      </c>
      <c r="D1635">
        <v>53.89</v>
      </c>
    </row>
    <row r="1636" spans="1:4" x14ac:dyDescent="0.45">
      <c r="A1636">
        <v>59184</v>
      </c>
      <c r="B1636" s="72">
        <v>38167</v>
      </c>
      <c r="C1636">
        <v>54.22</v>
      </c>
      <c r="D1636">
        <v>54.22</v>
      </c>
    </row>
    <row r="1637" spans="1:4" x14ac:dyDescent="0.45">
      <c r="A1637">
        <v>59184</v>
      </c>
      <c r="B1637" s="72">
        <v>38168</v>
      </c>
      <c r="C1637">
        <v>54</v>
      </c>
      <c r="D1637">
        <v>54</v>
      </c>
    </row>
    <row r="1638" spans="1:4" x14ac:dyDescent="0.45">
      <c r="A1638">
        <v>59184</v>
      </c>
      <c r="B1638" s="72">
        <v>38169</v>
      </c>
      <c r="C1638">
        <v>53.93</v>
      </c>
      <c r="D1638">
        <v>53.93</v>
      </c>
    </row>
    <row r="1639" spans="1:4" x14ac:dyDescent="0.45">
      <c r="A1639">
        <v>59184</v>
      </c>
      <c r="B1639" s="72">
        <v>38170</v>
      </c>
      <c r="C1639">
        <v>53.87</v>
      </c>
      <c r="D1639">
        <v>53.87</v>
      </c>
    </row>
    <row r="1640" spans="1:4" x14ac:dyDescent="0.45">
      <c r="A1640">
        <v>59184</v>
      </c>
      <c r="B1640" s="72">
        <v>38174</v>
      </c>
      <c r="C1640">
        <v>54.11</v>
      </c>
      <c r="D1640">
        <v>54.11</v>
      </c>
    </row>
    <row r="1641" spans="1:4" x14ac:dyDescent="0.45">
      <c r="A1641">
        <v>59184</v>
      </c>
      <c r="B1641" s="72">
        <v>38175</v>
      </c>
      <c r="C1641">
        <v>54.09</v>
      </c>
      <c r="D1641">
        <v>54.09</v>
      </c>
    </row>
    <row r="1642" spans="1:4" x14ac:dyDescent="0.45">
      <c r="A1642">
        <v>59184</v>
      </c>
      <c r="B1642" s="72">
        <v>38176</v>
      </c>
      <c r="C1642">
        <v>53.87</v>
      </c>
      <c r="D1642">
        <v>53.87</v>
      </c>
    </row>
    <row r="1643" spans="1:4" x14ac:dyDescent="0.45">
      <c r="A1643">
        <v>59184</v>
      </c>
      <c r="B1643" s="72">
        <v>38177</v>
      </c>
      <c r="C1643">
        <v>53.64</v>
      </c>
      <c r="D1643">
        <v>53.64</v>
      </c>
    </row>
    <row r="1644" spans="1:4" x14ac:dyDescent="0.45">
      <c r="A1644">
        <v>59184</v>
      </c>
      <c r="B1644" s="72">
        <v>38180</v>
      </c>
      <c r="C1644">
        <v>54.14</v>
      </c>
      <c r="D1644">
        <v>54.14</v>
      </c>
    </row>
    <row r="1645" spans="1:4" x14ac:dyDescent="0.45">
      <c r="A1645">
        <v>59184</v>
      </c>
      <c r="B1645" s="72">
        <v>38181</v>
      </c>
      <c r="C1645">
        <v>54.07</v>
      </c>
      <c r="D1645">
        <v>54.07</v>
      </c>
    </row>
    <row r="1646" spans="1:4" x14ac:dyDescent="0.45">
      <c r="A1646">
        <v>59184</v>
      </c>
      <c r="B1646" s="72">
        <v>38182</v>
      </c>
      <c r="C1646">
        <v>54.29</v>
      </c>
      <c r="D1646">
        <v>54.29</v>
      </c>
    </row>
    <row r="1647" spans="1:4" x14ac:dyDescent="0.45">
      <c r="A1647">
        <v>59184</v>
      </c>
      <c r="B1647" s="72">
        <v>38183</v>
      </c>
      <c r="C1647">
        <v>54.17</v>
      </c>
      <c r="D1647">
        <v>54.17</v>
      </c>
    </row>
    <row r="1648" spans="1:4" x14ac:dyDescent="0.45">
      <c r="A1648">
        <v>59184</v>
      </c>
      <c r="B1648" s="72">
        <v>38184</v>
      </c>
      <c r="C1648">
        <v>53.65</v>
      </c>
      <c r="D1648">
        <v>53.65</v>
      </c>
    </row>
    <row r="1649" spans="1:4" x14ac:dyDescent="0.45">
      <c r="A1649">
        <v>59184</v>
      </c>
      <c r="B1649" s="72">
        <v>38187</v>
      </c>
      <c r="C1649">
        <v>53.3</v>
      </c>
      <c r="D1649">
        <v>53.3</v>
      </c>
    </row>
    <row r="1650" spans="1:4" x14ac:dyDescent="0.45">
      <c r="A1650">
        <v>59184</v>
      </c>
      <c r="B1650" s="72">
        <v>38188</v>
      </c>
      <c r="C1650">
        <v>53.2</v>
      </c>
      <c r="D1650">
        <v>53.2</v>
      </c>
    </row>
    <row r="1651" spans="1:4" x14ac:dyDescent="0.45">
      <c r="A1651">
        <v>59184</v>
      </c>
      <c r="B1651" s="72">
        <v>38189</v>
      </c>
      <c r="C1651">
        <v>52.19</v>
      </c>
      <c r="D1651">
        <v>52.19</v>
      </c>
    </row>
    <row r="1652" spans="1:4" x14ac:dyDescent="0.45">
      <c r="A1652">
        <v>59184</v>
      </c>
      <c r="B1652" s="72">
        <v>38190</v>
      </c>
      <c r="C1652">
        <v>51.83</v>
      </c>
      <c r="D1652">
        <v>51.83</v>
      </c>
    </row>
    <row r="1653" spans="1:4" x14ac:dyDescent="0.45">
      <c r="A1653">
        <v>59184</v>
      </c>
      <c r="B1653" s="72">
        <v>38191</v>
      </c>
      <c r="C1653">
        <v>51.44</v>
      </c>
      <c r="D1653">
        <v>51.44</v>
      </c>
    </row>
    <row r="1654" spans="1:4" x14ac:dyDescent="0.45">
      <c r="A1654">
        <v>59184</v>
      </c>
      <c r="B1654" s="72">
        <v>38194</v>
      </c>
      <c r="C1654">
        <v>51.65</v>
      </c>
      <c r="D1654">
        <v>51.65</v>
      </c>
    </row>
    <row r="1655" spans="1:4" x14ac:dyDescent="0.45">
      <c r="A1655">
        <v>59184</v>
      </c>
      <c r="B1655" s="72">
        <v>38195</v>
      </c>
      <c r="C1655">
        <v>51.9</v>
      </c>
      <c r="D1655">
        <v>51.9</v>
      </c>
    </row>
    <row r="1656" spans="1:4" x14ac:dyDescent="0.45">
      <c r="A1656">
        <v>59184</v>
      </c>
      <c r="B1656" s="72">
        <v>38196</v>
      </c>
      <c r="C1656">
        <v>52.33</v>
      </c>
      <c r="D1656">
        <v>52.33</v>
      </c>
    </row>
    <row r="1657" spans="1:4" x14ac:dyDescent="0.45">
      <c r="A1657">
        <v>59184</v>
      </c>
      <c r="B1657" s="72">
        <v>38197</v>
      </c>
      <c r="C1657">
        <v>51.18</v>
      </c>
      <c r="D1657">
        <v>51.18</v>
      </c>
    </row>
    <row r="1658" spans="1:4" x14ac:dyDescent="0.45">
      <c r="A1658">
        <v>59184</v>
      </c>
      <c r="B1658" s="72">
        <v>38198</v>
      </c>
      <c r="C1658">
        <v>51.9</v>
      </c>
      <c r="D1658">
        <v>51.9</v>
      </c>
    </row>
    <row r="1659" spans="1:4" x14ac:dyDescent="0.45">
      <c r="A1659">
        <v>59184</v>
      </c>
      <c r="B1659" s="72">
        <v>38201</v>
      </c>
      <c r="C1659">
        <v>52.76</v>
      </c>
      <c r="D1659">
        <v>52.76</v>
      </c>
    </row>
    <row r="1660" spans="1:4" x14ac:dyDescent="0.45">
      <c r="A1660">
        <v>59184</v>
      </c>
      <c r="B1660" s="72">
        <v>38202</v>
      </c>
      <c r="C1660">
        <v>52.36</v>
      </c>
      <c r="D1660">
        <v>52.36</v>
      </c>
    </row>
    <row r="1661" spans="1:4" x14ac:dyDescent="0.45">
      <c r="A1661">
        <v>59184</v>
      </c>
      <c r="B1661" s="72">
        <v>38203</v>
      </c>
      <c r="C1661">
        <v>52.78</v>
      </c>
      <c r="D1661">
        <v>52.78</v>
      </c>
    </row>
    <row r="1662" spans="1:4" x14ac:dyDescent="0.45">
      <c r="A1662">
        <v>59184</v>
      </c>
      <c r="B1662" s="72">
        <v>38204</v>
      </c>
      <c r="C1662">
        <v>52.18</v>
      </c>
      <c r="D1662">
        <v>52.18</v>
      </c>
    </row>
    <row r="1663" spans="1:4" x14ac:dyDescent="0.45">
      <c r="A1663">
        <v>59184</v>
      </c>
      <c r="B1663" s="72">
        <v>38205</v>
      </c>
      <c r="C1663">
        <v>51.88</v>
      </c>
      <c r="D1663">
        <v>51.88</v>
      </c>
    </row>
    <row r="1664" spans="1:4" x14ac:dyDescent="0.45">
      <c r="A1664">
        <v>59184</v>
      </c>
      <c r="B1664" s="72">
        <v>38208</v>
      </c>
      <c r="C1664">
        <v>51.97</v>
      </c>
      <c r="D1664">
        <v>51.97</v>
      </c>
    </row>
    <row r="1665" spans="1:4" x14ac:dyDescent="0.45">
      <c r="A1665">
        <v>59184</v>
      </c>
      <c r="B1665" s="72">
        <v>38209</v>
      </c>
      <c r="C1665">
        <v>52.29</v>
      </c>
      <c r="D1665">
        <v>52.29</v>
      </c>
    </row>
    <row r="1666" spans="1:4" x14ac:dyDescent="0.45">
      <c r="A1666">
        <v>59184</v>
      </c>
      <c r="B1666" s="72">
        <v>38210</v>
      </c>
      <c r="C1666">
        <v>52.79</v>
      </c>
      <c r="D1666">
        <v>52.79</v>
      </c>
    </row>
    <row r="1667" spans="1:4" x14ac:dyDescent="0.45">
      <c r="A1667">
        <v>59184</v>
      </c>
      <c r="B1667" s="72">
        <v>38211</v>
      </c>
      <c r="C1667">
        <v>52.79</v>
      </c>
      <c r="D1667">
        <v>52.79</v>
      </c>
    </row>
    <row r="1668" spans="1:4" x14ac:dyDescent="0.45">
      <c r="A1668">
        <v>59184</v>
      </c>
      <c r="B1668" s="72">
        <v>38212</v>
      </c>
      <c r="C1668">
        <v>52.57</v>
      </c>
      <c r="D1668">
        <v>52.57</v>
      </c>
    </row>
    <row r="1669" spans="1:4" x14ac:dyDescent="0.45">
      <c r="A1669">
        <v>59184</v>
      </c>
      <c r="B1669" s="72">
        <v>38215</v>
      </c>
      <c r="C1669">
        <v>52.52</v>
      </c>
      <c r="D1669">
        <v>52.52</v>
      </c>
    </row>
    <row r="1670" spans="1:4" x14ac:dyDescent="0.45">
      <c r="A1670">
        <v>59184</v>
      </c>
      <c r="B1670" s="72">
        <v>38216</v>
      </c>
      <c r="C1670">
        <v>52.96</v>
      </c>
      <c r="D1670">
        <v>52.96</v>
      </c>
    </row>
    <row r="1671" spans="1:4" x14ac:dyDescent="0.45">
      <c r="A1671">
        <v>59184</v>
      </c>
      <c r="B1671" s="72">
        <v>38217</v>
      </c>
      <c r="C1671">
        <v>53.07</v>
      </c>
      <c r="D1671">
        <v>53.07</v>
      </c>
    </row>
    <row r="1672" spans="1:4" x14ac:dyDescent="0.45">
      <c r="A1672">
        <v>59184</v>
      </c>
      <c r="B1672" s="72">
        <v>38218</v>
      </c>
      <c r="C1672">
        <v>52.55</v>
      </c>
      <c r="D1672">
        <v>52.55</v>
      </c>
    </row>
    <row r="1673" spans="1:4" x14ac:dyDescent="0.45">
      <c r="A1673">
        <v>59184</v>
      </c>
      <c r="B1673" s="72">
        <v>38219</v>
      </c>
      <c r="C1673">
        <v>52.58</v>
      </c>
      <c r="D1673">
        <v>52.58</v>
      </c>
    </row>
    <row r="1674" spans="1:4" x14ac:dyDescent="0.45">
      <c r="A1674">
        <v>59184</v>
      </c>
      <c r="B1674" s="72">
        <v>38222</v>
      </c>
      <c r="C1674">
        <v>52.75</v>
      </c>
      <c r="D1674">
        <v>52.75</v>
      </c>
    </row>
    <row r="1675" spans="1:4" x14ac:dyDescent="0.45">
      <c r="A1675">
        <v>59184</v>
      </c>
      <c r="B1675" s="72">
        <v>38223</v>
      </c>
      <c r="C1675">
        <v>52.52</v>
      </c>
      <c r="D1675">
        <v>52.52</v>
      </c>
    </row>
    <row r="1676" spans="1:4" x14ac:dyDescent="0.45">
      <c r="A1676">
        <v>59184</v>
      </c>
      <c r="B1676" s="72">
        <v>38224</v>
      </c>
      <c r="C1676">
        <v>52.78</v>
      </c>
      <c r="D1676">
        <v>52.78</v>
      </c>
    </row>
    <row r="1677" spans="1:4" x14ac:dyDescent="0.45">
      <c r="A1677">
        <v>59184</v>
      </c>
      <c r="B1677" s="72">
        <v>38225</v>
      </c>
      <c r="C1677">
        <v>52.66</v>
      </c>
      <c r="D1677">
        <v>52.66</v>
      </c>
    </row>
    <row r="1678" spans="1:4" x14ac:dyDescent="0.45">
      <c r="A1678">
        <v>59184</v>
      </c>
      <c r="B1678" s="72">
        <v>38226</v>
      </c>
      <c r="C1678">
        <v>52.47</v>
      </c>
      <c r="D1678">
        <v>52.47</v>
      </c>
    </row>
    <row r="1679" spans="1:4" x14ac:dyDescent="0.45">
      <c r="A1679">
        <v>59184</v>
      </c>
      <c r="B1679" s="72">
        <v>38229</v>
      </c>
      <c r="C1679">
        <v>52.56</v>
      </c>
      <c r="D1679">
        <v>52.56</v>
      </c>
    </row>
    <row r="1680" spans="1:4" x14ac:dyDescent="0.45">
      <c r="A1680">
        <v>59184</v>
      </c>
      <c r="B1680" s="72">
        <v>38230</v>
      </c>
      <c r="C1680">
        <v>52.8</v>
      </c>
      <c r="D1680">
        <v>52.8</v>
      </c>
    </row>
    <row r="1681" spans="1:4" x14ac:dyDescent="0.45">
      <c r="A1681">
        <v>59184</v>
      </c>
      <c r="B1681" s="72">
        <v>38231</v>
      </c>
      <c r="C1681">
        <v>52.46</v>
      </c>
      <c r="D1681">
        <v>52.46</v>
      </c>
    </row>
    <row r="1682" spans="1:4" x14ac:dyDescent="0.45">
      <c r="A1682">
        <v>59184</v>
      </c>
      <c r="B1682" s="72">
        <v>38232</v>
      </c>
      <c r="C1682">
        <v>52.37</v>
      </c>
      <c r="D1682">
        <v>52.37</v>
      </c>
    </row>
    <row r="1683" spans="1:4" x14ac:dyDescent="0.45">
      <c r="A1683">
        <v>59184</v>
      </c>
      <c r="B1683" s="72">
        <v>38233</v>
      </c>
      <c r="C1683">
        <v>52.53</v>
      </c>
      <c r="D1683">
        <v>52.53</v>
      </c>
    </row>
    <row r="1684" spans="1:4" x14ac:dyDescent="0.45">
      <c r="A1684">
        <v>59184</v>
      </c>
      <c r="B1684" s="72">
        <v>38237</v>
      </c>
      <c r="C1684">
        <v>52.57</v>
      </c>
      <c r="D1684">
        <v>52.57</v>
      </c>
    </row>
    <row r="1685" spans="1:4" x14ac:dyDescent="0.45">
      <c r="A1685">
        <v>59184</v>
      </c>
      <c r="B1685" s="72">
        <v>38238</v>
      </c>
      <c r="C1685">
        <v>51.88</v>
      </c>
      <c r="D1685">
        <v>51.88</v>
      </c>
    </row>
    <row r="1686" spans="1:4" x14ac:dyDescent="0.45">
      <c r="A1686">
        <v>59184</v>
      </c>
      <c r="B1686" s="72">
        <v>38239</v>
      </c>
      <c r="C1686">
        <v>50.89</v>
      </c>
      <c r="D1686">
        <v>50.89</v>
      </c>
    </row>
    <row r="1687" spans="1:4" x14ac:dyDescent="0.45">
      <c r="A1687">
        <v>59184</v>
      </c>
      <c r="B1687" s="72">
        <v>38240</v>
      </c>
      <c r="C1687">
        <v>51.17</v>
      </c>
      <c r="D1687">
        <v>51.17</v>
      </c>
    </row>
    <row r="1688" spans="1:4" x14ac:dyDescent="0.45">
      <c r="A1688">
        <v>59184</v>
      </c>
      <c r="B1688" s="72">
        <v>38243</v>
      </c>
      <c r="C1688">
        <v>50.9</v>
      </c>
      <c r="D1688">
        <v>50.9</v>
      </c>
    </row>
    <row r="1689" spans="1:4" x14ac:dyDescent="0.45">
      <c r="A1689">
        <v>59184</v>
      </c>
      <c r="B1689" s="72">
        <v>38244</v>
      </c>
      <c r="C1689">
        <v>50.75</v>
      </c>
      <c r="D1689">
        <v>50.75</v>
      </c>
    </row>
    <row r="1690" spans="1:4" x14ac:dyDescent="0.45">
      <c r="A1690">
        <v>59184</v>
      </c>
      <c r="B1690" s="72">
        <v>38245</v>
      </c>
      <c r="C1690">
        <v>51.09</v>
      </c>
      <c r="D1690">
        <v>51.09</v>
      </c>
    </row>
    <row r="1691" spans="1:4" x14ac:dyDescent="0.45">
      <c r="A1691">
        <v>59184</v>
      </c>
      <c r="B1691" s="72">
        <v>38246</v>
      </c>
      <c r="C1691">
        <v>51.31</v>
      </c>
      <c r="D1691">
        <v>51.31</v>
      </c>
    </row>
    <row r="1692" spans="1:4" x14ac:dyDescent="0.45">
      <c r="A1692">
        <v>59184</v>
      </c>
      <c r="B1692" s="72">
        <v>38247</v>
      </c>
      <c r="C1692">
        <v>51.3</v>
      </c>
      <c r="D1692">
        <v>51.3</v>
      </c>
    </row>
    <row r="1693" spans="1:4" x14ac:dyDescent="0.45">
      <c r="A1693">
        <v>59184</v>
      </c>
      <c r="B1693" s="72">
        <v>38250</v>
      </c>
      <c r="C1693">
        <v>50.3</v>
      </c>
      <c r="D1693">
        <v>50.3</v>
      </c>
    </row>
    <row r="1694" spans="1:4" x14ac:dyDescent="0.45">
      <c r="A1694">
        <v>59184</v>
      </c>
      <c r="B1694" s="72">
        <v>38251</v>
      </c>
      <c r="C1694">
        <v>49.64</v>
      </c>
      <c r="D1694">
        <v>49.64</v>
      </c>
    </row>
    <row r="1695" spans="1:4" x14ac:dyDescent="0.45">
      <c r="A1695">
        <v>59184</v>
      </c>
      <c r="B1695" s="72">
        <v>38252</v>
      </c>
      <c r="C1695">
        <v>49.45</v>
      </c>
      <c r="D1695">
        <v>49.45</v>
      </c>
    </row>
    <row r="1696" spans="1:4" x14ac:dyDescent="0.45">
      <c r="A1696">
        <v>59184</v>
      </c>
      <c r="B1696" s="72">
        <v>38253</v>
      </c>
      <c r="C1696">
        <v>49.86</v>
      </c>
      <c r="D1696">
        <v>49.86</v>
      </c>
    </row>
    <row r="1697" spans="1:4" x14ac:dyDescent="0.45">
      <c r="A1697">
        <v>59184</v>
      </c>
      <c r="B1697" s="72">
        <v>38254</v>
      </c>
      <c r="C1697">
        <v>49.71</v>
      </c>
      <c r="D1697">
        <v>49.71</v>
      </c>
    </row>
    <row r="1698" spans="1:4" x14ac:dyDescent="0.45">
      <c r="A1698">
        <v>59184</v>
      </c>
      <c r="B1698" s="72">
        <v>38257</v>
      </c>
      <c r="C1698">
        <v>49.88</v>
      </c>
      <c r="D1698">
        <v>49.88</v>
      </c>
    </row>
    <row r="1699" spans="1:4" x14ac:dyDescent="0.45">
      <c r="A1699">
        <v>59184</v>
      </c>
      <c r="B1699" s="72">
        <v>38258</v>
      </c>
      <c r="C1699">
        <v>50.44</v>
      </c>
      <c r="D1699">
        <v>50.44</v>
      </c>
    </row>
    <row r="1700" spans="1:4" x14ac:dyDescent="0.45">
      <c r="A1700">
        <v>59184</v>
      </c>
      <c r="B1700" s="72">
        <v>38259</v>
      </c>
      <c r="C1700">
        <v>50.22</v>
      </c>
      <c r="D1700">
        <v>50.22</v>
      </c>
    </row>
    <row r="1701" spans="1:4" x14ac:dyDescent="0.45">
      <c r="A1701">
        <v>59184</v>
      </c>
      <c r="B1701" s="72">
        <v>38260</v>
      </c>
      <c r="C1701">
        <v>49.95</v>
      </c>
      <c r="D1701">
        <v>49.95</v>
      </c>
    </row>
    <row r="1702" spans="1:4" x14ac:dyDescent="0.45">
      <c r="A1702">
        <v>59184</v>
      </c>
      <c r="B1702" s="72">
        <v>38261</v>
      </c>
      <c r="C1702">
        <v>50.48</v>
      </c>
      <c r="D1702">
        <v>50.48</v>
      </c>
    </row>
    <row r="1703" spans="1:4" x14ac:dyDescent="0.45">
      <c r="A1703">
        <v>59184</v>
      </c>
      <c r="B1703" s="72">
        <v>38264</v>
      </c>
      <c r="C1703">
        <v>50.2</v>
      </c>
      <c r="D1703">
        <v>50.2</v>
      </c>
    </row>
    <row r="1704" spans="1:4" x14ac:dyDescent="0.45">
      <c r="A1704">
        <v>59184</v>
      </c>
      <c r="B1704" s="72">
        <v>38265</v>
      </c>
      <c r="C1704">
        <v>50.74</v>
      </c>
      <c r="D1704">
        <v>50.74</v>
      </c>
    </row>
    <row r="1705" spans="1:4" x14ac:dyDescent="0.45">
      <c r="A1705">
        <v>59184</v>
      </c>
      <c r="B1705" s="72">
        <v>38266</v>
      </c>
      <c r="C1705">
        <v>51.02</v>
      </c>
      <c r="D1705">
        <v>51.02</v>
      </c>
    </row>
    <row r="1706" spans="1:4" x14ac:dyDescent="0.45">
      <c r="A1706">
        <v>59184</v>
      </c>
      <c r="B1706" s="72">
        <v>38267</v>
      </c>
      <c r="C1706">
        <v>50.47</v>
      </c>
      <c r="D1706">
        <v>50.47</v>
      </c>
    </row>
    <row r="1707" spans="1:4" x14ac:dyDescent="0.45">
      <c r="A1707">
        <v>59184</v>
      </c>
      <c r="B1707" s="72">
        <v>38268</v>
      </c>
      <c r="C1707">
        <v>50.67</v>
      </c>
      <c r="D1707">
        <v>50.67</v>
      </c>
    </row>
    <row r="1708" spans="1:4" x14ac:dyDescent="0.45">
      <c r="A1708">
        <v>59184</v>
      </c>
      <c r="B1708" s="72">
        <v>38271</v>
      </c>
      <c r="C1708">
        <v>50.85</v>
      </c>
      <c r="D1708">
        <v>50.85</v>
      </c>
    </row>
    <row r="1709" spans="1:4" x14ac:dyDescent="0.45">
      <c r="A1709">
        <v>59184</v>
      </c>
      <c r="B1709" s="72">
        <v>38272</v>
      </c>
      <c r="C1709">
        <v>50.48</v>
      </c>
      <c r="D1709">
        <v>50.48</v>
      </c>
    </row>
    <row r="1710" spans="1:4" x14ac:dyDescent="0.45">
      <c r="A1710">
        <v>59184</v>
      </c>
      <c r="B1710" s="72">
        <v>38273</v>
      </c>
      <c r="C1710">
        <v>50.38</v>
      </c>
      <c r="D1710">
        <v>50.38</v>
      </c>
    </row>
    <row r="1711" spans="1:4" x14ac:dyDescent="0.45">
      <c r="A1711">
        <v>59184</v>
      </c>
      <c r="B1711" s="72">
        <v>38274</v>
      </c>
      <c r="C1711">
        <v>50.43</v>
      </c>
      <c r="D1711">
        <v>50.43</v>
      </c>
    </row>
    <row r="1712" spans="1:4" x14ac:dyDescent="0.45">
      <c r="A1712">
        <v>59184</v>
      </c>
      <c r="B1712" s="72">
        <v>38275</v>
      </c>
      <c r="C1712">
        <v>50.5</v>
      </c>
      <c r="D1712">
        <v>50.5</v>
      </c>
    </row>
    <row r="1713" spans="1:4" x14ac:dyDescent="0.45">
      <c r="A1713">
        <v>59184</v>
      </c>
      <c r="B1713" s="72">
        <v>38278</v>
      </c>
      <c r="C1713">
        <v>50.79</v>
      </c>
      <c r="D1713">
        <v>50.79</v>
      </c>
    </row>
    <row r="1714" spans="1:4" x14ac:dyDescent="0.45">
      <c r="A1714">
        <v>59184</v>
      </c>
      <c r="B1714" s="72">
        <v>38279</v>
      </c>
      <c r="C1714">
        <v>50.14</v>
      </c>
      <c r="D1714">
        <v>50.14</v>
      </c>
    </row>
    <row r="1715" spans="1:4" x14ac:dyDescent="0.45">
      <c r="A1715">
        <v>59184</v>
      </c>
      <c r="B1715" s="72">
        <v>38280</v>
      </c>
      <c r="C1715">
        <v>50.14</v>
      </c>
      <c r="D1715">
        <v>50.14</v>
      </c>
    </row>
    <row r="1716" spans="1:4" x14ac:dyDescent="0.45">
      <c r="A1716">
        <v>59184</v>
      </c>
      <c r="B1716" s="72">
        <v>38281</v>
      </c>
      <c r="C1716">
        <v>50.25</v>
      </c>
      <c r="D1716">
        <v>50.25</v>
      </c>
    </row>
    <row r="1717" spans="1:4" x14ac:dyDescent="0.45">
      <c r="A1717">
        <v>59184</v>
      </c>
      <c r="B1717" s="72">
        <v>38282</v>
      </c>
      <c r="C1717">
        <v>50.12</v>
      </c>
      <c r="D1717">
        <v>50.12</v>
      </c>
    </row>
    <row r="1718" spans="1:4" x14ac:dyDescent="0.45">
      <c r="A1718">
        <v>59184</v>
      </c>
      <c r="B1718" s="72">
        <v>38285</v>
      </c>
      <c r="C1718">
        <v>50.19</v>
      </c>
      <c r="D1718">
        <v>50.19</v>
      </c>
    </row>
    <row r="1719" spans="1:4" x14ac:dyDescent="0.45">
      <c r="A1719">
        <v>59184</v>
      </c>
      <c r="B1719" s="72">
        <v>38286</v>
      </c>
      <c r="C1719">
        <v>50.3</v>
      </c>
      <c r="D1719">
        <v>50.3</v>
      </c>
    </row>
    <row r="1720" spans="1:4" x14ac:dyDescent="0.45">
      <c r="A1720">
        <v>59184</v>
      </c>
      <c r="B1720" s="72">
        <v>38287</v>
      </c>
      <c r="C1720">
        <v>49.91</v>
      </c>
      <c r="D1720">
        <v>49.91</v>
      </c>
    </row>
    <row r="1721" spans="1:4" x14ac:dyDescent="0.45">
      <c r="A1721">
        <v>59184</v>
      </c>
      <c r="B1721" s="72">
        <v>38288</v>
      </c>
      <c r="C1721">
        <v>49.9</v>
      </c>
      <c r="D1721">
        <v>49.9</v>
      </c>
    </row>
    <row r="1722" spans="1:4" x14ac:dyDescent="0.45">
      <c r="A1722">
        <v>59184</v>
      </c>
      <c r="B1722" s="72">
        <v>38289</v>
      </c>
      <c r="C1722">
        <v>49.95</v>
      </c>
      <c r="D1722">
        <v>49.95</v>
      </c>
    </row>
    <row r="1723" spans="1:4" x14ac:dyDescent="0.45">
      <c r="A1723">
        <v>59184</v>
      </c>
      <c r="B1723" s="72">
        <v>38292</v>
      </c>
      <c r="C1723">
        <v>49.83</v>
      </c>
      <c r="D1723">
        <v>49.83</v>
      </c>
    </row>
    <row r="1724" spans="1:4" x14ac:dyDescent="0.45">
      <c r="A1724">
        <v>59184</v>
      </c>
      <c r="B1724" s="72">
        <v>38293</v>
      </c>
      <c r="C1724">
        <v>50.22</v>
      </c>
      <c r="D1724">
        <v>50.22</v>
      </c>
    </row>
    <row r="1725" spans="1:4" x14ac:dyDescent="0.45">
      <c r="A1725">
        <v>59184</v>
      </c>
      <c r="B1725" s="72">
        <v>38294</v>
      </c>
      <c r="C1725">
        <v>50.37</v>
      </c>
      <c r="D1725">
        <v>50.37</v>
      </c>
    </row>
    <row r="1726" spans="1:4" x14ac:dyDescent="0.45">
      <c r="A1726">
        <v>59184</v>
      </c>
      <c r="B1726" s="72">
        <v>38295</v>
      </c>
      <c r="C1726">
        <v>50.7</v>
      </c>
      <c r="D1726">
        <v>50.7</v>
      </c>
    </row>
    <row r="1727" spans="1:4" x14ac:dyDescent="0.45">
      <c r="A1727">
        <v>59184</v>
      </c>
      <c r="B1727" s="72">
        <v>38296</v>
      </c>
      <c r="C1727">
        <v>50.56</v>
      </c>
      <c r="D1727">
        <v>50.56</v>
      </c>
    </row>
    <row r="1728" spans="1:4" x14ac:dyDescent="0.45">
      <c r="A1728">
        <v>59184</v>
      </c>
      <c r="B1728" s="72">
        <v>38299</v>
      </c>
      <c r="C1728">
        <v>50.26</v>
      </c>
      <c r="D1728">
        <v>50.26</v>
      </c>
    </row>
    <row r="1729" spans="1:4" x14ac:dyDescent="0.45">
      <c r="A1729">
        <v>59184</v>
      </c>
      <c r="B1729" s="72">
        <v>38300</v>
      </c>
      <c r="C1729">
        <v>51.07</v>
      </c>
      <c r="D1729">
        <v>51.07</v>
      </c>
    </row>
    <row r="1730" spans="1:4" x14ac:dyDescent="0.45">
      <c r="A1730">
        <v>59184</v>
      </c>
      <c r="B1730" s="72">
        <v>38301</v>
      </c>
      <c r="C1730">
        <v>50.65</v>
      </c>
      <c r="D1730">
        <v>50.65</v>
      </c>
    </row>
    <row r="1731" spans="1:4" x14ac:dyDescent="0.45">
      <c r="A1731">
        <v>59184</v>
      </c>
      <c r="B1731" s="72">
        <v>38302</v>
      </c>
      <c r="C1731">
        <v>50.71</v>
      </c>
      <c r="D1731">
        <v>50.71</v>
      </c>
    </row>
    <row r="1732" spans="1:4" x14ac:dyDescent="0.45">
      <c r="A1732">
        <v>59184</v>
      </c>
      <c r="B1732" s="72">
        <v>38303</v>
      </c>
      <c r="C1732">
        <v>51.06</v>
      </c>
      <c r="D1732">
        <v>51.06</v>
      </c>
    </row>
    <row r="1733" spans="1:4" x14ac:dyDescent="0.45">
      <c r="A1733">
        <v>59184</v>
      </c>
      <c r="B1733" s="72">
        <v>38306</v>
      </c>
      <c r="C1733">
        <v>50.94</v>
      </c>
      <c r="D1733">
        <v>50.94</v>
      </c>
    </row>
    <row r="1734" spans="1:4" x14ac:dyDescent="0.45">
      <c r="A1734">
        <v>59184</v>
      </c>
      <c r="B1734" s="72">
        <v>38307</v>
      </c>
      <c r="C1734">
        <v>50.73</v>
      </c>
      <c r="D1734">
        <v>50.73</v>
      </c>
    </row>
    <row r="1735" spans="1:4" x14ac:dyDescent="0.45">
      <c r="A1735">
        <v>59184</v>
      </c>
      <c r="B1735" s="72">
        <v>38308</v>
      </c>
      <c r="C1735">
        <v>50.95</v>
      </c>
      <c r="D1735">
        <v>50.95</v>
      </c>
    </row>
    <row r="1736" spans="1:4" x14ac:dyDescent="0.45">
      <c r="A1736">
        <v>59184</v>
      </c>
      <c r="B1736" s="72">
        <v>38309</v>
      </c>
      <c r="C1736">
        <v>50.88</v>
      </c>
      <c r="D1736">
        <v>50.88</v>
      </c>
    </row>
    <row r="1737" spans="1:4" x14ac:dyDescent="0.45">
      <c r="A1737">
        <v>59184</v>
      </c>
      <c r="B1737" s="72">
        <v>38310</v>
      </c>
      <c r="C1737">
        <v>50.26</v>
      </c>
      <c r="D1737">
        <v>50.26</v>
      </c>
    </row>
    <row r="1738" spans="1:4" x14ac:dyDescent="0.45">
      <c r="A1738">
        <v>59184</v>
      </c>
      <c r="B1738" s="72">
        <v>38313</v>
      </c>
      <c r="C1738">
        <v>50.27</v>
      </c>
      <c r="D1738">
        <v>50.27</v>
      </c>
    </row>
    <row r="1739" spans="1:4" x14ac:dyDescent="0.45">
      <c r="A1739">
        <v>59184</v>
      </c>
      <c r="B1739" s="72">
        <v>38314</v>
      </c>
      <c r="C1739">
        <v>50.21</v>
      </c>
      <c r="D1739">
        <v>50.21</v>
      </c>
    </row>
    <row r="1740" spans="1:4" x14ac:dyDescent="0.45">
      <c r="A1740">
        <v>59184</v>
      </c>
      <c r="B1740" s="72">
        <v>38315</v>
      </c>
      <c r="C1740">
        <v>50.2</v>
      </c>
      <c r="D1740">
        <v>50.2</v>
      </c>
    </row>
    <row r="1741" spans="1:4" x14ac:dyDescent="0.45">
      <c r="A1741">
        <v>59184</v>
      </c>
      <c r="B1741" s="72">
        <v>38317</v>
      </c>
      <c r="C1741">
        <v>50.2</v>
      </c>
      <c r="D1741">
        <v>50.2</v>
      </c>
    </row>
    <row r="1742" spans="1:4" x14ac:dyDescent="0.45">
      <c r="A1742">
        <v>59184</v>
      </c>
      <c r="B1742" s="72">
        <v>38320</v>
      </c>
      <c r="C1742">
        <v>50.03</v>
      </c>
      <c r="D1742">
        <v>50.03</v>
      </c>
    </row>
    <row r="1743" spans="1:4" x14ac:dyDescent="0.45">
      <c r="A1743">
        <v>59184</v>
      </c>
      <c r="B1743" s="72">
        <v>38321</v>
      </c>
      <c r="C1743">
        <v>50.09</v>
      </c>
      <c r="D1743">
        <v>50.09</v>
      </c>
    </row>
    <row r="1744" spans="1:4" x14ac:dyDescent="0.45">
      <c r="A1744">
        <v>59184</v>
      </c>
      <c r="B1744" s="72">
        <v>38322</v>
      </c>
      <c r="C1744">
        <v>50.68</v>
      </c>
      <c r="D1744">
        <v>50.68</v>
      </c>
    </row>
    <row r="1745" spans="1:4" x14ac:dyDescent="0.45">
      <c r="A1745">
        <v>59184</v>
      </c>
      <c r="B1745" s="72">
        <v>38323</v>
      </c>
      <c r="C1745">
        <v>50.57</v>
      </c>
      <c r="D1745">
        <v>50.57</v>
      </c>
    </row>
    <row r="1746" spans="1:4" x14ac:dyDescent="0.45">
      <c r="A1746">
        <v>59184</v>
      </c>
      <c r="B1746" s="72">
        <v>38324</v>
      </c>
      <c r="C1746">
        <v>50.79</v>
      </c>
      <c r="D1746">
        <v>50.79</v>
      </c>
    </row>
    <row r="1747" spans="1:4" x14ac:dyDescent="0.45">
      <c r="A1747">
        <v>59184</v>
      </c>
      <c r="B1747" s="72">
        <v>38327</v>
      </c>
      <c r="C1747">
        <v>50.25</v>
      </c>
      <c r="D1747">
        <v>50.25</v>
      </c>
    </row>
    <row r="1748" spans="1:4" x14ac:dyDescent="0.45">
      <c r="A1748">
        <v>59184</v>
      </c>
      <c r="B1748" s="72">
        <v>38328</v>
      </c>
      <c r="C1748">
        <v>50.19</v>
      </c>
      <c r="D1748">
        <v>50.19</v>
      </c>
    </row>
    <row r="1749" spans="1:4" x14ac:dyDescent="0.45">
      <c r="A1749">
        <v>59184</v>
      </c>
      <c r="B1749" s="72">
        <v>38329</v>
      </c>
      <c r="C1749">
        <v>50.4</v>
      </c>
      <c r="D1749">
        <v>50.4</v>
      </c>
    </row>
    <row r="1750" spans="1:4" x14ac:dyDescent="0.45">
      <c r="A1750">
        <v>59184</v>
      </c>
      <c r="B1750" s="72">
        <v>38330</v>
      </c>
      <c r="C1750">
        <v>50.67</v>
      </c>
      <c r="D1750">
        <v>50.67</v>
      </c>
    </row>
    <row r="1751" spans="1:4" x14ac:dyDescent="0.45">
      <c r="A1751">
        <v>59184</v>
      </c>
      <c r="B1751" s="72">
        <v>38331</v>
      </c>
      <c r="C1751">
        <v>50.3</v>
      </c>
      <c r="D1751">
        <v>50.3</v>
      </c>
    </row>
    <row r="1752" spans="1:4" x14ac:dyDescent="0.45">
      <c r="A1752">
        <v>59184</v>
      </c>
      <c r="B1752" s="72">
        <v>38334</v>
      </c>
      <c r="C1752">
        <v>50.45</v>
      </c>
      <c r="D1752">
        <v>50.45</v>
      </c>
    </row>
    <row r="1753" spans="1:4" x14ac:dyDescent="0.45">
      <c r="A1753">
        <v>59184</v>
      </c>
      <c r="B1753" s="72">
        <v>38335</v>
      </c>
      <c r="C1753">
        <v>50.55</v>
      </c>
      <c r="D1753">
        <v>50.55</v>
      </c>
    </row>
    <row r="1754" spans="1:4" x14ac:dyDescent="0.45">
      <c r="A1754">
        <v>59184</v>
      </c>
      <c r="B1754" s="72">
        <v>38336</v>
      </c>
      <c r="C1754">
        <v>50.3</v>
      </c>
      <c r="D1754">
        <v>50.3</v>
      </c>
    </row>
    <row r="1755" spans="1:4" x14ac:dyDescent="0.45">
      <c r="A1755">
        <v>59184</v>
      </c>
      <c r="B1755" s="72">
        <v>38337</v>
      </c>
      <c r="C1755">
        <v>50.57</v>
      </c>
      <c r="D1755">
        <v>50.57</v>
      </c>
    </row>
    <row r="1756" spans="1:4" x14ac:dyDescent="0.45">
      <c r="A1756">
        <v>59184</v>
      </c>
      <c r="B1756" s="72">
        <v>38338</v>
      </c>
      <c r="C1756">
        <v>50.6</v>
      </c>
      <c r="D1756">
        <v>50.6</v>
      </c>
    </row>
    <row r="1757" spans="1:4" x14ac:dyDescent="0.45">
      <c r="A1757">
        <v>59184</v>
      </c>
      <c r="B1757" s="72">
        <v>38341</v>
      </c>
      <c r="C1757">
        <v>50.67</v>
      </c>
      <c r="D1757">
        <v>50.67</v>
      </c>
    </row>
    <row r="1758" spans="1:4" x14ac:dyDescent="0.45">
      <c r="A1758">
        <v>59184</v>
      </c>
      <c r="B1758" s="72">
        <v>38342</v>
      </c>
      <c r="C1758">
        <v>50.65</v>
      </c>
      <c r="D1758">
        <v>50.65</v>
      </c>
    </row>
    <row r="1759" spans="1:4" x14ac:dyDescent="0.45">
      <c r="A1759">
        <v>59184</v>
      </c>
      <c r="B1759" s="72">
        <v>38343</v>
      </c>
      <c r="C1759">
        <v>50.64</v>
      </c>
      <c r="D1759">
        <v>50.64</v>
      </c>
    </row>
    <row r="1760" spans="1:4" x14ac:dyDescent="0.45">
      <c r="A1760">
        <v>59184</v>
      </c>
      <c r="B1760" s="72">
        <v>38344</v>
      </c>
      <c r="C1760">
        <v>50.81</v>
      </c>
      <c r="D1760">
        <v>50.81</v>
      </c>
    </row>
    <row r="1761" spans="1:4" x14ac:dyDescent="0.45">
      <c r="A1761">
        <v>59184</v>
      </c>
      <c r="B1761" s="72">
        <v>38348</v>
      </c>
      <c r="C1761">
        <v>50.5</v>
      </c>
      <c r="D1761">
        <v>50.5</v>
      </c>
    </row>
    <row r="1762" spans="1:4" x14ac:dyDescent="0.45">
      <c r="A1762">
        <v>59184</v>
      </c>
      <c r="B1762" s="72">
        <v>38349</v>
      </c>
      <c r="C1762">
        <v>50.78</v>
      </c>
      <c r="D1762">
        <v>50.78</v>
      </c>
    </row>
    <row r="1763" spans="1:4" x14ac:dyDescent="0.45">
      <c r="A1763">
        <v>59184</v>
      </c>
      <c r="B1763" s="72">
        <v>38350</v>
      </c>
      <c r="C1763">
        <v>50.66</v>
      </c>
      <c r="D1763">
        <v>50.66</v>
      </c>
    </row>
    <row r="1764" spans="1:4" x14ac:dyDescent="0.45">
      <c r="A1764">
        <v>59184</v>
      </c>
      <c r="B1764" s="72">
        <v>38351</v>
      </c>
      <c r="C1764">
        <v>50.87</v>
      </c>
      <c r="D1764">
        <v>50.87</v>
      </c>
    </row>
    <row r="1765" spans="1:4" x14ac:dyDescent="0.45">
      <c r="A1765">
        <v>59184</v>
      </c>
      <c r="B1765" s="72">
        <v>38352</v>
      </c>
      <c r="C1765">
        <v>50.73</v>
      </c>
      <c r="D1765">
        <v>50.73</v>
      </c>
    </row>
    <row r="1766" spans="1:4" x14ac:dyDescent="0.45">
      <c r="A1766">
        <v>59184</v>
      </c>
      <c r="B1766" s="72">
        <v>38355</v>
      </c>
      <c r="C1766">
        <v>50.52</v>
      </c>
      <c r="D1766">
        <v>50.52</v>
      </c>
    </row>
    <row r="1767" spans="1:4" x14ac:dyDescent="0.45">
      <c r="A1767">
        <v>59184</v>
      </c>
      <c r="B1767" s="72">
        <v>38356</v>
      </c>
      <c r="C1767">
        <v>50.48</v>
      </c>
      <c r="D1767">
        <v>50.48</v>
      </c>
    </row>
    <row r="1768" spans="1:4" x14ac:dyDescent="0.45">
      <c r="A1768">
        <v>59184</v>
      </c>
      <c r="B1768" s="72">
        <v>38357</v>
      </c>
      <c r="C1768">
        <v>49.95</v>
      </c>
      <c r="D1768">
        <v>49.95</v>
      </c>
    </row>
    <row r="1769" spans="1:4" x14ac:dyDescent="0.45">
      <c r="A1769">
        <v>59184</v>
      </c>
      <c r="B1769" s="72">
        <v>38358</v>
      </c>
      <c r="C1769">
        <v>49.2</v>
      </c>
      <c r="D1769">
        <v>49.2</v>
      </c>
    </row>
    <row r="1770" spans="1:4" x14ac:dyDescent="0.45">
      <c r="A1770">
        <v>59184</v>
      </c>
      <c r="B1770" s="72">
        <v>38359</v>
      </c>
      <c r="C1770">
        <v>49.23</v>
      </c>
      <c r="D1770">
        <v>49.23</v>
      </c>
    </row>
    <row r="1771" spans="1:4" x14ac:dyDescent="0.45">
      <c r="A1771">
        <v>59184</v>
      </c>
      <c r="B1771" s="72">
        <v>38362</v>
      </c>
      <c r="C1771">
        <v>49.28</v>
      </c>
      <c r="D1771">
        <v>49.28</v>
      </c>
    </row>
    <row r="1772" spans="1:4" x14ac:dyDescent="0.45">
      <c r="A1772">
        <v>59184</v>
      </c>
      <c r="B1772" s="72">
        <v>38363</v>
      </c>
      <c r="C1772">
        <v>49.15</v>
      </c>
      <c r="D1772">
        <v>49.15</v>
      </c>
    </row>
    <row r="1773" spans="1:4" x14ac:dyDescent="0.45">
      <c r="A1773">
        <v>59184</v>
      </c>
      <c r="B1773" s="72">
        <v>38364</v>
      </c>
      <c r="C1773">
        <v>49.17</v>
      </c>
      <c r="D1773">
        <v>49.17</v>
      </c>
    </row>
    <row r="1774" spans="1:4" x14ac:dyDescent="0.45">
      <c r="A1774">
        <v>59184</v>
      </c>
      <c r="B1774" s="72">
        <v>38365</v>
      </c>
      <c r="C1774">
        <v>49.11</v>
      </c>
      <c r="D1774">
        <v>49.11</v>
      </c>
    </row>
    <row r="1775" spans="1:4" x14ac:dyDescent="0.45">
      <c r="A1775">
        <v>59184</v>
      </c>
      <c r="B1775" s="72">
        <v>38366</v>
      </c>
      <c r="C1775">
        <v>49.06</v>
      </c>
      <c r="D1775">
        <v>49.06</v>
      </c>
    </row>
    <row r="1776" spans="1:4" x14ac:dyDescent="0.45">
      <c r="A1776">
        <v>59184</v>
      </c>
      <c r="B1776" s="72">
        <v>38370</v>
      </c>
      <c r="C1776">
        <v>49.09</v>
      </c>
      <c r="D1776">
        <v>49.09</v>
      </c>
    </row>
    <row r="1777" spans="1:4" x14ac:dyDescent="0.45">
      <c r="A1777">
        <v>59184</v>
      </c>
      <c r="B1777" s="72">
        <v>38371</v>
      </c>
      <c r="C1777">
        <v>49.1</v>
      </c>
      <c r="D1777">
        <v>49.1</v>
      </c>
    </row>
    <row r="1778" spans="1:4" x14ac:dyDescent="0.45">
      <c r="A1778">
        <v>59184</v>
      </c>
      <c r="B1778" s="72">
        <v>38372</v>
      </c>
      <c r="C1778">
        <v>48.86</v>
      </c>
      <c r="D1778">
        <v>48.86</v>
      </c>
    </row>
    <row r="1779" spans="1:4" x14ac:dyDescent="0.45">
      <c r="A1779">
        <v>59184</v>
      </c>
      <c r="B1779" s="72">
        <v>38373</v>
      </c>
      <c r="C1779">
        <v>48.76</v>
      </c>
      <c r="D1779">
        <v>48.76</v>
      </c>
    </row>
    <row r="1780" spans="1:4" x14ac:dyDescent="0.45">
      <c r="A1780">
        <v>59184</v>
      </c>
      <c r="B1780" s="72">
        <v>38376</v>
      </c>
      <c r="C1780">
        <v>49.02</v>
      </c>
      <c r="D1780">
        <v>49.02</v>
      </c>
    </row>
    <row r="1781" spans="1:4" x14ac:dyDescent="0.45">
      <c r="A1781">
        <v>59184</v>
      </c>
      <c r="B1781" s="72">
        <v>38377</v>
      </c>
      <c r="C1781">
        <v>49.1</v>
      </c>
      <c r="D1781">
        <v>49.1</v>
      </c>
    </row>
    <row r="1782" spans="1:4" x14ac:dyDescent="0.45">
      <c r="A1782">
        <v>59184</v>
      </c>
      <c r="B1782" s="72">
        <v>38378</v>
      </c>
      <c r="C1782">
        <v>48.71</v>
      </c>
      <c r="D1782">
        <v>48.71</v>
      </c>
    </row>
    <row r="1783" spans="1:4" x14ac:dyDescent="0.45">
      <c r="A1783">
        <v>59184</v>
      </c>
      <c r="B1783" s="72">
        <v>38379</v>
      </c>
      <c r="C1783">
        <v>49.07</v>
      </c>
      <c r="D1783">
        <v>49.07</v>
      </c>
    </row>
    <row r="1784" spans="1:4" x14ac:dyDescent="0.45">
      <c r="A1784">
        <v>59184</v>
      </c>
      <c r="B1784" s="72">
        <v>38380</v>
      </c>
      <c r="C1784">
        <v>49.03</v>
      </c>
      <c r="D1784">
        <v>49.03</v>
      </c>
    </row>
    <row r="1785" spans="1:4" x14ac:dyDescent="0.45">
      <c r="A1785">
        <v>59184</v>
      </c>
      <c r="B1785" s="72">
        <v>38383</v>
      </c>
      <c r="C1785">
        <v>49.18</v>
      </c>
      <c r="D1785">
        <v>49.18</v>
      </c>
    </row>
    <row r="1786" spans="1:4" x14ac:dyDescent="0.45">
      <c r="A1786">
        <v>59184</v>
      </c>
      <c r="B1786" s="72">
        <v>38384</v>
      </c>
      <c r="C1786">
        <v>49.46</v>
      </c>
      <c r="D1786">
        <v>49.46</v>
      </c>
    </row>
    <row r="1787" spans="1:4" x14ac:dyDescent="0.45">
      <c r="A1787">
        <v>59184</v>
      </c>
      <c r="B1787" s="72">
        <v>38385</v>
      </c>
      <c r="C1787">
        <v>49.37</v>
      </c>
      <c r="D1787">
        <v>49.37</v>
      </c>
    </row>
    <row r="1788" spans="1:4" x14ac:dyDescent="0.45">
      <c r="A1788">
        <v>59184</v>
      </c>
      <c r="B1788" s="72">
        <v>38386</v>
      </c>
      <c r="C1788">
        <v>48.54</v>
      </c>
      <c r="D1788">
        <v>48.54</v>
      </c>
    </row>
    <row r="1789" spans="1:4" x14ac:dyDescent="0.45">
      <c r="A1789">
        <v>59184</v>
      </c>
      <c r="B1789" s="72">
        <v>38387</v>
      </c>
      <c r="C1789">
        <v>48.53</v>
      </c>
      <c r="D1789">
        <v>48.53</v>
      </c>
    </row>
    <row r="1790" spans="1:4" x14ac:dyDescent="0.45">
      <c r="A1790">
        <v>59184</v>
      </c>
      <c r="B1790" s="72">
        <v>38390</v>
      </c>
      <c r="C1790">
        <v>48.32</v>
      </c>
      <c r="D1790">
        <v>48.32</v>
      </c>
    </row>
    <row r="1791" spans="1:4" x14ac:dyDescent="0.45">
      <c r="A1791">
        <v>59184</v>
      </c>
      <c r="B1791" s="72">
        <v>38391</v>
      </c>
      <c r="C1791">
        <v>48.3</v>
      </c>
      <c r="D1791">
        <v>48.3</v>
      </c>
    </row>
    <row r="1792" spans="1:4" x14ac:dyDescent="0.45">
      <c r="A1792">
        <v>59184</v>
      </c>
      <c r="B1792" s="72">
        <v>38392</v>
      </c>
      <c r="C1792">
        <v>48.55</v>
      </c>
      <c r="D1792">
        <v>48.55</v>
      </c>
    </row>
    <row r="1793" spans="1:4" x14ac:dyDescent="0.45">
      <c r="A1793">
        <v>59184</v>
      </c>
      <c r="B1793" s="72">
        <v>38393</v>
      </c>
      <c r="C1793">
        <v>48.27</v>
      </c>
      <c r="D1793">
        <v>48.27</v>
      </c>
    </row>
    <row r="1794" spans="1:4" x14ac:dyDescent="0.45">
      <c r="A1794">
        <v>59184</v>
      </c>
      <c r="B1794" s="72">
        <v>38394</v>
      </c>
      <c r="C1794">
        <v>48.38</v>
      </c>
      <c r="D1794">
        <v>48.38</v>
      </c>
    </row>
    <row r="1795" spans="1:4" x14ac:dyDescent="0.45">
      <c r="A1795">
        <v>59184</v>
      </c>
      <c r="B1795" s="72">
        <v>38397</v>
      </c>
      <c r="C1795">
        <v>48.3</v>
      </c>
      <c r="D1795">
        <v>48.3</v>
      </c>
    </row>
    <row r="1796" spans="1:4" x14ac:dyDescent="0.45">
      <c r="A1796">
        <v>59184</v>
      </c>
      <c r="B1796" s="72">
        <v>38398</v>
      </c>
      <c r="C1796">
        <v>48.32</v>
      </c>
      <c r="D1796">
        <v>48.32</v>
      </c>
    </row>
    <row r="1797" spans="1:4" x14ac:dyDescent="0.45">
      <c r="A1797">
        <v>59184</v>
      </c>
      <c r="B1797" s="72">
        <v>38399</v>
      </c>
      <c r="C1797">
        <v>48.38</v>
      </c>
      <c r="D1797">
        <v>48.38</v>
      </c>
    </row>
    <row r="1798" spans="1:4" x14ac:dyDescent="0.45">
      <c r="A1798">
        <v>59184</v>
      </c>
      <c r="B1798" s="72">
        <v>38400</v>
      </c>
      <c r="C1798">
        <v>48</v>
      </c>
      <c r="D1798">
        <v>48</v>
      </c>
    </row>
    <row r="1799" spans="1:4" x14ac:dyDescent="0.45">
      <c r="A1799">
        <v>59184</v>
      </c>
      <c r="B1799" s="72">
        <v>38401</v>
      </c>
      <c r="C1799">
        <v>47.95</v>
      </c>
      <c r="D1799">
        <v>47.95</v>
      </c>
    </row>
    <row r="1800" spans="1:4" x14ac:dyDescent="0.45">
      <c r="A1800">
        <v>59184</v>
      </c>
      <c r="B1800" s="72">
        <v>38405</v>
      </c>
      <c r="C1800">
        <v>47.35</v>
      </c>
      <c r="D1800">
        <v>47.35</v>
      </c>
    </row>
    <row r="1801" spans="1:4" x14ac:dyDescent="0.45">
      <c r="A1801">
        <v>59184</v>
      </c>
      <c r="B1801" s="72">
        <v>38406</v>
      </c>
      <c r="C1801">
        <v>47.42</v>
      </c>
      <c r="D1801">
        <v>47.42</v>
      </c>
    </row>
    <row r="1802" spans="1:4" x14ac:dyDescent="0.45">
      <c r="A1802">
        <v>59184</v>
      </c>
      <c r="B1802" s="72">
        <v>38407</v>
      </c>
      <c r="C1802">
        <v>47.57</v>
      </c>
      <c r="D1802">
        <v>47.57</v>
      </c>
    </row>
    <row r="1803" spans="1:4" x14ac:dyDescent="0.45">
      <c r="A1803">
        <v>59184</v>
      </c>
      <c r="B1803" s="72">
        <v>38408</v>
      </c>
      <c r="C1803">
        <v>47.52</v>
      </c>
      <c r="D1803">
        <v>47.52</v>
      </c>
    </row>
    <row r="1804" spans="1:4" x14ac:dyDescent="0.45">
      <c r="A1804">
        <v>59184</v>
      </c>
      <c r="B1804" s="72">
        <v>38411</v>
      </c>
      <c r="C1804">
        <v>47.45</v>
      </c>
      <c r="D1804">
        <v>47.45</v>
      </c>
    </row>
    <row r="1805" spans="1:4" x14ac:dyDescent="0.45">
      <c r="A1805">
        <v>59184</v>
      </c>
      <c r="B1805" s="72">
        <v>38412</v>
      </c>
      <c r="C1805">
        <v>47.48</v>
      </c>
      <c r="D1805">
        <v>47.48</v>
      </c>
    </row>
    <row r="1806" spans="1:4" x14ac:dyDescent="0.45">
      <c r="A1806">
        <v>59184</v>
      </c>
      <c r="B1806" s="72">
        <v>38413</v>
      </c>
      <c r="C1806">
        <v>47.58</v>
      </c>
      <c r="D1806">
        <v>47.58</v>
      </c>
    </row>
    <row r="1807" spans="1:4" x14ac:dyDescent="0.45">
      <c r="A1807">
        <v>59184</v>
      </c>
      <c r="B1807" s="72">
        <v>38414</v>
      </c>
      <c r="C1807">
        <v>47.4</v>
      </c>
      <c r="D1807">
        <v>47.4</v>
      </c>
    </row>
    <row r="1808" spans="1:4" x14ac:dyDescent="0.45">
      <c r="A1808">
        <v>59184</v>
      </c>
      <c r="B1808" s="72">
        <v>38415</v>
      </c>
      <c r="C1808">
        <v>47.95</v>
      </c>
      <c r="D1808">
        <v>47.95</v>
      </c>
    </row>
    <row r="1809" spans="1:4" x14ac:dyDescent="0.45">
      <c r="A1809">
        <v>59184</v>
      </c>
      <c r="B1809" s="72">
        <v>38418</v>
      </c>
      <c r="C1809">
        <v>48.13</v>
      </c>
      <c r="D1809">
        <v>48.13</v>
      </c>
    </row>
    <row r="1810" spans="1:4" x14ac:dyDescent="0.45">
      <c r="A1810">
        <v>59184</v>
      </c>
      <c r="B1810" s="72">
        <v>38419</v>
      </c>
      <c r="C1810">
        <v>47.93</v>
      </c>
      <c r="D1810">
        <v>47.93</v>
      </c>
    </row>
    <row r="1811" spans="1:4" x14ac:dyDescent="0.45">
      <c r="A1811">
        <v>59184</v>
      </c>
      <c r="B1811" s="72">
        <v>38420</v>
      </c>
      <c r="C1811">
        <v>47.76</v>
      </c>
      <c r="D1811">
        <v>47.76</v>
      </c>
    </row>
    <row r="1812" spans="1:4" x14ac:dyDescent="0.45">
      <c r="A1812">
        <v>59184</v>
      </c>
      <c r="B1812" s="72">
        <v>38421</v>
      </c>
      <c r="C1812">
        <v>48.01</v>
      </c>
      <c r="D1812">
        <v>48.01</v>
      </c>
    </row>
    <row r="1813" spans="1:4" x14ac:dyDescent="0.45">
      <c r="A1813">
        <v>59184</v>
      </c>
      <c r="B1813" s="72">
        <v>38422</v>
      </c>
      <c r="C1813">
        <v>47.54</v>
      </c>
      <c r="D1813">
        <v>47.54</v>
      </c>
    </row>
    <row r="1814" spans="1:4" x14ac:dyDescent="0.45">
      <c r="A1814">
        <v>59184</v>
      </c>
      <c r="B1814" s="72">
        <v>38425</v>
      </c>
      <c r="C1814">
        <v>47.93</v>
      </c>
      <c r="D1814">
        <v>47.93</v>
      </c>
    </row>
    <row r="1815" spans="1:4" x14ac:dyDescent="0.45">
      <c r="A1815">
        <v>59184</v>
      </c>
      <c r="B1815" s="72">
        <v>38426</v>
      </c>
      <c r="C1815">
        <v>47.47</v>
      </c>
      <c r="D1815">
        <v>47.47</v>
      </c>
    </row>
    <row r="1816" spans="1:4" x14ac:dyDescent="0.45">
      <c r="A1816">
        <v>59184</v>
      </c>
      <c r="B1816" s="72">
        <v>38427</v>
      </c>
      <c r="C1816">
        <v>47.34</v>
      </c>
      <c r="D1816">
        <v>47.34</v>
      </c>
    </row>
    <row r="1817" spans="1:4" x14ac:dyDescent="0.45">
      <c r="A1817">
        <v>59184</v>
      </c>
      <c r="B1817" s="72">
        <v>38428</v>
      </c>
      <c r="C1817">
        <v>47.4</v>
      </c>
      <c r="D1817">
        <v>47.4</v>
      </c>
    </row>
    <row r="1818" spans="1:4" x14ac:dyDescent="0.45">
      <c r="A1818">
        <v>59184</v>
      </c>
      <c r="B1818" s="72">
        <v>38429</v>
      </c>
      <c r="C1818">
        <v>47.6</v>
      </c>
      <c r="D1818">
        <v>47.6</v>
      </c>
    </row>
    <row r="1819" spans="1:4" x14ac:dyDescent="0.45">
      <c r="A1819">
        <v>59184</v>
      </c>
      <c r="B1819" s="72">
        <v>38432</v>
      </c>
      <c r="C1819">
        <v>47.47</v>
      </c>
      <c r="D1819">
        <v>47.47</v>
      </c>
    </row>
    <row r="1820" spans="1:4" x14ac:dyDescent="0.45">
      <c r="A1820">
        <v>59184</v>
      </c>
      <c r="B1820" s="72">
        <v>38433</v>
      </c>
      <c r="C1820">
        <v>47.26</v>
      </c>
      <c r="D1820">
        <v>47.26</v>
      </c>
    </row>
    <row r="1821" spans="1:4" x14ac:dyDescent="0.45">
      <c r="A1821">
        <v>59184</v>
      </c>
      <c r="B1821" s="72">
        <v>38434</v>
      </c>
      <c r="C1821">
        <v>47.39</v>
      </c>
      <c r="D1821">
        <v>47.39</v>
      </c>
    </row>
    <row r="1822" spans="1:4" x14ac:dyDescent="0.45">
      <c r="A1822">
        <v>59184</v>
      </c>
      <c r="B1822" s="72">
        <v>38435</v>
      </c>
      <c r="C1822">
        <v>47.28</v>
      </c>
      <c r="D1822">
        <v>47.28</v>
      </c>
    </row>
    <row r="1823" spans="1:4" x14ac:dyDescent="0.45">
      <c r="A1823">
        <v>59184</v>
      </c>
      <c r="B1823" s="72">
        <v>38439</v>
      </c>
      <c r="C1823">
        <v>47.45</v>
      </c>
      <c r="D1823">
        <v>47.45</v>
      </c>
    </row>
    <row r="1824" spans="1:4" x14ac:dyDescent="0.45">
      <c r="A1824">
        <v>59184</v>
      </c>
      <c r="B1824" s="72">
        <v>38440</v>
      </c>
      <c r="C1824">
        <v>47.26</v>
      </c>
      <c r="D1824">
        <v>47.26</v>
      </c>
    </row>
    <row r="1825" spans="1:4" x14ac:dyDescent="0.45">
      <c r="A1825">
        <v>59184</v>
      </c>
      <c r="B1825" s="72">
        <v>38441</v>
      </c>
      <c r="C1825">
        <v>47.5</v>
      </c>
      <c r="D1825">
        <v>47.5</v>
      </c>
    </row>
    <row r="1826" spans="1:4" x14ac:dyDescent="0.45">
      <c r="A1826">
        <v>59184</v>
      </c>
      <c r="B1826" s="72">
        <v>38442</v>
      </c>
      <c r="C1826">
        <v>47.39</v>
      </c>
      <c r="D1826">
        <v>47.39</v>
      </c>
    </row>
    <row r="1827" spans="1:4" x14ac:dyDescent="0.45">
      <c r="A1827">
        <v>59184</v>
      </c>
      <c r="B1827" s="72">
        <v>38443</v>
      </c>
      <c r="C1827">
        <v>47.13</v>
      </c>
      <c r="D1827">
        <v>47.13</v>
      </c>
    </row>
    <row r="1828" spans="1:4" x14ac:dyDescent="0.45">
      <c r="A1828">
        <v>59184</v>
      </c>
      <c r="B1828" s="72">
        <v>38446</v>
      </c>
      <c r="C1828">
        <v>47.16</v>
      </c>
      <c r="D1828">
        <v>47.16</v>
      </c>
    </row>
    <row r="1829" spans="1:4" x14ac:dyDescent="0.45">
      <c r="A1829">
        <v>59184</v>
      </c>
      <c r="B1829" s="72">
        <v>38447</v>
      </c>
      <c r="C1829">
        <v>47.44</v>
      </c>
      <c r="D1829">
        <v>47.44</v>
      </c>
    </row>
    <row r="1830" spans="1:4" x14ac:dyDescent="0.45">
      <c r="A1830">
        <v>59184</v>
      </c>
      <c r="B1830" s="72">
        <v>38448</v>
      </c>
      <c r="C1830">
        <v>45.65</v>
      </c>
      <c r="D1830">
        <v>45.65</v>
      </c>
    </row>
    <row r="1831" spans="1:4" x14ac:dyDescent="0.45">
      <c r="A1831">
        <v>59184</v>
      </c>
      <c r="B1831" s="72">
        <v>38449</v>
      </c>
      <c r="C1831">
        <v>46.1</v>
      </c>
      <c r="D1831">
        <v>46.1</v>
      </c>
    </row>
    <row r="1832" spans="1:4" x14ac:dyDescent="0.45">
      <c r="A1832">
        <v>59184</v>
      </c>
      <c r="B1832" s="72">
        <v>38450</v>
      </c>
      <c r="C1832">
        <v>46</v>
      </c>
      <c r="D1832">
        <v>46</v>
      </c>
    </row>
    <row r="1833" spans="1:4" x14ac:dyDescent="0.45">
      <c r="A1833">
        <v>59184</v>
      </c>
      <c r="B1833" s="72">
        <v>38453</v>
      </c>
      <c r="C1833">
        <v>46.05</v>
      </c>
      <c r="D1833">
        <v>46.05</v>
      </c>
    </row>
    <row r="1834" spans="1:4" x14ac:dyDescent="0.45">
      <c r="A1834">
        <v>59184</v>
      </c>
      <c r="B1834" s="72">
        <v>38454</v>
      </c>
      <c r="C1834">
        <v>46.71</v>
      </c>
      <c r="D1834">
        <v>46.71</v>
      </c>
    </row>
    <row r="1835" spans="1:4" x14ac:dyDescent="0.45">
      <c r="A1835">
        <v>59184</v>
      </c>
      <c r="B1835" s="72">
        <v>38455</v>
      </c>
      <c r="C1835">
        <v>46.06</v>
      </c>
      <c r="D1835">
        <v>46.06</v>
      </c>
    </row>
    <row r="1836" spans="1:4" x14ac:dyDescent="0.45">
      <c r="A1836">
        <v>59184</v>
      </c>
      <c r="B1836" s="72">
        <v>38456</v>
      </c>
      <c r="C1836">
        <v>45.99</v>
      </c>
      <c r="D1836">
        <v>45.99</v>
      </c>
    </row>
    <row r="1837" spans="1:4" x14ac:dyDescent="0.45">
      <c r="A1837">
        <v>59184</v>
      </c>
      <c r="B1837" s="72">
        <v>38457</v>
      </c>
      <c r="C1837">
        <v>45.72</v>
      </c>
      <c r="D1837">
        <v>45.72</v>
      </c>
    </row>
    <row r="1838" spans="1:4" x14ac:dyDescent="0.45">
      <c r="A1838">
        <v>59184</v>
      </c>
      <c r="B1838" s="72">
        <v>38460</v>
      </c>
      <c r="C1838">
        <v>45.7</v>
      </c>
      <c r="D1838">
        <v>45.7</v>
      </c>
    </row>
    <row r="1839" spans="1:4" x14ac:dyDescent="0.45">
      <c r="A1839">
        <v>59184</v>
      </c>
      <c r="B1839" s="72">
        <v>38461</v>
      </c>
      <c r="C1839">
        <v>45.27</v>
      </c>
      <c r="D1839">
        <v>45.27</v>
      </c>
    </row>
    <row r="1840" spans="1:4" x14ac:dyDescent="0.45">
      <c r="A1840">
        <v>59184</v>
      </c>
      <c r="B1840" s="72">
        <v>38462</v>
      </c>
      <c r="C1840">
        <v>45.1</v>
      </c>
      <c r="D1840">
        <v>45.1</v>
      </c>
    </row>
    <row r="1841" spans="1:4" x14ac:dyDescent="0.45">
      <c r="A1841">
        <v>59184</v>
      </c>
      <c r="B1841" s="72">
        <v>38463</v>
      </c>
      <c r="C1841">
        <v>48.04</v>
      </c>
      <c r="D1841">
        <v>48.04</v>
      </c>
    </row>
    <row r="1842" spans="1:4" x14ac:dyDescent="0.45">
      <c r="A1842">
        <v>59184</v>
      </c>
      <c r="B1842" s="72">
        <v>38464</v>
      </c>
      <c r="C1842">
        <v>47</v>
      </c>
      <c r="D1842">
        <v>47</v>
      </c>
    </row>
    <row r="1843" spans="1:4" x14ac:dyDescent="0.45">
      <c r="A1843">
        <v>59184</v>
      </c>
      <c r="B1843" s="72">
        <v>38467</v>
      </c>
      <c r="C1843">
        <v>47.28</v>
      </c>
      <c r="D1843">
        <v>47.28</v>
      </c>
    </row>
    <row r="1844" spans="1:4" x14ac:dyDescent="0.45">
      <c r="A1844">
        <v>59184</v>
      </c>
      <c r="B1844" s="72">
        <v>38468</v>
      </c>
      <c r="C1844">
        <v>46.55</v>
      </c>
      <c r="D1844">
        <v>46.55</v>
      </c>
    </row>
    <row r="1845" spans="1:4" x14ac:dyDescent="0.45">
      <c r="A1845">
        <v>59184</v>
      </c>
      <c r="B1845" s="72">
        <v>38469</v>
      </c>
      <c r="C1845">
        <v>46.96</v>
      </c>
      <c r="D1845">
        <v>46.96</v>
      </c>
    </row>
    <row r="1846" spans="1:4" x14ac:dyDescent="0.45">
      <c r="A1846">
        <v>59184</v>
      </c>
      <c r="B1846" s="72">
        <v>38470</v>
      </c>
      <c r="C1846">
        <v>46.47</v>
      </c>
      <c r="D1846">
        <v>46.47</v>
      </c>
    </row>
    <row r="1847" spans="1:4" x14ac:dyDescent="0.45">
      <c r="A1847">
        <v>59184</v>
      </c>
      <c r="B1847" s="72">
        <v>38471</v>
      </c>
      <c r="C1847">
        <v>46.87</v>
      </c>
      <c r="D1847">
        <v>46.87</v>
      </c>
    </row>
    <row r="1848" spans="1:4" x14ac:dyDescent="0.45">
      <c r="A1848">
        <v>59184</v>
      </c>
      <c r="B1848" s="72">
        <v>38474</v>
      </c>
      <c r="C1848">
        <v>47.63</v>
      </c>
      <c r="D1848">
        <v>47.63</v>
      </c>
    </row>
    <row r="1849" spans="1:4" x14ac:dyDescent="0.45">
      <c r="A1849">
        <v>59184</v>
      </c>
      <c r="B1849" s="72">
        <v>38475</v>
      </c>
      <c r="C1849">
        <v>47.93</v>
      </c>
      <c r="D1849">
        <v>47.93</v>
      </c>
    </row>
    <row r="1850" spans="1:4" x14ac:dyDescent="0.45">
      <c r="A1850">
        <v>59184</v>
      </c>
      <c r="B1850" s="72">
        <v>38476</v>
      </c>
      <c r="C1850">
        <v>48.1</v>
      </c>
      <c r="D1850">
        <v>48.1</v>
      </c>
    </row>
    <row r="1851" spans="1:4" x14ac:dyDescent="0.45">
      <c r="A1851">
        <v>59184</v>
      </c>
      <c r="B1851" s="72">
        <v>38477</v>
      </c>
      <c r="C1851">
        <v>47.7</v>
      </c>
      <c r="D1851">
        <v>47.7</v>
      </c>
    </row>
    <row r="1852" spans="1:4" x14ac:dyDescent="0.45">
      <c r="A1852">
        <v>59184</v>
      </c>
      <c r="B1852" s="72">
        <v>38478</v>
      </c>
      <c r="C1852">
        <v>47.43</v>
      </c>
      <c r="D1852">
        <v>47.43</v>
      </c>
    </row>
    <row r="1853" spans="1:4" x14ac:dyDescent="0.45">
      <c r="A1853">
        <v>59184</v>
      </c>
      <c r="B1853" s="72">
        <v>38481</v>
      </c>
      <c r="C1853">
        <v>47.7</v>
      </c>
      <c r="D1853">
        <v>47.7</v>
      </c>
    </row>
    <row r="1854" spans="1:4" x14ac:dyDescent="0.45">
      <c r="A1854">
        <v>59184</v>
      </c>
      <c r="B1854" s="72">
        <v>38482</v>
      </c>
      <c r="C1854">
        <v>46.91</v>
      </c>
      <c r="D1854">
        <v>46.91</v>
      </c>
    </row>
    <row r="1855" spans="1:4" x14ac:dyDescent="0.45">
      <c r="A1855">
        <v>59184</v>
      </c>
      <c r="B1855" s="72">
        <v>38483</v>
      </c>
      <c r="C1855">
        <v>47.08</v>
      </c>
      <c r="D1855">
        <v>47.08</v>
      </c>
    </row>
    <row r="1856" spans="1:4" x14ac:dyDescent="0.45">
      <c r="A1856">
        <v>59184</v>
      </c>
      <c r="B1856" s="72">
        <v>38484</v>
      </c>
      <c r="C1856">
        <v>46.46</v>
      </c>
      <c r="D1856">
        <v>46.46</v>
      </c>
    </row>
    <row r="1857" spans="1:4" x14ac:dyDescent="0.45">
      <c r="A1857">
        <v>59184</v>
      </c>
      <c r="B1857" s="72">
        <v>38485</v>
      </c>
      <c r="C1857">
        <v>46.02</v>
      </c>
      <c r="D1857">
        <v>46.02</v>
      </c>
    </row>
    <row r="1858" spans="1:4" x14ac:dyDescent="0.45">
      <c r="A1858">
        <v>59184</v>
      </c>
      <c r="B1858" s="72">
        <v>38488</v>
      </c>
      <c r="C1858">
        <v>46.83</v>
      </c>
      <c r="D1858">
        <v>46.83</v>
      </c>
    </row>
    <row r="1859" spans="1:4" x14ac:dyDescent="0.45">
      <c r="A1859">
        <v>59184</v>
      </c>
      <c r="B1859" s="72">
        <v>38489</v>
      </c>
      <c r="C1859">
        <v>46.44</v>
      </c>
      <c r="D1859">
        <v>46.44</v>
      </c>
    </row>
    <row r="1860" spans="1:4" x14ac:dyDescent="0.45">
      <c r="A1860">
        <v>59184</v>
      </c>
      <c r="B1860" s="72">
        <v>38490</v>
      </c>
      <c r="C1860">
        <v>47.04</v>
      </c>
      <c r="D1860">
        <v>47.04</v>
      </c>
    </row>
    <row r="1861" spans="1:4" x14ac:dyDescent="0.45">
      <c r="A1861">
        <v>59184</v>
      </c>
      <c r="B1861" s="72">
        <v>38491</v>
      </c>
      <c r="C1861">
        <v>47.21</v>
      </c>
      <c r="D1861">
        <v>47.21</v>
      </c>
    </row>
    <row r="1862" spans="1:4" x14ac:dyDescent="0.45">
      <c r="A1862">
        <v>59184</v>
      </c>
      <c r="B1862" s="72">
        <v>38492</v>
      </c>
      <c r="C1862">
        <v>47.21</v>
      </c>
      <c r="D1862">
        <v>47.21</v>
      </c>
    </row>
    <row r="1863" spans="1:4" x14ac:dyDescent="0.45">
      <c r="A1863">
        <v>59184</v>
      </c>
      <c r="B1863" s="72">
        <v>38495</v>
      </c>
      <c r="C1863">
        <v>46.91</v>
      </c>
      <c r="D1863">
        <v>46.91</v>
      </c>
    </row>
    <row r="1864" spans="1:4" x14ac:dyDescent="0.45">
      <c r="A1864">
        <v>59184</v>
      </c>
      <c r="B1864" s="72">
        <v>38496</v>
      </c>
      <c r="C1864">
        <v>47.18</v>
      </c>
      <c r="D1864">
        <v>47.18</v>
      </c>
    </row>
    <row r="1865" spans="1:4" x14ac:dyDescent="0.45">
      <c r="A1865">
        <v>59184</v>
      </c>
      <c r="B1865" s="72">
        <v>38497</v>
      </c>
      <c r="C1865">
        <v>47.4</v>
      </c>
      <c r="D1865">
        <v>47.4</v>
      </c>
    </row>
    <row r="1866" spans="1:4" x14ac:dyDescent="0.45">
      <c r="A1866">
        <v>59184</v>
      </c>
      <c r="B1866" s="72">
        <v>38498</v>
      </c>
      <c r="C1866">
        <v>47.67</v>
      </c>
      <c r="D1866">
        <v>47.67</v>
      </c>
    </row>
    <row r="1867" spans="1:4" x14ac:dyDescent="0.45">
      <c r="A1867">
        <v>59184</v>
      </c>
      <c r="B1867" s="72">
        <v>38499</v>
      </c>
      <c r="C1867">
        <v>47.6</v>
      </c>
      <c r="D1867">
        <v>47.6</v>
      </c>
    </row>
    <row r="1868" spans="1:4" x14ac:dyDescent="0.45">
      <c r="A1868">
        <v>59184</v>
      </c>
      <c r="B1868" s="72">
        <v>38503</v>
      </c>
      <c r="C1868">
        <v>46.85</v>
      </c>
      <c r="D1868">
        <v>46.85</v>
      </c>
    </row>
    <row r="1869" spans="1:4" x14ac:dyDescent="0.45">
      <c r="A1869">
        <v>59184</v>
      </c>
      <c r="B1869" s="72">
        <v>38504</v>
      </c>
      <c r="C1869">
        <v>47.29</v>
      </c>
      <c r="D1869">
        <v>47.29</v>
      </c>
    </row>
    <row r="1870" spans="1:4" x14ac:dyDescent="0.45">
      <c r="A1870">
        <v>59184</v>
      </c>
      <c r="B1870" s="72">
        <v>38505</v>
      </c>
      <c r="C1870">
        <v>47.59</v>
      </c>
      <c r="D1870">
        <v>47.59</v>
      </c>
    </row>
    <row r="1871" spans="1:4" x14ac:dyDescent="0.45">
      <c r="A1871">
        <v>59184</v>
      </c>
      <c r="B1871" s="72">
        <v>38506</v>
      </c>
      <c r="C1871">
        <v>47.29</v>
      </c>
      <c r="D1871">
        <v>47.29</v>
      </c>
    </row>
    <row r="1872" spans="1:4" x14ac:dyDescent="0.45">
      <c r="A1872">
        <v>59184</v>
      </c>
      <c r="B1872" s="72">
        <v>38509</v>
      </c>
      <c r="C1872">
        <v>47.35</v>
      </c>
      <c r="D1872">
        <v>47.35</v>
      </c>
    </row>
    <row r="1873" spans="1:4" x14ac:dyDescent="0.45">
      <c r="A1873">
        <v>59184</v>
      </c>
      <c r="B1873" s="72">
        <v>38510</v>
      </c>
      <c r="C1873">
        <v>47.59</v>
      </c>
      <c r="D1873">
        <v>47.59</v>
      </c>
    </row>
    <row r="1874" spans="1:4" x14ac:dyDescent="0.45">
      <c r="A1874">
        <v>59184</v>
      </c>
      <c r="B1874" s="72">
        <v>38511</v>
      </c>
      <c r="C1874">
        <v>47.55</v>
      </c>
      <c r="D1874">
        <v>47.55</v>
      </c>
    </row>
    <row r="1875" spans="1:4" x14ac:dyDescent="0.45">
      <c r="A1875">
        <v>59184</v>
      </c>
      <c r="B1875" s="72">
        <v>38512</v>
      </c>
      <c r="C1875">
        <v>47.76</v>
      </c>
      <c r="D1875">
        <v>47.76</v>
      </c>
    </row>
    <row r="1876" spans="1:4" x14ac:dyDescent="0.45">
      <c r="A1876">
        <v>59184</v>
      </c>
      <c r="B1876" s="72">
        <v>38513</v>
      </c>
      <c r="C1876">
        <v>47.3</v>
      </c>
      <c r="D1876">
        <v>47.3</v>
      </c>
    </row>
    <row r="1877" spans="1:4" x14ac:dyDescent="0.45">
      <c r="A1877">
        <v>59184</v>
      </c>
      <c r="B1877" s="72">
        <v>38516</v>
      </c>
      <c r="C1877">
        <v>47.34</v>
      </c>
      <c r="D1877">
        <v>47.34</v>
      </c>
    </row>
    <row r="1878" spans="1:4" x14ac:dyDescent="0.45">
      <c r="A1878">
        <v>59184</v>
      </c>
      <c r="B1878" s="72">
        <v>38517</v>
      </c>
      <c r="C1878">
        <v>47.24</v>
      </c>
      <c r="D1878">
        <v>47.24</v>
      </c>
    </row>
    <row r="1879" spans="1:4" x14ac:dyDescent="0.45">
      <c r="A1879">
        <v>59184</v>
      </c>
      <c r="B1879" s="72">
        <v>38518</v>
      </c>
      <c r="C1879">
        <v>46.54</v>
      </c>
      <c r="D1879">
        <v>46.54</v>
      </c>
    </row>
    <row r="1880" spans="1:4" x14ac:dyDescent="0.45">
      <c r="A1880">
        <v>59184</v>
      </c>
      <c r="B1880" s="72">
        <v>38519</v>
      </c>
      <c r="C1880">
        <v>46.39</v>
      </c>
      <c r="D1880">
        <v>46.39</v>
      </c>
    </row>
    <row r="1881" spans="1:4" x14ac:dyDescent="0.45">
      <c r="A1881">
        <v>59184</v>
      </c>
      <c r="B1881" s="72">
        <v>38520</v>
      </c>
      <c r="C1881">
        <v>46.29</v>
      </c>
      <c r="D1881">
        <v>46.29</v>
      </c>
    </row>
    <row r="1882" spans="1:4" x14ac:dyDescent="0.45">
      <c r="A1882">
        <v>59184</v>
      </c>
      <c r="B1882" s="72">
        <v>38523</v>
      </c>
      <c r="C1882">
        <v>46.69</v>
      </c>
      <c r="D1882">
        <v>46.69</v>
      </c>
    </row>
    <row r="1883" spans="1:4" x14ac:dyDescent="0.45">
      <c r="A1883">
        <v>59184</v>
      </c>
      <c r="B1883" s="72">
        <v>38524</v>
      </c>
      <c r="C1883">
        <v>46.3</v>
      </c>
      <c r="D1883">
        <v>46.3</v>
      </c>
    </row>
    <row r="1884" spans="1:4" x14ac:dyDescent="0.45">
      <c r="A1884">
        <v>59184</v>
      </c>
      <c r="B1884" s="72">
        <v>38525</v>
      </c>
      <c r="C1884">
        <v>46.31</v>
      </c>
      <c r="D1884">
        <v>46.31</v>
      </c>
    </row>
    <row r="1885" spans="1:4" x14ac:dyDescent="0.45">
      <c r="A1885">
        <v>59184</v>
      </c>
      <c r="B1885" s="72">
        <v>38526</v>
      </c>
      <c r="C1885">
        <v>46.1</v>
      </c>
      <c r="D1885">
        <v>46.1</v>
      </c>
    </row>
    <row r="1886" spans="1:4" x14ac:dyDescent="0.45">
      <c r="A1886">
        <v>59184</v>
      </c>
      <c r="B1886" s="72">
        <v>38527</v>
      </c>
      <c r="C1886">
        <v>45.67</v>
      </c>
      <c r="D1886">
        <v>45.67</v>
      </c>
    </row>
    <row r="1887" spans="1:4" x14ac:dyDescent="0.45">
      <c r="A1887">
        <v>59184</v>
      </c>
      <c r="B1887" s="72">
        <v>38530</v>
      </c>
      <c r="C1887">
        <v>45.79</v>
      </c>
      <c r="D1887">
        <v>45.79</v>
      </c>
    </row>
    <row r="1888" spans="1:4" x14ac:dyDescent="0.45">
      <c r="A1888">
        <v>59184</v>
      </c>
      <c r="B1888" s="72">
        <v>38531</v>
      </c>
      <c r="C1888">
        <v>46.16</v>
      </c>
      <c r="D1888">
        <v>46.16</v>
      </c>
    </row>
    <row r="1889" spans="1:4" x14ac:dyDescent="0.45">
      <c r="A1889">
        <v>59184</v>
      </c>
      <c r="B1889" s="72">
        <v>38532</v>
      </c>
      <c r="C1889">
        <v>45.88</v>
      </c>
      <c r="D1889">
        <v>45.88</v>
      </c>
    </row>
    <row r="1890" spans="1:4" x14ac:dyDescent="0.45">
      <c r="A1890">
        <v>59184</v>
      </c>
      <c r="B1890" s="72">
        <v>38533</v>
      </c>
      <c r="C1890">
        <v>45.75</v>
      </c>
      <c r="D1890">
        <v>45.75</v>
      </c>
    </row>
    <row r="1891" spans="1:4" x14ac:dyDescent="0.45">
      <c r="A1891">
        <v>59184</v>
      </c>
      <c r="B1891" s="72">
        <v>38534</v>
      </c>
      <c r="C1891">
        <v>45.88</v>
      </c>
      <c r="D1891">
        <v>45.88</v>
      </c>
    </row>
    <row r="1892" spans="1:4" x14ac:dyDescent="0.45">
      <c r="A1892">
        <v>59184</v>
      </c>
      <c r="B1892" s="72">
        <v>38538</v>
      </c>
      <c r="C1892">
        <v>45.95</v>
      </c>
      <c r="D1892">
        <v>45.95</v>
      </c>
    </row>
    <row r="1893" spans="1:4" x14ac:dyDescent="0.45">
      <c r="A1893">
        <v>59184</v>
      </c>
      <c r="B1893" s="72">
        <v>38539</v>
      </c>
      <c r="C1893">
        <v>45.43</v>
      </c>
      <c r="D1893">
        <v>45.43</v>
      </c>
    </row>
    <row r="1894" spans="1:4" x14ac:dyDescent="0.45">
      <c r="A1894">
        <v>59184</v>
      </c>
      <c r="B1894" s="72">
        <v>38540</v>
      </c>
      <c r="C1894">
        <v>45.42</v>
      </c>
      <c r="D1894">
        <v>45.42</v>
      </c>
    </row>
    <row r="1895" spans="1:4" x14ac:dyDescent="0.45">
      <c r="A1895">
        <v>59184</v>
      </c>
      <c r="B1895" s="72">
        <v>38541</v>
      </c>
      <c r="C1895">
        <v>45.93</v>
      </c>
      <c r="D1895">
        <v>45.93</v>
      </c>
    </row>
    <row r="1896" spans="1:4" x14ac:dyDescent="0.45">
      <c r="A1896">
        <v>59184</v>
      </c>
      <c r="B1896" s="72">
        <v>38544</v>
      </c>
      <c r="C1896">
        <v>45.98</v>
      </c>
      <c r="D1896">
        <v>45.98</v>
      </c>
    </row>
    <row r="1897" spans="1:4" x14ac:dyDescent="0.45">
      <c r="A1897">
        <v>59184</v>
      </c>
      <c r="B1897" s="72">
        <v>38545</v>
      </c>
      <c r="C1897">
        <v>45.74</v>
      </c>
      <c r="D1897">
        <v>45.74</v>
      </c>
    </row>
    <row r="1898" spans="1:4" x14ac:dyDescent="0.45">
      <c r="A1898">
        <v>59184</v>
      </c>
      <c r="B1898" s="72">
        <v>38546</v>
      </c>
      <c r="C1898">
        <v>45.8</v>
      </c>
      <c r="D1898">
        <v>45.8</v>
      </c>
    </row>
    <row r="1899" spans="1:4" x14ac:dyDescent="0.45">
      <c r="A1899">
        <v>59184</v>
      </c>
      <c r="B1899" s="72">
        <v>38547</v>
      </c>
      <c r="C1899">
        <v>46.12</v>
      </c>
      <c r="D1899">
        <v>46.12</v>
      </c>
    </row>
    <row r="1900" spans="1:4" x14ac:dyDescent="0.45">
      <c r="A1900">
        <v>59184</v>
      </c>
      <c r="B1900" s="72">
        <v>38548</v>
      </c>
      <c r="C1900">
        <v>46.48</v>
      </c>
      <c r="D1900">
        <v>46.48</v>
      </c>
    </row>
    <row r="1901" spans="1:4" x14ac:dyDescent="0.45">
      <c r="A1901">
        <v>59184</v>
      </c>
      <c r="B1901" s="72">
        <v>38551</v>
      </c>
      <c r="C1901">
        <v>45.96</v>
      </c>
      <c r="D1901">
        <v>45.96</v>
      </c>
    </row>
    <row r="1902" spans="1:4" x14ac:dyDescent="0.45">
      <c r="A1902">
        <v>59184</v>
      </c>
      <c r="B1902" s="72">
        <v>38552</v>
      </c>
      <c r="C1902">
        <v>45.8</v>
      </c>
      <c r="D1902">
        <v>45.8</v>
      </c>
    </row>
    <row r="1903" spans="1:4" x14ac:dyDescent="0.45">
      <c r="A1903">
        <v>59184</v>
      </c>
      <c r="B1903" s="72">
        <v>38553</v>
      </c>
      <c r="C1903">
        <v>45.94</v>
      </c>
      <c r="D1903">
        <v>45.94</v>
      </c>
    </row>
    <row r="1904" spans="1:4" x14ac:dyDescent="0.45">
      <c r="A1904">
        <v>59184</v>
      </c>
      <c r="B1904" s="72">
        <v>38554</v>
      </c>
      <c r="C1904">
        <v>45.5</v>
      </c>
      <c r="D1904">
        <v>45.5</v>
      </c>
    </row>
    <row r="1905" spans="1:4" x14ac:dyDescent="0.45">
      <c r="A1905">
        <v>59184</v>
      </c>
      <c r="B1905" s="72">
        <v>38555</v>
      </c>
      <c r="C1905">
        <v>45.72</v>
      </c>
      <c r="D1905">
        <v>45.72</v>
      </c>
    </row>
    <row r="1906" spans="1:4" x14ac:dyDescent="0.45">
      <c r="A1906">
        <v>59184</v>
      </c>
      <c r="B1906" s="72">
        <v>38558</v>
      </c>
      <c r="C1906">
        <v>45.8</v>
      </c>
      <c r="D1906">
        <v>45.8</v>
      </c>
    </row>
    <row r="1907" spans="1:4" x14ac:dyDescent="0.45">
      <c r="A1907">
        <v>59184</v>
      </c>
      <c r="B1907" s="72">
        <v>38559</v>
      </c>
      <c r="C1907">
        <v>45.9</v>
      </c>
      <c r="D1907">
        <v>45.9</v>
      </c>
    </row>
    <row r="1908" spans="1:4" x14ac:dyDescent="0.45">
      <c r="A1908">
        <v>59184</v>
      </c>
      <c r="B1908" s="72">
        <v>38560</v>
      </c>
      <c r="C1908">
        <v>44.12</v>
      </c>
      <c r="D1908">
        <v>44.12</v>
      </c>
    </row>
    <row r="1909" spans="1:4" x14ac:dyDescent="0.45">
      <c r="A1909">
        <v>59184</v>
      </c>
      <c r="B1909" s="72">
        <v>38561</v>
      </c>
      <c r="C1909">
        <v>44.77</v>
      </c>
      <c r="D1909">
        <v>44.77</v>
      </c>
    </row>
    <row r="1910" spans="1:4" x14ac:dyDescent="0.45">
      <c r="A1910">
        <v>59184</v>
      </c>
      <c r="B1910" s="72">
        <v>38562</v>
      </c>
      <c r="C1910">
        <v>44.35</v>
      </c>
      <c r="D1910">
        <v>44.35</v>
      </c>
    </row>
    <row r="1911" spans="1:4" x14ac:dyDescent="0.45">
      <c r="A1911">
        <v>59184</v>
      </c>
      <c r="B1911" s="72">
        <v>38565</v>
      </c>
      <c r="C1911">
        <v>44.02</v>
      </c>
      <c r="D1911">
        <v>44.02</v>
      </c>
    </row>
    <row r="1912" spans="1:4" x14ac:dyDescent="0.45">
      <c r="A1912">
        <v>59184</v>
      </c>
      <c r="B1912" s="72">
        <v>38566</v>
      </c>
      <c r="C1912">
        <v>44.21</v>
      </c>
      <c r="D1912">
        <v>44.21</v>
      </c>
    </row>
    <row r="1913" spans="1:4" x14ac:dyDescent="0.45">
      <c r="A1913">
        <v>59184</v>
      </c>
      <c r="B1913" s="72">
        <v>38567</v>
      </c>
      <c r="C1913">
        <v>44.32</v>
      </c>
      <c r="D1913">
        <v>44.32</v>
      </c>
    </row>
    <row r="1914" spans="1:4" x14ac:dyDescent="0.45">
      <c r="A1914">
        <v>59184</v>
      </c>
      <c r="B1914" s="72">
        <v>38568</v>
      </c>
      <c r="C1914">
        <v>44.4</v>
      </c>
      <c r="D1914">
        <v>44.4</v>
      </c>
    </row>
    <row r="1915" spans="1:4" x14ac:dyDescent="0.45">
      <c r="A1915">
        <v>59184</v>
      </c>
      <c r="B1915" s="72">
        <v>38569</v>
      </c>
      <c r="C1915">
        <v>44.68</v>
      </c>
      <c r="D1915">
        <v>44.68</v>
      </c>
    </row>
    <row r="1916" spans="1:4" x14ac:dyDescent="0.45">
      <c r="A1916">
        <v>59184</v>
      </c>
      <c r="B1916" s="72">
        <v>38572</v>
      </c>
      <c r="C1916">
        <v>44.3</v>
      </c>
      <c r="D1916">
        <v>44.3</v>
      </c>
    </row>
    <row r="1917" spans="1:4" x14ac:dyDescent="0.45">
      <c r="A1917">
        <v>59184</v>
      </c>
      <c r="B1917" s="72">
        <v>38573</v>
      </c>
      <c r="C1917">
        <v>44.32</v>
      </c>
      <c r="D1917">
        <v>44.32</v>
      </c>
    </row>
    <row r="1918" spans="1:4" x14ac:dyDescent="0.45">
      <c r="A1918">
        <v>59184</v>
      </c>
      <c r="B1918" s="72">
        <v>38574</v>
      </c>
      <c r="C1918">
        <v>44.27</v>
      </c>
      <c r="D1918">
        <v>44.27</v>
      </c>
    </row>
    <row r="1919" spans="1:4" x14ac:dyDescent="0.45">
      <c r="A1919">
        <v>59184</v>
      </c>
      <c r="B1919" s="72">
        <v>38575</v>
      </c>
      <c r="C1919">
        <v>44.43</v>
      </c>
      <c r="D1919">
        <v>44.43</v>
      </c>
    </row>
    <row r="1920" spans="1:4" x14ac:dyDescent="0.45">
      <c r="A1920">
        <v>59184</v>
      </c>
      <c r="B1920" s="72">
        <v>38576</v>
      </c>
      <c r="C1920">
        <v>44.3</v>
      </c>
      <c r="D1920">
        <v>44.3</v>
      </c>
    </row>
    <row r="1921" spans="1:4" x14ac:dyDescent="0.45">
      <c r="A1921">
        <v>59184</v>
      </c>
      <c r="B1921" s="72">
        <v>38579</v>
      </c>
      <c r="C1921">
        <v>44.6</v>
      </c>
      <c r="D1921">
        <v>44.6</v>
      </c>
    </row>
    <row r="1922" spans="1:4" x14ac:dyDescent="0.45">
      <c r="A1922">
        <v>59184</v>
      </c>
      <c r="B1922" s="72">
        <v>38580</v>
      </c>
      <c r="C1922">
        <v>44.26</v>
      </c>
      <c r="D1922">
        <v>44.26</v>
      </c>
    </row>
    <row r="1923" spans="1:4" x14ac:dyDescent="0.45">
      <c r="A1923">
        <v>59184</v>
      </c>
      <c r="B1923" s="72">
        <v>38581</v>
      </c>
      <c r="C1923">
        <v>44.36</v>
      </c>
      <c r="D1923">
        <v>44.36</v>
      </c>
    </row>
    <row r="1924" spans="1:4" x14ac:dyDescent="0.45">
      <c r="A1924">
        <v>59184</v>
      </c>
      <c r="B1924" s="72">
        <v>38582</v>
      </c>
      <c r="C1924">
        <v>44.63</v>
      </c>
      <c r="D1924">
        <v>44.63</v>
      </c>
    </row>
    <row r="1925" spans="1:4" x14ac:dyDescent="0.45">
      <c r="A1925">
        <v>59184</v>
      </c>
      <c r="B1925" s="72">
        <v>38583</v>
      </c>
      <c r="C1925">
        <v>44.45</v>
      </c>
      <c r="D1925">
        <v>44.45</v>
      </c>
    </row>
    <row r="1926" spans="1:4" x14ac:dyDescent="0.45">
      <c r="A1926">
        <v>59184</v>
      </c>
      <c r="B1926" s="72">
        <v>38586</v>
      </c>
      <c r="C1926">
        <v>44.41</v>
      </c>
      <c r="D1926">
        <v>44.41</v>
      </c>
    </row>
    <row r="1927" spans="1:4" x14ac:dyDescent="0.45">
      <c r="A1927">
        <v>59184</v>
      </c>
      <c r="B1927" s="72">
        <v>38587</v>
      </c>
      <c r="C1927">
        <v>44.45</v>
      </c>
      <c r="D1927">
        <v>44.45</v>
      </c>
    </row>
    <row r="1928" spans="1:4" x14ac:dyDescent="0.45">
      <c r="A1928">
        <v>59184</v>
      </c>
      <c r="B1928" s="72">
        <v>38588</v>
      </c>
      <c r="C1928">
        <v>44.2</v>
      </c>
      <c r="D1928">
        <v>44.2</v>
      </c>
    </row>
    <row r="1929" spans="1:4" x14ac:dyDescent="0.45">
      <c r="A1929">
        <v>59184</v>
      </c>
      <c r="B1929" s="72">
        <v>38589</v>
      </c>
      <c r="C1929">
        <v>44.25</v>
      </c>
      <c r="D1929">
        <v>44.25</v>
      </c>
    </row>
    <row r="1930" spans="1:4" x14ac:dyDescent="0.45">
      <c r="A1930">
        <v>59184</v>
      </c>
      <c r="B1930" s="72">
        <v>38590</v>
      </c>
      <c r="C1930">
        <v>44.15</v>
      </c>
      <c r="D1930">
        <v>44.15</v>
      </c>
    </row>
    <row r="1931" spans="1:4" x14ac:dyDescent="0.45">
      <c r="A1931">
        <v>59184</v>
      </c>
      <c r="B1931" s="72">
        <v>38593</v>
      </c>
      <c r="C1931">
        <v>44.28</v>
      </c>
      <c r="D1931">
        <v>44.28</v>
      </c>
    </row>
    <row r="1932" spans="1:4" x14ac:dyDescent="0.45">
      <c r="A1932">
        <v>59184</v>
      </c>
      <c r="B1932" s="72">
        <v>38594</v>
      </c>
      <c r="C1932">
        <v>44.46</v>
      </c>
      <c r="D1932">
        <v>44.46</v>
      </c>
    </row>
    <row r="1933" spans="1:4" x14ac:dyDescent="0.45">
      <c r="A1933">
        <v>59184</v>
      </c>
      <c r="B1933" s="72">
        <v>38595</v>
      </c>
      <c r="C1933">
        <v>44.31</v>
      </c>
      <c r="D1933">
        <v>44.31</v>
      </c>
    </row>
    <row r="1934" spans="1:4" x14ac:dyDescent="0.45">
      <c r="A1934">
        <v>59184</v>
      </c>
      <c r="B1934" s="72">
        <v>38596</v>
      </c>
      <c r="C1934">
        <v>44.4</v>
      </c>
      <c r="D1934">
        <v>44.4</v>
      </c>
    </row>
    <row r="1935" spans="1:4" x14ac:dyDescent="0.45">
      <c r="A1935">
        <v>59184</v>
      </c>
      <c r="B1935" s="72">
        <v>38597</v>
      </c>
      <c r="C1935">
        <v>45.09</v>
      </c>
      <c r="D1935">
        <v>45.09</v>
      </c>
    </row>
    <row r="1936" spans="1:4" x14ac:dyDescent="0.45">
      <c r="A1936">
        <v>59184</v>
      </c>
      <c r="B1936" s="72">
        <v>38601</v>
      </c>
      <c r="C1936">
        <v>45.27</v>
      </c>
      <c r="D1936">
        <v>45.27</v>
      </c>
    </row>
    <row r="1937" spans="1:4" x14ac:dyDescent="0.45">
      <c r="A1937">
        <v>59184</v>
      </c>
      <c r="B1937" s="72">
        <v>38602</v>
      </c>
      <c r="C1937">
        <v>45.09</v>
      </c>
      <c r="D1937">
        <v>45.09</v>
      </c>
    </row>
    <row r="1938" spans="1:4" x14ac:dyDescent="0.45">
      <c r="A1938">
        <v>59184</v>
      </c>
      <c r="B1938" s="72">
        <v>38603</v>
      </c>
      <c r="C1938">
        <v>44.94</v>
      </c>
      <c r="D1938">
        <v>44.94</v>
      </c>
    </row>
    <row r="1939" spans="1:4" x14ac:dyDescent="0.45">
      <c r="A1939">
        <v>59184</v>
      </c>
      <c r="B1939" s="72">
        <v>38604</v>
      </c>
      <c r="C1939">
        <v>45.4</v>
      </c>
      <c r="D1939">
        <v>45.4</v>
      </c>
    </row>
    <row r="1940" spans="1:4" x14ac:dyDescent="0.45">
      <c r="A1940">
        <v>59184</v>
      </c>
      <c r="B1940" s="72">
        <v>38607</v>
      </c>
      <c r="C1940">
        <v>45.27</v>
      </c>
      <c r="D1940">
        <v>45.27</v>
      </c>
    </row>
    <row r="1941" spans="1:4" x14ac:dyDescent="0.45">
      <c r="A1941">
        <v>59184</v>
      </c>
      <c r="B1941" s="72">
        <v>38608</v>
      </c>
      <c r="C1941">
        <v>45.06</v>
      </c>
      <c r="D1941">
        <v>45.06</v>
      </c>
    </row>
    <row r="1942" spans="1:4" x14ac:dyDescent="0.45">
      <c r="A1942">
        <v>59184</v>
      </c>
      <c r="B1942" s="72">
        <v>38609</v>
      </c>
      <c r="C1942">
        <v>45.27</v>
      </c>
      <c r="D1942">
        <v>45.27</v>
      </c>
    </row>
    <row r="1943" spans="1:4" x14ac:dyDescent="0.45">
      <c r="A1943">
        <v>59184</v>
      </c>
      <c r="B1943" s="72">
        <v>38610</v>
      </c>
      <c r="C1943">
        <v>45.05</v>
      </c>
      <c r="D1943">
        <v>45.05</v>
      </c>
    </row>
    <row r="1944" spans="1:4" x14ac:dyDescent="0.45">
      <c r="A1944">
        <v>59184</v>
      </c>
      <c r="B1944" s="72">
        <v>38611</v>
      </c>
      <c r="C1944">
        <v>45.2</v>
      </c>
      <c r="D1944">
        <v>45.2</v>
      </c>
    </row>
    <row r="1945" spans="1:4" x14ac:dyDescent="0.45">
      <c r="A1945">
        <v>59184</v>
      </c>
      <c r="B1945" s="72">
        <v>38614</v>
      </c>
      <c r="C1945">
        <v>44.97</v>
      </c>
      <c r="D1945">
        <v>44.97</v>
      </c>
    </row>
    <row r="1946" spans="1:4" x14ac:dyDescent="0.45">
      <c r="A1946">
        <v>59184</v>
      </c>
      <c r="B1946" s="72">
        <v>38615</v>
      </c>
      <c r="C1946">
        <v>44.92</v>
      </c>
      <c r="D1946">
        <v>44.92</v>
      </c>
    </row>
    <row r="1947" spans="1:4" x14ac:dyDescent="0.45">
      <c r="A1947">
        <v>59184</v>
      </c>
      <c r="B1947" s="72">
        <v>38616</v>
      </c>
      <c r="C1947">
        <v>44.19</v>
      </c>
      <c r="D1947">
        <v>44.19</v>
      </c>
    </row>
    <row r="1948" spans="1:4" x14ac:dyDescent="0.45">
      <c r="A1948">
        <v>59184</v>
      </c>
      <c r="B1948" s="72">
        <v>38617</v>
      </c>
      <c r="C1948">
        <v>44.03</v>
      </c>
      <c r="D1948">
        <v>44.03</v>
      </c>
    </row>
    <row r="1949" spans="1:4" x14ac:dyDescent="0.45">
      <c r="A1949">
        <v>59184</v>
      </c>
      <c r="B1949" s="72">
        <v>38618</v>
      </c>
      <c r="C1949">
        <v>44.03</v>
      </c>
      <c r="D1949">
        <v>44.03</v>
      </c>
    </row>
    <row r="1950" spans="1:4" x14ac:dyDescent="0.45">
      <c r="A1950">
        <v>59184</v>
      </c>
      <c r="B1950" s="72">
        <v>38621</v>
      </c>
      <c r="C1950">
        <v>43.62</v>
      </c>
      <c r="D1950">
        <v>43.62</v>
      </c>
    </row>
    <row r="1951" spans="1:4" x14ac:dyDescent="0.45">
      <c r="A1951">
        <v>59184</v>
      </c>
      <c r="B1951" s="72">
        <v>38622</v>
      </c>
      <c r="C1951">
        <v>43.64</v>
      </c>
      <c r="D1951">
        <v>43.64</v>
      </c>
    </row>
    <row r="1952" spans="1:4" x14ac:dyDescent="0.45">
      <c r="A1952">
        <v>59184</v>
      </c>
      <c r="B1952" s="72">
        <v>38623</v>
      </c>
      <c r="C1952">
        <v>43.19</v>
      </c>
      <c r="D1952">
        <v>43.19</v>
      </c>
    </row>
    <row r="1953" spans="1:4" x14ac:dyDescent="0.45">
      <c r="A1953">
        <v>59184</v>
      </c>
      <c r="B1953" s="72">
        <v>38624</v>
      </c>
      <c r="C1953">
        <v>43.46</v>
      </c>
      <c r="D1953">
        <v>43.46</v>
      </c>
    </row>
    <row r="1954" spans="1:4" x14ac:dyDescent="0.45">
      <c r="A1954">
        <v>59184</v>
      </c>
      <c r="B1954" s="72">
        <v>38625</v>
      </c>
      <c r="C1954">
        <v>43.04</v>
      </c>
      <c r="D1954">
        <v>43.04</v>
      </c>
    </row>
    <row r="1955" spans="1:4" x14ac:dyDescent="0.45">
      <c r="A1955">
        <v>59184</v>
      </c>
      <c r="B1955" s="72">
        <v>38628</v>
      </c>
      <c r="C1955">
        <v>42.5</v>
      </c>
      <c r="D1955">
        <v>42.5</v>
      </c>
    </row>
    <row r="1956" spans="1:4" x14ac:dyDescent="0.45">
      <c r="A1956">
        <v>59184</v>
      </c>
      <c r="B1956" s="72">
        <v>38629</v>
      </c>
      <c r="C1956">
        <v>42.33</v>
      </c>
      <c r="D1956">
        <v>42.33</v>
      </c>
    </row>
    <row r="1957" spans="1:4" x14ac:dyDescent="0.45">
      <c r="A1957">
        <v>59184</v>
      </c>
      <c r="B1957" s="72">
        <v>38630</v>
      </c>
      <c r="C1957">
        <v>41.8</v>
      </c>
      <c r="D1957">
        <v>41.8</v>
      </c>
    </row>
    <row r="1958" spans="1:4" x14ac:dyDescent="0.45">
      <c r="A1958">
        <v>59184</v>
      </c>
      <c r="B1958" s="72">
        <v>38631</v>
      </c>
      <c r="C1958">
        <v>42.43</v>
      </c>
      <c r="D1958">
        <v>42.43</v>
      </c>
    </row>
    <row r="1959" spans="1:4" x14ac:dyDescent="0.45">
      <c r="A1959">
        <v>59184</v>
      </c>
      <c r="B1959" s="72">
        <v>38632</v>
      </c>
      <c r="C1959">
        <v>42.2</v>
      </c>
      <c r="D1959">
        <v>42.2</v>
      </c>
    </row>
    <row r="1960" spans="1:4" x14ac:dyDescent="0.45">
      <c r="A1960">
        <v>59184</v>
      </c>
      <c r="B1960" s="72">
        <v>38635</v>
      </c>
      <c r="C1960">
        <v>42.21</v>
      </c>
      <c r="D1960">
        <v>42.21</v>
      </c>
    </row>
    <row r="1961" spans="1:4" x14ac:dyDescent="0.45">
      <c r="A1961">
        <v>59184</v>
      </c>
      <c r="B1961" s="72">
        <v>38636</v>
      </c>
      <c r="C1961">
        <v>42.09</v>
      </c>
      <c r="D1961">
        <v>42.09</v>
      </c>
    </row>
    <row r="1962" spans="1:4" x14ac:dyDescent="0.45">
      <c r="A1962">
        <v>59184</v>
      </c>
      <c r="B1962" s="72">
        <v>38637</v>
      </c>
      <c r="C1962">
        <v>41.95</v>
      </c>
      <c r="D1962">
        <v>41.95</v>
      </c>
    </row>
    <row r="1963" spans="1:4" x14ac:dyDescent="0.45">
      <c r="A1963">
        <v>59184</v>
      </c>
      <c r="B1963" s="72">
        <v>38638</v>
      </c>
      <c r="C1963">
        <v>42.06</v>
      </c>
      <c r="D1963">
        <v>42.06</v>
      </c>
    </row>
    <row r="1964" spans="1:4" x14ac:dyDescent="0.45">
      <c r="A1964">
        <v>59184</v>
      </c>
      <c r="B1964" s="72">
        <v>38639</v>
      </c>
      <c r="C1964">
        <v>42.18</v>
      </c>
      <c r="D1964">
        <v>42.18</v>
      </c>
    </row>
    <row r="1965" spans="1:4" x14ac:dyDescent="0.45">
      <c r="A1965">
        <v>59184</v>
      </c>
      <c r="B1965" s="72">
        <v>38642</v>
      </c>
      <c r="C1965">
        <v>42.47</v>
      </c>
      <c r="D1965">
        <v>42.47</v>
      </c>
    </row>
    <row r="1966" spans="1:4" x14ac:dyDescent="0.45">
      <c r="A1966">
        <v>59184</v>
      </c>
      <c r="B1966" s="72">
        <v>38643</v>
      </c>
      <c r="C1966">
        <v>42.2</v>
      </c>
      <c r="D1966">
        <v>42.2</v>
      </c>
    </row>
    <row r="1967" spans="1:4" x14ac:dyDescent="0.45">
      <c r="A1967">
        <v>59184</v>
      </c>
      <c r="B1967" s="72">
        <v>38644</v>
      </c>
      <c r="C1967">
        <v>42.63</v>
      </c>
      <c r="D1967">
        <v>42.63</v>
      </c>
    </row>
    <row r="1968" spans="1:4" x14ac:dyDescent="0.45">
      <c r="A1968">
        <v>59184</v>
      </c>
      <c r="B1968" s="72">
        <v>38645</v>
      </c>
      <c r="C1968">
        <v>42.35</v>
      </c>
      <c r="D1968">
        <v>42.35</v>
      </c>
    </row>
    <row r="1969" spans="1:4" x14ac:dyDescent="0.45">
      <c r="A1969">
        <v>59184</v>
      </c>
      <c r="B1969" s="72">
        <v>38646</v>
      </c>
      <c r="C1969">
        <v>42.16</v>
      </c>
      <c r="D1969">
        <v>42.16</v>
      </c>
    </row>
    <row r="1970" spans="1:4" x14ac:dyDescent="0.45">
      <c r="A1970">
        <v>59184</v>
      </c>
      <c r="B1970" s="72">
        <v>38649</v>
      </c>
      <c r="C1970">
        <v>41.92</v>
      </c>
      <c r="D1970">
        <v>41.92</v>
      </c>
    </row>
    <row r="1971" spans="1:4" x14ac:dyDescent="0.45">
      <c r="A1971">
        <v>59184</v>
      </c>
      <c r="B1971" s="72">
        <v>38650</v>
      </c>
      <c r="C1971">
        <v>41.75</v>
      </c>
      <c r="D1971">
        <v>41.75</v>
      </c>
    </row>
    <row r="1972" spans="1:4" x14ac:dyDescent="0.45">
      <c r="A1972">
        <v>59184</v>
      </c>
      <c r="B1972" s="72">
        <v>38651</v>
      </c>
      <c r="C1972">
        <v>40.799999999999997</v>
      </c>
      <c r="D1972">
        <v>40.799999999999997</v>
      </c>
    </row>
    <row r="1973" spans="1:4" x14ac:dyDescent="0.45">
      <c r="A1973">
        <v>59184</v>
      </c>
      <c r="B1973" s="72">
        <v>38652</v>
      </c>
      <c r="C1973">
        <v>40.57</v>
      </c>
      <c r="D1973">
        <v>40.57</v>
      </c>
    </row>
    <row r="1974" spans="1:4" x14ac:dyDescent="0.45">
      <c r="A1974">
        <v>59184</v>
      </c>
      <c r="B1974" s="72">
        <v>38653</v>
      </c>
      <c r="C1974">
        <v>40.57</v>
      </c>
      <c r="D1974">
        <v>40.57</v>
      </c>
    </row>
    <row r="1975" spans="1:4" x14ac:dyDescent="0.45">
      <c r="A1975">
        <v>59184</v>
      </c>
      <c r="B1975" s="72">
        <v>38656</v>
      </c>
      <c r="C1975">
        <v>41.26</v>
      </c>
      <c r="D1975">
        <v>41.26</v>
      </c>
    </row>
    <row r="1976" spans="1:4" x14ac:dyDescent="0.45">
      <c r="A1976">
        <v>59184</v>
      </c>
      <c r="B1976" s="72">
        <v>38657</v>
      </c>
      <c r="C1976">
        <v>41.18</v>
      </c>
      <c r="D1976">
        <v>41.18</v>
      </c>
    </row>
    <row r="1977" spans="1:4" x14ac:dyDescent="0.45">
      <c r="A1977">
        <v>59184</v>
      </c>
      <c r="B1977" s="72">
        <v>38658</v>
      </c>
      <c r="C1977">
        <v>41.64</v>
      </c>
      <c r="D1977">
        <v>41.64</v>
      </c>
    </row>
    <row r="1978" spans="1:4" x14ac:dyDescent="0.45">
      <c r="A1978">
        <v>59184</v>
      </c>
      <c r="B1978" s="72">
        <v>38659</v>
      </c>
      <c r="C1978">
        <v>42</v>
      </c>
      <c r="D1978">
        <v>42</v>
      </c>
    </row>
    <row r="1979" spans="1:4" x14ac:dyDescent="0.45">
      <c r="A1979">
        <v>59184</v>
      </c>
      <c r="B1979" s="72">
        <v>38660</v>
      </c>
      <c r="C1979">
        <v>42.14</v>
      </c>
      <c r="D1979">
        <v>42.14</v>
      </c>
    </row>
    <row r="1980" spans="1:4" x14ac:dyDescent="0.45">
      <c r="A1980">
        <v>59184</v>
      </c>
      <c r="B1980" s="72">
        <v>38663</v>
      </c>
      <c r="C1980">
        <v>42.35</v>
      </c>
      <c r="D1980">
        <v>42.35</v>
      </c>
    </row>
    <row r="1981" spans="1:4" x14ac:dyDescent="0.45">
      <c r="A1981">
        <v>59184</v>
      </c>
      <c r="B1981" s="72">
        <v>38664</v>
      </c>
      <c r="C1981">
        <v>42.04</v>
      </c>
      <c r="D1981">
        <v>42.04</v>
      </c>
    </row>
    <row r="1982" spans="1:4" x14ac:dyDescent="0.45">
      <c r="A1982">
        <v>59184</v>
      </c>
      <c r="B1982" s="72">
        <v>38665</v>
      </c>
      <c r="C1982">
        <v>42.26</v>
      </c>
      <c r="D1982">
        <v>42.26</v>
      </c>
    </row>
    <row r="1983" spans="1:4" x14ac:dyDescent="0.45">
      <c r="A1983">
        <v>59184</v>
      </c>
      <c r="B1983" s="72">
        <v>38666</v>
      </c>
      <c r="C1983">
        <v>43.06</v>
      </c>
      <c r="D1983">
        <v>43.06</v>
      </c>
    </row>
    <row r="1984" spans="1:4" x14ac:dyDescent="0.45">
      <c r="A1984">
        <v>59184</v>
      </c>
      <c r="B1984" s="72">
        <v>38667</v>
      </c>
      <c r="C1984">
        <v>43.19</v>
      </c>
      <c r="D1984">
        <v>43.19</v>
      </c>
    </row>
    <row r="1985" spans="1:4" x14ac:dyDescent="0.45">
      <c r="A1985">
        <v>59184</v>
      </c>
      <c r="B1985" s="72">
        <v>38670</v>
      </c>
      <c r="C1985">
        <v>43.24</v>
      </c>
      <c r="D1985">
        <v>43.24</v>
      </c>
    </row>
    <row r="1986" spans="1:4" x14ac:dyDescent="0.45">
      <c r="A1986">
        <v>59184</v>
      </c>
      <c r="B1986" s="72">
        <v>38671</v>
      </c>
      <c r="C1986">
        <v>43.3</v>
      </c>
      <c r="D1986">
        <v>43.3</v>
      </c>
    </row>
    <row r="1987" spans="1:4" x14ac:dyDescent="0.45">
      <c r="A1987">
        <v>59184</v>
      </c>
      <c r="B1987" s="72">
        <v>38672</v>
      </c>
      <c r="C1987">
        <v>43.13</v>
      </c>
      <c r="D1987">
        <v>43.13</v>
      </c>
    </row>
    <row r="1988" spans="1:4" x14ac:dyDescent="0.45">
      <c r="A1988">
        <v>59184</v>
      </c>
      <c r="B1988" s="72">
        <v>38673</v>
      </c>
      <c r="C1988">
        <v>43.2</v>
      </c>
      <c r="D1988">
        <v>43.2</v>
      </c>
    </row>
    <row r="1989" spans="1:4" x14ac:dyDescent="0.45">
      <c r="A1989">
        <v>59184</v>
      </c>
      <c r="B1989" s="72">
        <v>38674</v>
      </c>
      <c r="C1989">
        <v>43.17</v>
      </c>
      <c r="D1989">
        <v>43.17</v>
      </c>
    </row>
    <row r="1990" spans="1:4" x14ac:dyDescent="0.45">
      <c r="A1990">
        <v>59184</v>
      </c>
      <c r="B1990" s="72">
        <v>38677</v>
      </c>
      <c r="C1990">
        <v>43.45</v>
      </c>
      <c r="D1990">
        <v>43.45</v>
      </c>
    </row>
    <row r="1991" spans="1:4" x14ac:dyDescent="0.45">
      <c r="A1991">
        <v>59184</v>
      </c>
      <c r="B1991" s="72">
        <v>38678</v>
      </c>
      <c r="C1991">
        <v>44.02</v>
      </c>
      <c r="D1991">
        <v>44.02</v>
      </c>
    </row>
    <row r="1992" spans="1:4" x14ac:dyDescent="0.45">
      <c r="A1992">
        <v>59184</v>
      </c>
      <c r="B1992" s="72">
        <v>38679</v>
      </c>
      <c r="C1992">
        <v>43.79</v>
      </c>
      <c r="D1992">
        <v>43.79</v>
      </c>
    </row>
    <row r="1993" spans="1:4" x14ac:dyDescent="0.45">
      <c r="A1993">
        <v>59184</v>
      </c>
      <c r="B1993" s="72">
        <v>38681</v>
      </c>
      <c r="C1993">
        <v>43.87</v>
      </c>
      <c r="D1993">
        <v>43.87</v>
      </c>
    </row>
    <row r="1994" spans="1:4" x14ac:dyDescent="0.45">
      <c r="A1994">
        <v>59184</v>
      </c>
      <c r="B1994" s="72">
        <v>38684</v>
      </c>
      <c r="C1994">
        <v>44.01</v>
      </c>
      <c r="D1994">
        <v>44.01</v>
      </c>
    </row>
    <row r="1995" spans="1:4" x14ac:dyDescent="0.45">
      <c r="A1995">
        <v>59184</v>
      </c>
      <c r="B1995" s="72">
        <v>38685</v>
      </c>
      <c r="C1995">
        <v>44.7</v>
      </c>
      <c r="D1995">
        <v>44.7</v>
      </c>
    </row>
    <row r="1996" spans="1:4" x14ac:dyDescent="0.45">
      <c r="A1996">
        <v>59184</v>
      </c>
      <c r="B1996" s="72">
        <v>38686</v>
      </c>
      <c r="C1996">
        <v>43.74</v>
      </c>
      <c r="D1996">
        <v>43.74</v>
      </c>
    </row>
    <row r="1997" spans="1:4" x14ac:dyDescent="0.45">
      <c r="A1997">
        <v>59184</v>
      </c>
      <c r="B1997" s="72">
        <v>38687</v>
      </c>
      <c r="C1997">
        <v>43.61</v>
      </c>
      <c r="D1997">
        <v>43.61</v>
      </c>
    </row>
    <row r="1998" spans="1:4" x14ac:dyDescent="0.45">
      <c r="A1998">
        <v>59184</v>
      </c>
      <c r="B1998" s="72">
        <v>38688</v>
      </c>
      <c r="C1998">
        <v>43.5</v>
      </c>
      <c r="D1998">
        <v>43.5</v>
      </c>
    </row>
    <row r="1999" spans="1:4" x14ac:dyDescent="0.45">
      <c r="A1999">
        <v>59184</v>
      </c>
      <c r="B1999" s="72">
        <v>38691</v>
      </c>
      <c r="C1999">
        <v>43.6</v>
      </c>
      <c r="D1999">
        <v>43.6</v>
      </c>
    </row>
    <row r="2000" spans="1:4" x14ac:dyDescent="0.45">
      <c r="A2000">
        <v>59184</v>
      </c>
      <c r="B2000" s="72">
        <v>38692</v>
      </c>
      <c r="C2000">
        <v>43.35</v>
      </c>
      <c r="D2000">
        <v>43.35</v>
      </c>
    </row>
    <row r="2001" spans="1:4" x14ac:dyDescent="0.45">
      <c r="A2001">
        <v>59184</v>
      </c>
      <c r="B2001" s="72">
        <v>38693</v>
      </c>
      <c r="C2001">
        <v>43.24</v>
      </c>
      <c r="D2001">
        <v>43.24</v>
      </c>
    </row>
    <row r="2002" spans="1:4" x14ac:dyDescent="0.45">
      <c r="A2002">
        <v>59184</v>
      </c>
      <c r="B2002" s="72">
        <v>38694</v>
      </c>
      <c r="C2002">
        <v>43.03</v>
      </c>
      <c r="D2002">
        <v>43.03</v>
      </c>
    </row>
    <row r="2003" spans="1:4" x14ac:dyDescent="0.45">
      <c r="A2003">
        <v>59184</v>
      </c>
      <c r="B2003" s="72">
        <v>38695</v>
      </c>
      <c r="C2003">
        <v>43.23</v>
      </c>
      <c r="D2003">
        <v>43.23</v>
      </c>
    </row>
    <row r="2004" spans="1:4" x14ac:dyDescent="0.45">
      <c r="A2004">
        <v>59184</v>
      </c>
      <c r="B2004" s="72">
        <v>38698</v>
      </c>
      <c r="C2004">
        <v>43.1</v>
      </c>
      <c r="D2004">
        <v>43.1</v>
      </c>
    </row>
    <row r="2005" spans="1:4" x14ac:dyDescent="0.45">
      <c r="A2005">
        <v>59184</v>
      </c>
      <c r="B2005" s="72">
        <v>38699</v>
      </c>
      <c r="C2005">
        <v>43.51</v>
      </c>
      <c r="D2005">
        <v>43.51</v>
      </c>
    </row>
    <row r="2006" spans="1:4" x14ac:dyDescent="0.45">
      <c r="A2006">
        <v>59184</v>
      </c>
      <c r="B2006" s="72">
        <v>38700</v>
      </c>
      <c r="C2006">
        <v>43.87</v>
      </c>
      <c r="D2006">
        <v>43.87</v>
      </c>
    </row>
    <row r="2007" spans="1:4" x14ac:dyDescent="0.45">
      <c r="A2007">
        <v>59184</v>
      </c>
      <c r="B2007" s="72">
        <v>38701</v>
      </c>
      <c r="C2007">
        <v>44</v>
      </c>
      <c r="D2007">
        <v>44</v>
      </c>
    </row>
    <row r="2008" spans="1:4" x14ac:dyDescent="0.45">
      <c r="A2008">
        <v>59184</v>
      </c>
      <c r="B2008" s="72">
        <v>38702</v>
      </c>
      <c r="C2008">
        <v>44.28</v>
      </c>
      <c r="D2008">
        <v>44.28</v>
      </c>
    </row>
    <row r="2009" spans="1:4" x14ac:dyDescent="0.45">
      <c r="A2009">
        <v>59184</v>
      </c>
      <c r="B2009" s="72">
        <v>38705</v>
      </c>
      <c r="C2009">
        <v>44.27</v>
      </c>
      <c r="D2009">
        <v>44.27</v>
      </c>
    </row>
    <row r="2010" spans="1:4" x14ac:dyDescent="0.45">
      <c r="A2010">
        <v>59184</v>
      </c>
      <c r="B2010" s="72">
        <v>38706</v>
      </c>
      <c r="C2010">
        <v>43.89</v>
      </c>
      <c r="D2010">
        <v>43.89</v>
      </c>
    </row>
    <row r="2011" spans="1:4" x14ac:dyDescent="0.45">
      <c r="A2011">
        <v>59184</v>
      </c>
      <c r="B2011" s="72">
        <v>38707</v>
      </c>
      <c r="C2011">
        <v>44.16</v>
      </c>
      <c r="D2011">
        <v>44.16</v>
      </c>
    </row>
    <row r="2012" spans="1:4" x14ac:dyDescent="0.45">
      <c r="A2012">
        <v>59184</v>
      </c>
      <c r="B2012" s="72">
        <v>38708</v>
      </c>
      <c r="C2012">
        <v>43.85</v>
      </c>
      <c r="D2012">
        <v>43.85</v>
      </c>
    </row>
    <row r="2013" spans="1:4" x14ac:dyDescent="0.45">
      <c r="A2013">
        <v>59184</v>
      </c>
      <c r="B2013" s="72">
        <v>38709</v>
      </c>
      <c r="C2013">
        <v>43.7</v>
      </c>
      <c r="D2013">
        <v>43.7</v>
      </c>
    </row>
    <row r="2014" spans="1:4" x14ac:dyDescent="0.45">
      <c r="A2014">
        <v>59184</v>
      </c>
      <c r="B2014" s="72">
        <v>38713</v>
      </c>
      <c r="C2014">
        <v>43.57</v>
      </c>
      <c r="D2014">
        <v>43.57</v>
      </c>
    </row>
    <row r="2015" spans="1:4" x14ac:dyDescent="0.45">
      <c r="A2015">
        <v>59184</v>
      </c>
      <c r="B2015" s="72">
        <v>38714</v>
      </c>
      <c r="C2015">
        <v>43.51</v>
      </c>
      <c r="D2015">
        <v>43.51</v>
      </c>
    </row>
    <row r="2016" spans="1:4" x14ac:dyDescent="0.45">
      <c r="A2016">
        <v>59184</v>
      </c>
      <c r="B2016" s="72">
        <v>38715</v>
      </c>
      <c r="C2016">
        <v>43.31</v>
      </c>
      <c r="D2016">
        <v>43.31</v>
      </c>
    </row>
    <row r="2017" spans="1:4" x14ac:dyDescent="0.45">
      <c r="A2017">
        <v>59184</v>
      </c>
      <c r="B2017" s="72">
        <v>38716</v>
      </c>
      <c r="C2017">
        <v>42.96</v>
      </c>
      <c r="D2017">
        <v>42.96</v>
      </c>
    </row>
    <row r="2018" spans="1:4" x14ac:dyDescent="0.45">
      <c r="A2018">
        <v>59184</v>
      </c>
      <c r="B2018" s="72">
        <v>38720</v>
      </c>
      <c r="C2018">
        <v>43.67</v>
      </c>
      <c r="D2018">
        <v>43.67</v>
      </c>
    </row>
    <row r="2019" spans="1:4" x14ac:dyDescent="0.45">
      <c r="A2019">
        <v>59184</v>
      </c>
      <c r="B2019" s="72">
        <v>38721</v>
      </c>
      <c r="C2019">
        <v>43.92</v>
      </c>
      <c r="D2019">
        <v>43.92</v>
      </c>
    </row>
    <row r="2020" spans="1:4" x14ac:dyDescent="0.45">
      <c r="A2020">
        <v>59184</v>
      </c>
      <c r="B2020" s="72">
        <v>38722</v>
      </c>
      <c r="C2020">
        <v>43.13</v>
      </c>
      <c r="D2020">
        <v>43.13</v>
      </c>
    </row>
    <row r="2021" spans="1:4" x14ac:dyDescent="0.45">
      <c r="A2021">
        <v>59184</v>
      </c>
      <c r="B2021" s="72">
        <v>38723</v>
      </c>
      <c r="C2021">
        <v>43.98</v>
      </c>
      <c r="D2021">
        <v>43.98</v>
      </c>
    </row>
    <row r="2022" spans="1:4" x14ac:dyDescent="0.45">
      <c r="A2022">
        <v>59184</v>
      </c>
      <c r="B2022" s="72">
        <v>38726</v>
      </c>
      <c r="C2022">
        <v>43.83</v>
      </c>
      <c r="D2022">
        <v>43.83</v>
      </c>
    </row>
    <row r="2023" spans="1:4" x14ac:dyDescent="0.45">
      <c r="A2023">
        <v>59184</v>
      </c>
      <c r="B2023" s="72">
        <v>38727</v>
      </c>
      <c r="C2023">
        <v>43.15</v>
      </c>
      <c r="D2023">
        <v>43.15</v>
      </c>
    </row>
    <row r="2024" spans="1:4" x14ac:dyDescent="0.45">
      <c r="A2024">
        <v>59184</v>
      </c>
      <c r="B2024" s="72">
        <v>38728</v>
      </c>
      <c r="C2024">
        <v>43.11</v>
      </c>
      <c r="D2024">
        <v>43.11</v>
      </c>
    </row>
    <row r="2025" spans="1:4" x14ac:dyDescent="0.45">
      <c r="A2025">
        <v>59184</v>
      </c>
      <c r="B2025" s="72">
        <v>38729</v>
      </c>
      <c r="C2025">
        <v>42.41</v>
      </c>
      <c r="D2025">
        <v>42.41</v>
      </c>
    </row>
    <row r="2026" spans="1:4" x14ac:dyDescent="0.45">
      <c r="A2026">
        <v>59184</v>
      </c>
      <c r="B2026" s="72">
        <v>38730</v>
      </c>
      <c r="C2026">
        <v>42.65</v>
      </c>
      <c r="D2026">
        <v>42.65</v>
      </c>
    </row>
    <row r="2027" spans="1:4" x14ac:dyDescent="0.45">
      <c r="A2027">
        <v>59184</v>
      </c>
      <c r="B2027" s="72">
        <v>38734</v>
      </c>
      <c r="C2027">
        <v>42.31</v>
      </c>
      <c r="D2027">
        <v>42.31</v>
      </c>
    </row>
    <row r="2028" spans="1:4" x14ac:dyDescent="0.45">
      <c r="A2028">
        <v>59184</v>
      </c>
      <c r="B2028" s="72">
        <v>38735</v>
      </c>
      <c r="C2028">
        <v>41.98</v>
      </c>
      <c r="D2028">
        <v>41.98</v>
      </c>
    </row>
    <row r="2029" spans="1:4" x14ac:dyDescent="0.45">
      <c r="A2029">
        <v>59184</v>
      </c>
      <c r="B2029" s="72">
        <v>38736</v>
      </c>
      <c r="C2029">
        <v>42.07</v>
      </c>
      <c r="D2029">
        <v>42.07</v>
      </c>
    </row>
    <row r="2030" spans="1:4" x14ac:dyDescent="0.45">
      <c r="A2030">
        <v>59184</v>
      </c>
      <c r="B2030" s="72">
        <v>38737</v>
      </c>
      <c r="C2030">
        <v>41.32</v>
      </c>
      <c r="D2030">
        <v>41.32</v>
      </c>
    </row>
    <row r="2031" spans="1:4" x14ac:dyDescent="0.45">
      <c r="A2031">
        <v>59184</v>
      </c>
      <c r="B2031" s="72">
        <v>38740</v>
      </c>
      <c r="C2031">
        <v>41.39</v>
      </c>
      <c r="D2031">
        <v>41.39</v>
      </c>
    </row>
    <row r="2032" spans="1:4" x14ac:dyDescent="0.45">
      <c r="A2032">
        <v>59184</v>
      </c>
      <c r="B2032" s="72">
        <v>38741</v>
      </c>
      <c r="C2032">
        <v>41.98</v>
      </c>
      <c r="D2032">
        <v>41.98</v>
      </c>
    </row>
    <row r="2033" spans="1:4" x14ac:dyDescent="0.45">
      <c r="A2033">
        <v>59184</v>
      </c>
      <c r="B2033" s="72">
        <v>38742</v>
      </c>
      <c r="C2033">
        <v>41.52</v>
      </c>
      <c r="D2033">
        <v>41.52</v>
      </c>
    </row>
    <row r="2034" spans="1:4" x14ac:dyDescent="0.45">
      <c r="A2034">
        <v>59184</v>
      </c>
      <c r="B2034" s="72">
        <v>38743</v>
      </c>
      <c r="C2034">
        <v>42.08</v>
      </c>
      <c r="D2034">
        <v>42.08</v>
      </c>
    </row>
    <row r="2035" spans="1:4" x14ac:dyDescent="0.45">
      <c r="A2035">
        <v>59184</v>
      </c>
      <c r="B2035" s="72">
        <v>38744</v>
      </c>
      <c r="C2035">
        <v>41.85</v>
      </c>
      <c r="D2035">
        <v>41.85</v>
      </c>
    </row>
    <row r="2036" spans="1:4" x14ac:dyDescent="0.45">
      <c r="A2036">
        <v>59184</v>
      </c>
      <c r="B2036" s="72">
        <v>38747</v>
      </c>
      <c r="C2036">
        <v>42.01</v>
      </c>
      <c r="D2036">
        <v>42.01</v>
      </c>
    </row>
    <row r="2037" spans="1:4" x14ac:dyDescent="0.45">
      <c r="A2037">
        <v>59184</v>
      </c>
      <c r="B2037" s="72">
        <v>38748</v>
      </c>
      <c r="C2037">
        <v>41.44</v>
      </c>
      <c r="D2037">
        <v>41.44</v>
      </c>
    </row>
    <row r="2038" spans="1:4" x14ac:dyDescent="0.45">
      <c r="A2038">
        <v>59184</v>
      </c>
      <c r="B2038" s="72">
        <v>38749</v>
      </c>
      <c r="C2038">
        <v>41.4</v>
      </c>
      <c r="D2038">
        <v>41.4</v>
      </c>
    </row>
    <row r="2039" spans="1:4" x14ac:dyDescent="0.45">
      <c r="A2039">
        <v>59184</v>
      </c>
      <c r="B2039" s="72">
        <v>38750</v>
      </c>
      <c r="C2039">
        <v>41.1</v>
      </c>
      <c r="D2039">
        <v>41.1</v>
      </c>
    </row>
    <row r="2040" spans="1:4" x14ac:dyDescent="0.45">
      <c r="A2040">
        <v>59184</v>
      </c>
      <c r="B2040" s="72">
        <v>38751</v>
      </c>
      <c r="C2040">
        <v>40.93</v>
      </c>
      <c r="D2040">
        <v>40.93</v>
      </c>
    </row>
    <row r="2041" spans="1:4" x14ac:dyDescent="0.45">
      <c r="A2041">
        <v>59184</v>
      </c>
      <c r="B2041" s="72">
        <v>38754</v>
      </c>
      <c r="C2041">
        <v>40.75</v>
      </c>
      <c r="D2041">
        <v>40.75</v>
      </c>
    </row>
    <row r="2042" spans="1:4" x14ac:dyDescent="0.45">
      <c r="A2042">
        <v>59184</v>
      </c>
      <c r="B2042" s="72">
        <v>38755</v>
      </c>
      <c r="C2042">
        <v>40.46</v>
      </c>
      <c r="D2042">
        <v>40.46</v>
      </c>
    </row>
    <row r="2043" spans="1:4" x14ac:dyDescent="0.45">
      <c r="A2043">
        <v>59184</v>
      </c>
      <c r="B2043" s="72">
        <v>38756</v>
      </c>
      <c r="C2043">
        <v>40.69</v>
      </c>
      <c r="D2043">
        <v>40.69</v>
      </c>
    </row>
    <row r="2044" spans="1:4" x14ac:dyDescent="0.45">
      <c r="A2044">
        <v>59184</v>
      </c>
      <c r="B2044" s="72">
        <v>38757</v>
      </c>
      <c r="C2044">
        <v>40.53</v>
      </c>
      <c r="D2044">
        <v>40.53</v>
      </c>
    </row>
    <row r="2045" spans="1:4" x14ac:dyDescent="0.45">
      <c r="A2045">
        <v>59184</v>
      </c>
      <c r="B2045" s="72">
        <v>38758</v>
      </c>
      <c r="C2045">
        <v>40.42</v>
      </c>
      <c r="D2045">
        <v>40.42</v>
      </c>
    </row>
    <row r="2046" spans="1:4" x14ac:dyDescent="0.45">
      <c r="A2046">
        <v>59184</v>
      </c>
      <c r="B2046" s="72">
        <v>38761</v>
      </c>
      <c r="C2046">
        <v>40.57</v>
      </c>
      <c r="D2046">
        <v>40.57</v>
      </c>
    </row>
    <row r="2047" spans="1:4" x14ac:dyDescent="0.45">
      <c r="A2047">
        <v>59184</v>
      </c>
      <c r="B2047" s="72">
        <v>38762</v>
      </c>
      <c r="C2047">
        <v>40.97</v>
      </c>
      <c r="D2047">
        <v>40.97</v>
      </c>
    </row>
    <row r="2048" spans="1:4" x14ac:dyDescent="0.45">
      <c r="A2048">
        <v>59184</v>
      </c>
      <c r="B2048" s="72">
        <v>38763</v>
      </c>
      <c r="C2048">
        <v>41.68</v>
      </c>
      <c r="D2048">
        <v>41.68</v>
      </c>
    </row>
    <row r="2049" spans="1:4" x14ac:dyDescent="0.45">
      <c r="A2049">
        <v>59184</v>
      </c>
      <c r="B2049" s="72">
        <v>38764</v>
      </c>
      <c r="C2049">
        <v>41.8</v>
      </c>
      <c r="D2049">
        <v>41.8</v>
      </c>
    </row>
    <row r="2050" spans="1:4" x14ac:dyDescent="0.45">
      <c r="A2050">
        <v>59184</v>
      </c>
      <c r="B2050" s="72">
        <v>38765</v>
      </c>
      <c r="C2050">
        <v>41.5</v>
      </c>
      <c r="D2050">
        <v>41.5</v>
      </c>
    </row>
    <row r="2051" spans="1:4" x14ac:dyDescent="0.45">
      <c r="A2051">
        <v>59184</v>
      </c>
      <c r="B2051" s="72">
        <v>38769</v>
      </c>
      <c r="C2051">
        <v>41.27</v>
      </c>
      <c r="D2051">
        <v>41.27</v>
      </c>
    </row>
    <row r="2052" spans="1:4" x14ac:dyDescent="0.45">
      <c r="A2052">
        <v>59184</v>
      </c>
      <c r="B2052" s="72">
        <v>38770</v>
      </c>
      <c r="C2052">
        <v>41.7</v>
      </c>
      <c r="D2052">
        <v>41.7</v>
      </c>
    </row>
    <row r="2053" spans="1:4" x14ac:dyDescent="0.45">
      <c r="A2053">
        <v>59184</v>
      </c>
      <c r="B2053" s="72">
        <v>38771</v>
      </c>
      <c r="C2053">
        <v>41.94</v>
      </c>
      <c r="D2053">
        <v>41.94</v>
      </c>
    </row>
    <row r="2054" spans="1:4" x14ac:dyDescent="0.45">
      <c r="A2054">
        <v>59184</v>
      </c>
      <c r="B2054" s="72">
        <v>38772</v>
      </c>
      <c r="C2054">
        <v>41.82</v>
      </c>
      <c r="D2054">
        <v>41.82</v>
      </c>
    </row>
    <row r="2055" spans="1:4" x14ac:dyDescent="0.45">
      <c r="A2055">
        <v>59184</v>
      </c>
      <c r="B2055" s="72">
        <v>38775</v>
      </c>
      <c r="C2055">
        <v>42.15</v>
      </c>
      <c r="D2055">
        <v>42.15</v>
      </c>
    </row>
    <row r="2056" spans="1:4" x14ac:dyDescent="0.45">
      <c r="A2056">
        <v>59184</v>
      </c>
      <c r="B2056" s="72">
        <v>38776</v>
      </c>
      <c r="C2056">
        <v>41.54</v>
      </c>
      <c r="D2056">
        <v>41.54</v>
      </c>
    </row>
    <row r="2057" spans="1:4" x14ac:dyDescent="0.45">
      <c r="A2057">
        <v>59184</v>
      </c>
      <c r="B2057" s="72">
        <v>38777</v>
      </c>
      <c r="C2057">
        <v>41.54</v>
      </c>
      <c r="D2057">
        <v>41.54</v>
      </c>
    </row>
    <row r="2058" spans="1:4" x14ac:dyDescent="0.45">
      <c r="A2058">
        <v>59184</v>
      </c>
      <c r="B2058" s="72">
        <v>38778</v>
      </c>
      <c r="C2058">
        <v>41.37</v>
      </c>
      <c r="D2058">
        <v>41.37</v>
      </c>
    </row>
    <row r="2059" spans="1:4" x14ac:dyDescent="0.45">
      <c r="A2059">
        <v>59184</v>
      </c>
      <c r="B2059" s="72">
        <v>38779</v>
      </c>
      <c r="C2059">
        <v>41.22</v>
      </c>
      <c r="D2059">
        <v>41.22</v>
      </c>
    </row>
    <row r="2060" spans="1:4" x14ac:dyDescent="0.45">
      <c r="A2060">
        <v>59184</v>
      </c>
      <c r="B2060" s="72">
        <v>38782</v>
      </c>
      <c r="C2060">
        <v>41.4</v>
      </c>
      <c r="D2060">
        <v>41.4</v>
      </c>
    </row>
    <row r="2061" spans="1:4" x14ac:dyDescent="0.45">
      <c r="A2061">
        <v>59184</v>
      </c>
      <c r="B2061" s="72">
        <v>38783</v>
      </c>
      <c r="C2061">
        <v>41.7</v>
      </c>
      <c r="D2061">
        <v>41.7</v>
      </c>
    </row>
    <row r="2062" spans="1:4" x14ac:dyDescent="0.45">
      <c r="A2062">
        <v>59184</v>
      </c>
      <c r="B2062" s="72">
        <v>38784</v>
      </c>
      <c r="C2062">
        <v>42.18</v>
      </c>
      <c r="D2062">
        <v>42.18</v>
      </c>
    </row>
    <row r="2063" spans="1:4" x14ac:dyDescent="0.45">
      <c r="A2063">
        <v>59184</v>
      </c>
      <c r="B2063" s="72">
        <v>38785</v>
      </c>
      <c r="C2063">
        <v>42.94</v>
      </c>
      <c r="D2063">
        <v>42.94</v>
      </c>
    </row>
    <row r="2064" spans="1:4" x14ac:dyDescent="0.45">
      <c r="A2064">
        <v>59184</v>
      </c>
      <c r="B2064" s="72">
        <v>38786</v>
      </c>
      <c r="C2064">
        <v>42.95</v>
      </c>
      <c r="D2064">
        <v>42.95</v>
      </c>
    </row>
    <row r="2065" spans="1:4" x14ac:dyDescent="0.45">
      <c r="A2065">
        <v>59184</v>
      </c>
      <c r="B2065" s="72">
        <v>38789</v>
      </c>
      <c r="C2065">
        <v>42.62</v>
      </c>
      <c r="D2065">
        <v>42.62</v>
      </c>
    </row>
    <row r="2066" spans="1:4" x14ac:dyDescent="0.45">
      <c r="A2066">
        <v>59184</v>
      </c>
      <c r="B2066" s="72">
        <v>38790</v>
      </c>
      <c r="C2066">
        <v>43.33</v>
      </c>
      <c r="D2066">
        <v>43.33</v>
      </c>
    </row>
    <row r="2067" spans="1:4" x14ac:dyDescent="0.45">
      <c r="A2067">
        <v>59184</v>
      </c>
      <c r="B2067" s="72">
        <v>38791</v>
      </c>
      <c r="C2067">
        <v>43.36</v>
      </c>
      <c r="D2067">
        <v>43.36</v>
      </c>
    </row>
    <row r="2068" spans="1:4" x14ac:dyDescent="0.45">
      <c r="A2068">
        <v>59184</v>
      </c>
      <c r="B2068" s="72">
        <v>38792</v>
      </c>
      <c r="C2068">
        <v>43.34</v>
      </c>
      <c r="D2068">
        <v>43.34</v>
      </c>
    </row>
    <row r="2069" spans="1:4" x14ac:dyDescent="0.45">
      <c r="A2069">
        <v>59184</v>
      </c>
      <c r="B2069" s="72">
        <v>38793</v>
      </c>
      <c r="C2069">
        <v>43.32</v>
      </c>
      <c r="D2069">
        <v>43.32</v>
      </c>
    </row>
    <row r="2070" spans="1:4" x14ac:dyDescent="0.45">
      <c r="A2070">
        <v>59184</v>
      </c>
      <c r="B2070" s="72">
        <v>38796</v>
      </c>
      <c r="C2070">
        <v>43.95</v>
      </c>
      <c r="D2070">
        <v>43.95</v>
      </c>
    </row>
    <row r="2071" spans="1:4" x14ac:dyDescent="0.45">
      <c r="A2071">
        <v>59184</v>
      </c>
      <c r="B2071" s="72">
        <v>38797</v>
      </c>
      <c r="C2071">
        <v>43.3</v>
      </c>
      <c r="D2071">
        <v>43.3</v>
      </c>
    </row>
    <row r="2072" spans="1:4" x14ac:dyDescent="0.45">
      <c r="A2072">
        <v>59184</v>
      </c>
      <c r="B2072" s="72">
        <v>38798</v>
      </c>
      <c r="C2072">
        <v>43.7</v>
      </c>
      <c r="D2072">
        <v>43.7</v>
      </c>
    </row>
    <row r="2073" spans="1:4" x14ac:dyDescent="0.45">
      <c r="A2073">
        <v>59184</v>
      </c>
      <c r="B2073" s="72">
        <v>38799</v>
      </c>
      <c r="C2073">
        <v>43.27</v>
      </c>
      <c r="D2073">
        <v>43.27</v>
      </c>
    </row>
    <row r="2074" spans="1:4" x14ac:dyDescent="0.45">
      <c r="A2074">
        <v>59184</v>
      </c>
      <c r="B2074" s="72">
        <v>38800</v>
      </c>
      <c r="C2074">
        <v>42.9</v>
      </c>
      <c r="D2074">
        <v>42.9</v>
      </c>
    </row>
    <row r="2075" spans="1:4" x14ac:dyDescent="0.45">
      <c r="A2075">
        <v>59184</v>
      </c>
      <c r="B2075" s="72">
        <v>38803</v>
      </c>
      <c r="C2075">
        <v>42.95</v>
      </c>
      <c r="D2075">
        <v>42.95</v>
      </c>
    </row>
    <row r="2076" spans="1:4" x14ac:dyDescent="0.45">
      <c r="A2076">
        <v>59184</v>
      </c>
      <c r="B2076" s="72">
        <v>38804</v>
      </c>
      <c r="C2076">
        <v>42.71</v>
      </c>
      <c r="D2076">
        <v>42.71</v>
      </c>
    </row>
    <row r="2077" spans="1:4" x14ac:dyDescent="0.45">
      <c r="A2077">
        <v>59184</v>
      </c>
      <c r="B2077" s="72">
        <v>38805</v>
      </c>
      <c r="C2077">
        <v>43.28</v>
      </c>
      <c r="D2077">
        <v>43.28</v>
      </c>
    </row>
    <row r="2078" spans="1:4" x14ac:dyDescent="0.45">
      <c r="A2078">
        <v>59184</v>
      </c>
      <c r="B2078" s="72">
        <v>38806</v>
      </c>
      <c r="C2078">
        <v>42.77</v>
      </c>
      <c r="D2078">
        <v>42.77</v>
      </c>
    </row>
    <row r="2079" spans="1:4" x14ac:dyDescent="0.45">
      <c r="A2079">
        <v>59184</v>
      </c>
      <c r="B2079" s="72">
        <v>38807</v>
      </c>
      <c r="C2079">
        <v>42.77</v>
      </c>
      <c r="D2079">
        <v>42.77</v>
      </c>
    </row>
    <row r="2080" spans="1:4" x14ac:dyDescent="0.45">
      <c r="A2080">
        <v>59184</v>
      </c>
      <c r="B2080" s="72">
        <v>38810</v>
      </c>
      <c r="C2080">
        <v>42.9</v>
      </c>
      <c r="D2080">
        <v>42.9</v>
      </c>
    </row>
    <row r="2081" spans="1:4" x14ac:dyDescent="0.45">
      <c r="A2081">
        <v>59184</v>
      </c>
      <c r="B2081" s="72">
        <v>38811</v>
      </c>
      <c r="C2081">
        <v>43.06</v>
      </c>
      <c r="D2081">
        <v>43.06</v>
      </c>
    </row>
    <row r="2082" spans="1:4" x14ac:dyDescent="0.45">
      <c r="A2082">
        <v>59184</v>
      </c>
      <c r="B2082" s="72">
        <v>38812</v>
      </c>
      <c r="C2082">
        <v>43.12</v>
      </c>
      <c r="D2082">
        <v>43.12</v>
      </c>
    </row>
    <row r="2083" spans="1:4" x14ac:dyDescent="0.45">
      <c r="A2083">
        <v>59184</v>
      </c>
      <c r="B2083" s="72">
        <v>38813</v>
      </c>
      <c r="C2083">
        <v>42.93</v>
      </c>
      <c r="D2083">
        <v>42.93</v>
      </c>
    </row>
    <row r="2084" spans="1:4" x14ac:dyDescent="0.45">
      <c r="A2084">
        <v>59184</v>
      </c>
      <c r="B2084" s="72">
        <v>38814</v>
      </c>
      <c r="C2084">
        <v>42.02</v>
      </c>
      <c r="D2084">
        <v>42.02</v>
      </c>
    </row>
    <row r="2085" spans="1:4" x14ac:dyDescent="0.45">
      <c r="A2085">
        <v>59184</v>
      </c>
      <c r="B2085" s="72">
        <v>38817</v>
      </c>
      <c r="C2085">
        <v>42.27</v>
      </c>
      <c r="D2085">
        <v>42.27</v>
      </c>
    </row>
    <row r="2086" spans="1:4" x14ac:dyDescent="0.45">
      <c r="A2086">
        <v>59184</v>
      </c>
      <c r="B2086" s="72">
        <v>38818</v>
      </c>
      <c r="C2086">
        <v>42.47</v>
      </c>
      <c r="D2086">
        <v>42.47</v>
      </c>
    </row>
    <row r="2087" spans="1:4" x14ac:dyDescent="0.45">
      <c r="A2087">
        <v>59184</v>
      </c>
      <c r="B2087" s="72">
        <v>38819</v>
      </c>
      <c r="C2087">
        <v>42.07</v>
      </c>
      <c r="D2087">
        <v>42.07</v>
      </c>
    </row>
    <row r="2088" spans="1:4" x14ac:dyDescent="0.45">
      <c r="A2088">
        <v>59184</v>
      </c>
      <c r="B2088" s="72">
        <v>38820</v>
      </c>
      <c r="C2088">
        <v>42.22</v>
      </c>
      <c r="D2088">
        <v>42.22</v>
      </c>
    </row>
    <row r="2089" spans="1:4" x14ac:dyDescent="0.45">
      <c r="A2089">
        <v>59184</v>
      </c>
      <c r="B2089" s="72">
        <v>38824</v>
      </c>
      <c r="C2089">
        <v>41.9</v>
      </c>
      <c r="D2089">
        <v>41.9</v>
      </c>
    </row>
    <row r="2090" spans="1:4" x14ac:dyDescent="0.45">
      <c r="A2090">
        <v>59184</v>
      </c>
      <c r="B2090" s="72">
        <v>38825</v>
      </c>
      <c r="C2090">
        <v>42.65</v>
      </c>
      <c r="D2090">
        <v>42.65</v>
      </c>
    </row>
    <row r="2091" spans="1:4" x14ac:dyDescent="0.45">
      <c r="A2091">
        <v>59184</v>
      </c>
      <c r="B2091" s="72">
        <v>38826</v>
      </c>
      <c r="C2091">
        <v>42.62</v>
      </c>
      <c r="D2091">
        <v>42.62</v>
      </c>
    </row>
    <row r="2092" spans="1:4" x14ac:dyDescent="0.45">
      <c r="A2092">
        <v>59184</v>
      </c>
      <c r="B2092" s="72">
        <v>38827</v>
      </c>
      <c r="C2092">
        <v>42.6</v>
      </c>
      <c r="D2092">
        <v>42.6</v>
      </c>
    </row>
    <row r="2093" spans="1:4" x14ac:dyDescent="0.45">
      <c r="A2093">
        <v>59184</v>
      </c>
      <c r="B2093" s="72">
        <v>38828</v>
      </c>
      <c r="C2093">
        <v>42.73</v>
      </c>
      <c r="D2093">
        <v>42.73</v>
      </c>
    </row>
    <row r="2094" spans="1:4" x14ac:dyDescent="0.45">
      <c r="A2094">
        <v>59184</v>
      </c>
      <c r="B2094" s="72">
        <v>38831</v>
      </c>
      <c r="C2094">
        <v>43.03</v>
      </c>
      <c r="D2094">
        <v>43.03</v>
      </c>
    </row>
    <row r="2095" spans="1:4" x14ac:dyDescent="0.45">
      <c r="A2095">
        <v>59184</v>
      </c>
      <c r="B2095" s="72">
        <v>38832</v>
      </c>
      <c r="C2095">
        <v>42.63</v>
      </c>
      <c r="D2095">
        <v>42.63</v>
      </c>
    </row>
    <row r="2096" spans="1:4" x14ac:dyDescent="0.45">
      <c r="A2096">
        <v>59184</v>
      </c>
      <c r="B2096" s="72">
        <v>38833</v>
      </c>
      <c r="C2096">
        <v>44.9</v>
      </c>
      <c r="D2096">
        <v>44.9</v>
      </c>
    </row>
    <row r="2097" spans="1:4" x14ac:dyDescent="0.45">
      <c r="A2097">
        <v>59184</v>
      </c>
      <c r="B2097" s="72">
        <v>38834</v>
      </c>
      <c r="C2097">
        <v>44.62</v>
      </c>
      <c r="D2097">
        <v>44.62</v>
      </c>
    </row>
    <row r="2098" spans="1:4" x14ac:dyDescent="0.45">
      <c r="A2098">
        <v>59184</v>
      </c>
      <c r="B2098" s="72">
        <v>38835</v>
      </c>
      <c r="C2098">
        <v>44.58</v>
      </c>
      <c r="D2098">
        <v>44.58</v>
      </c>
    </row>
    <row r="2099" spans="1:4" x14ac:dyDescent="0.45">
      <c r="A2099">
        <v>59184</v>
      </c>
      <c r="B2099" s="72">
        <v>38838</v>
      </c>
      <c r="C2099">
        <v>44.73</v>
      </c>
      <c r="D2099">
        <v>44.73</v>
      </c>
    </row>
    <row r="2100" spans="1:4" x14ac:dyDescent="0.45">
      <c r="A2100">
        <v>59184</v>
      </c>
      <c r="B2100" s="72">
        <v>38839</v>
      </c>
      <c r="C2100">
        <v>45.2</v>
      </c>
      <c r="D2100">
        <v>45.2</v>
      </c>
    </row>
    <row r="2101" spans="1:4" x14ac:dyDescent="0.45">
      <c r="A2101">
        <v>59184</v>
      </c>
      <c r="B2101" s="72">
        <v>38840</v>
      </c>
      <c r="C2101">
        <v>45.87</v>
      </c>
      <c r="D2101">
        <v>45.87</v>
      </c>
    </row>
    <row r="2102" spans="1:4" x14ac:dyDescent="0.45">
      <c r="A2102">
        <v>59184</v>
      </c>
      <c r="B2102" s="72">
        <v>38841</v>
      </c>
      <c r="C2102">
        <v>45.64</v>
      </c>
      <c r="D2102">
        <v>45.64</v>
      </c>
    </row>
    <row r="2103" spans="1:4" x14ac:dyDescent="0.45">
      <c r="A2103">
        <v>59184</v>
      </c>
      <c r="B2103" s="72">
        <v>38842</v>
      </c>
      <c r="C2103">
        <v>45.86</v>
      </c>
      <c r="D2103">
        <v>45.86</v>
      </c>
    </row>
    <row r="2104" spans="1:4" x14ac:dyDescent="0.45">
      <c r="A2104">
        <v>59184</v>
      </c>
      <c r="B2104" s="72">
        <v>38845</v>
      </c>
      <c r="C2104">
        <v>45.78</v>
      </c>
      <c r="D2104">
        <v>45.78</v>
      </c>
    </row>
    <row r="2105" spans="1:4" x14ac:dyDescent="0.45">
      <c r="A2105">
        <v>59184</v>
      </c>
      <c r="B2105" s="72">
        <v>38846</v>
      </c>
      <c r="C2105">
        <v>46.81</v>
      </c>
      <c r="D2105">
        <v>46.81</v>
      </c>
    </row>
    <row r="2106" spans="1:4" x14ac:dyDescent="0.45">
      <c r="A2106">
        <v>59184</v>
      </c>
      <c r="B2106" s="72">
        <v>38847</v>
      </c>
      <c r="C2106">
        <v>46.74</v>
      </c>
      <c r="D2106">
        <v>46.74</v>
      </c>
    </row>
    <row r="2107" spans="1:4" x14ac:dyDescent="0.45">
      <c r="A2107">
        <v>59184</v>
      </c>
      <c r="B2107" s="72">
        <v>38848</v>
      </c>
      <c r="C2107">
        <v>46.09</v>
      </c>
      <c r="D2107">
        <v>46.09</v>
      </c>
    </row>
    <row r="2108" spans="1:4" x14ac:dyDescent="0.45">
      <c r="A2108">
        <v>59184</v>
      </c>
      <c r="B2108" s="72">
        <v>38849</v>
      </c>
      <c r="C2108">
        <v>46.02</v>
      </c>
      <c r="D2108">
        <v>46.02</v>
      </c>
    </row>
    <row r="2109" spans="1:4" x14ac:dyDescent="0.45">
      <c r="A2109">
        <v>59184</v>
      </c>
      <c r="B2109" s="72">
        <v>38852</v>
      </c>
      <c r="C2109">
        <v>46.39</v>
      </c>
      <c r="D2109">
        <v>46.39</v>
      </c>
    </row>
    <row r="2110" spans="1:4" x14ac:dyDescent="0.45">
      <c r="A2110">
        <v>59184</v>
      </c>
      <c r="B2110" s="72">
        <v>38853</v>
      </c>
      <c r="C2110">
        <v>46.59</v>
      </c>
      <c r="D2110">
        <v>46.59</v>
      </c>
    </row>
    <row r="2111" spans="1:4" x14ac:dyDescent="0.45">
      <c r="A2111">
        <v>59184</v>
      </c>
      <c r="B2111" s="72">
        <v>38854</v>
      </c>
      <c r="C2111">
        <v>46.27</v>
      </c>
      <c r="D2111">
        <v>46.27</v>
      </c>
    </row>
    <row r="2112" spans="1:4" x14ac:dyDescent="0.45">
      <c r="A2112">
        <v>59184</v>
      </c>
      <c r="B2112" s="72">
        <v>38855</v>
      </c>
      <c r="C2112">
        <v>46.19</v>
      </c>
      <c r="D2112">
        <v>46.19</v>
      </c>
    </row>
    <row r="2113" spans="1:4" x14ac:dyDescent="0.45">
      <c r="A2113">
        <v>59184</v>
      </c>
      <c r="B2113" s="72">
        <v>38856</v>
      </c>
      <c r="C2113">
        <v>46.13</v>
      </c>
      <c r="D2113">
        <v>46.13</v>
      </c>
    </row>
    <row r="2114" spans="1:4" x14ac:dyDescent="0.45">
      <c r="A2114">
        <v>59184</v>
      </c>
      <c r="B2114" s="72">
        <v>38859</v>
      </c>
      <c r="C2114">
        <v>46.96</v>
      </c>
      <c r="D2114">
        <v>46.96</v>
      </c>
    </row>
    <row r="2115" spans="1:4" x14ac:dyDescent="0.45">
      <c r="A2115">
        <v>59184</v>
      </c>
      <c r="B2115" s="72">
        <v>38860</v>
      </c>
      <c r="C2115">
        <v>46.5</v>
      </c>
      <c r="D2115">
        <v>46.5</v>
      </c>
    </row>
    <row r="2116" spans="1:4" x14ac:dyDescent="0.45">
      <c r="A2116">
        <v>59184</v>
      </c>
      <c r="B2116" s="72">
        <v>38861</v>
      </c>
      <c r="C2116">
        <v>46.5</v>
      </c>
      <c r="D2116">
        <v>46.5</v>
      </c>
    </row>
    <row r="2117" spans="1:4" x14ac:dyDescent="0.45">
      <c r="A2117">
        <v>59184</v>
      </c>
      <c r="B2117" s="72">
        <v>38862</v>
      </c>
      <c r="C2117">
        <v>46.81</v>
      </c>
      <c r="D2117">
        <v>46.81</v>
      </c>
    </row>
    <row r="2118" spans="1:4" x14ac:dyDescent="0.45">
      <c r="A2118">
        <v>59184</v>
      </c>
      <c r="B2118" s="72">
        <v>38863</v>
      </c>
      <c r="C2118">
        <v>45.76</v>
      </c>
      <c r="D2118">
        <v>45.76</v>
      </c>
    </row>
    <row r="2119" spans="1:4" x14ac:dyDescent="0.45">
      <c r="A2119">
        <v>59184</v>
      </c>
      <c r="B2119" s="72">
        <v>38867</v>
      </c>
      <c r="C2119">
        <v>45.5</v>
      </c>
      <c r="D2119">
        <v>45.5</v>
      </c>
    </row>
    <row r="2120" spans="1:4" x14ac:dyDescent="0.45">
      <c r="A2120">
        <v>59184</v>
      </c>
      <c r="B2120" s="72">
        <v>38868</v>
      </c>
      <c r="C2120">
        <v>45.64</v>
      </c>
      <c r="D2120">
        <v>45.64</v>
      </c>
    </row>
    <row r="2121" spans="1:4" x14ac:dyDescent="0.45">
      <c r="A2121">
        <v>59184</v>
      </c>
      <c r="B2121" s="72">
        <v>38869</v>
      </c>
      <c r="C2121">
        <v>45.99</v>
      </c>
      <c r="D2121">
        <v>45.99</v>
      </c>
    </row>
    <row r="2122" spans="1:4" x14ac:dyDescent="0.45">
      <c r="A2122">
        <v>59184</v>
      </c>
      <c r="B2122" s="72">
        <v>38870</v>
      </c>
      <c r="C2122">
        <v>45.62</v>
      </c>
      <c r="D2122">
        <v>45.62</v>
      </c>
    </row>
    <row r="2123" spans="1:4" x14ac:dyDescent="0.45">
      <c r="A2123">
        <v>59184</v>
      </c>
      <c r="B2123" s="72">
        <v>38873</v>
      </c>
      <c r="C2123">
        <v>44.9</v>
      </c>
      <c r="D2123">
        <v>44.9</v>
      </c>
    </row>
    <row r="2124" spans="1:4" x14ac:dyDescent="0.45">
      <c r="A2124">
        <v>59184</v>
      </c>
      <c r="B2124" s="72">
        <v>38874</v>
      </c>
      <c r="C2124">
        <v>44.96</v>
      </c>
      <c r="D2124">
        <v>44.96</v>
      </c>
    </row>
    <row r="2125" spans="1:4" x14ac:dyDescent="0.45">
      <c r="A2125">
        <v>59184</v>
      </c>
      <c r="B2125" s="72">
        <v>38875</v>
      </c>
      <c r="C2125">
        <v>45.17</v>
      </c>
      <c r="D2125">
        <v>45.17</v>
      </c>
    </row>
    <row r="2126" spans="1:4" x14ac:dyDescent="0.45">
      <c r="A2126">
        <v>59184</v>
      </c>
      <c r="B2126" s="72">
        <v>38876</v>
      </c>
      <c r="C2126">
        <v>45.09</v>
      </c>
      <c r="D2126">
        <v>45.09</v>
      </c>
    </row>
    <row r="2127" spans="1:4" x14ac:dyDescent="0.45">
      <c r="A2127">
        <v>59184</v>
      </c>
      <c r="B2127" s="72">
        <v>38877</v>
      </c>
      <c r="C2127">
        <v>45.21</v>
      </c>
      <c r="D2127">
        <v>45.21</v>
      </c>
    </row>
    <row r="2128" spans="1:4" x14ac:dyDescent="0.45">
      <c r="A2128">
        <v>59184</v>
      </c>
      <c r="B2128" s="72">
        <v>38880</v>
      </c>
      <c r="C2128">
        <v>44.97</v>
      </c>
      <c r="D2128">
        <v>44.97</v>
      </c>
    </row>
    <row r="2129" spans="1:4" x14ac:dyDescent="0.45">
      <c r="A2129">
        <v>59184</v>
      </c>
      <c r="B2129" s="72">
        <v>38881</v>
      </c>
      <c r="C2129">
        <v>45.24</v>
      </c>
      <c r="D2129">
        <v>45.24</v>
      </c>
    </row>
    <row r="2130" spans="1:4" x14ac:dyDescent="0.45">
      <c r="A2130">
        <v>59184</v>
      </c>
      <c r="B2130" s="72">
        <v>38882</v>
      </c>
      <c r="C2130">
        <v>45.14</v>
      </c>
      <c r="D2130">
        <v>45.14</v>
      </c>
    </row>
    <row r="2131" spans="1:4" x14ac:dyDescent="0.45">
      <c r="A2131">
        <v>59184</v>
      </c>
      <c r="B2131" s="72">
        <v>38883</v>
      </c>
      <c r="C2131">
        <v>45.42</v>
      </c>
      <c r="D2131">
        <v>45.42</v>
      </c>
    </row>
    <row r="2132" spans="1:4" x14ac:dyDescent="0.45">
      <c r="A2132">
        <v>59184</v>
      </c>
      <c r="B2132" s="72">
        <v>38884</v>
      </c>
      <c r="C2132">
        <v>45.52</v>
      </c>
      <c r="D2132">
        <v>45.52</v>
      </c>
    </row>
    <row r="2133" spans="1:4" x14ac:dyDescent="0.45">
      <c r="A2133">
        <v>59184</v>
      </c>
      <c r="B2133" s="72">
        <v>38887</v>
      </c>
      <c r="C2133">
        <v>45.4</v>
      </c>
      <c r="D2133">
        <v>45.4</v>
      </c>
    </row>
    <row r="2134" spans="1:4" x14ac:dyDescent="0.45">
      <c r="A2134">
        <v>59184</v>
      </c>
      <c r="B2134" s="72">
        <v>38888</v>
      </c>
      <c r="C2134">
        <v>45.6</v>
      </c>
      <c r="D2134">
        <v>45.6</v>
      </c>
    </row>
    <row r="2135" spans="1:4" x14ac:dyDescent="0.45">
      <c r="A2135">
        <v>59184</v>
      </c>
      <c r="B2135" s="72">
        <v>38889</v>
      </c>
      <c r="C2135">
        <v>45.65</v>
      </c>
      <c r="D2135">
        <v>45.65</v>
      </c>
    </row>
    <row r="2136" spans="1:4" x14ac:dyDescent="0.45">
      <c r="A2136">
        <v>59184</v>
      </c>
      <c r="B2136" s="72">
        <v>38890</v>
      </c>
      <c r="C2136">
        <v>45.5</v>
      </c>
      <c r="D2136">
        <v>45.5</v>
      </c>
    </row>
    <row r="2137" spans="1:4" x14ac:dyDescent="0.45">
      <c r="A2137">
        <v>59184</v>
      </c>
      <c r="B2137" s="72">
        <v>38891</v>
      </c>
      <c r="C2137">
        <v>45.42</v>
      </c>
      <c r="D2137">
        <v>45.42</v>
      </c>
    </row>
    <row r="2138" spans="1:4" x14ac:dyDescent="0.45">
      <c r="A2138">
        <v>59184</v>
      </c>
      <c r="B2138" s="72">
        <v>38894</v>
      </c>
      <c r="C2138">
        <v>45.3</v>
      </c>
      <c r="D2138">
        <v>45.3</v>
      </c>
    </row>
    <row r="2139" spans="1:4" x14ac:dyDescent="0.45">
      <c r="A2139">
        <v>59184</v>
      </c>
      <c r="B2139" s="72">
        <v>38895</v>
      </c>
      <c r="C2139">
        <v>45.09</v>
      </c>
      <c r="D2139">
        <v>45.09</v>
      </c>
    </row>
    <row r="2140" spans="1:4" x14ac:dyDescent="0.45">
      <c r="A2140">
        <v>59184</v>
      </c>
      <c r="B2140" s="72">
        <v>38896</v>
      </c>
      <c r="C2140">
        <v>44.98</v>
      </c>
      <c r="D2140">
        <v>44.98</v>
      </c>
    </row>
    <row r="2141" spans="1:4" x14ac:dyDescent="0.45">
      <c r="A2141">
        <v>59184</v>
      </c>
      <c r="B2141" s="72">
        <v>38897</v>
      </c>
      <c r="C2141">
        <v>45.73</v>
      </c>
      <c r="D2141">
        <v>45.73</v>
      </c>
    </row>
    <row r="2142" spans="1:4" x14ac:dyDescent="0.45">
      <c r="A2142">
        <v>59184</v>
      </c>
      <c r="B2142" s="72">
        <v>38898</v>
      </c>
      <c r="C2142">
        <v>45.59</v>
      </c>
      <c r="D2142">
        <v>45.59</v>
      </c>
    </row>
    <row r="2143" spans="1:4" x14ac:dyDescent="0.45">
      <c r="A2143">
        <v>59184</v>
      </c>
      <c r="B2143" s="72">
        <v>38901</v>
      </c>
      <c r="C2143">
        <v>45.56</v>
      </c>
      <c r="D2143">
        <v>45.56</v>
      </c>
    </row>
    <row r="2144" spans="1:4" x14ac:dyDescent="0.45">
      <c r="A2144">
        <v>59184</v>
      </c>
      <c r="B2144" s="72">
        <v>38903</v>
      </c>
      <c r="C2144">
        <v>45.53</v>
      </c>
      <c r="D2144">
        <v>45.53</v>
      </c>
    </row>
    <row r="2145" spans="1:4" x14ac:dyDescent="0.45">
      <c r="A2145">
        <v>59184</v>
      </c>
      <c r="B2145" s="72">
        <v>38904</v>
      </c>
      <c r="C2145">
        <v>45.6</v>
      </c>
      <c r="D2145">
        <v>45.6</v>
      </c>
    </row>
    <row r="2146" spans="1:4" x14ac:dyDescent="0.45">
      <c r="A2146">
        <v>59184</v>
      </c>
      <c r="B2146" s="72">
        <v>38905</v>
      </c>
      <c r="C2146">
        <v>45.96</v>
      </c>
      <c r="D2146">
        <v>45.96</v>
      </c>
    </row>
    <row r="2147" spans="1:4" x14ac:dyDescent="0.45">
      <c r="A2147">
        <v>59184</v>
      </c>
      <c r="B2147" s="72">
        <v>38908</v>
      </c>
      <c r="C2147">
        <v>46.05</v>
      </c>
      <c r="D2147">
        <v>46.05</v>
      </c>
    </row>
    <row r="2148" spans="1:4" x14ac:dyDescent="0.45">
      <c r="A2148">
        <v>59184</v>
      </c>
      <c r="B2148" s="72">
        <v>38909</v>
      </c>
      <c r="C2148">
        <v>46.22</v>
      </c>
      <c r="D2148">
        <v>46.22</v>
      </c>
    </row>
    <row r="2149" spans="1:4" x14ac:dyDescent="0.45">
      <c r="A2149">
        <v>59184</v>
      </c>
      <c r="B2149" s="72">
        <v>38910</v>
      </c>
      <c r="C2149">
        <v>46.09</v>
      </c>
      <c r="D2149">
        <v>46.09</v>
      </c>
    </row>
    <row r="2150" spans="1:4" x14ac:dyDescent="0.45">
      <c r="A2150">
        <v>59184</v>
      </c>
      <c r="B2150" s="72">
        <v>38911</v>
      </c>
      <c r="C2150">
        <v>45.46</v>
      </c>
      <c r="D2150">
        <v>45.46</v>
      </c>
    </row>
    <row r="2151" spans="1:4" x14ac:dyDescent="0.45">
      <c r="A2151">
        <v>59184</v>
      </c>
      <c r="B2151" s="72">
        <v>38912</v>
      </c>
      <c r="C2151">
        <v>45.19</v>
      </c>
      <c r="D2151">
        <v>45.19</v>
      </c>
    </row>
    <row r="2152" spans="1:4" x14ac:dyDescent="0.45">
      <c r="A2152">
        <v>59184</v>
      </c>
      <c r="B2152" s="72">
        <v>38915</v>
      </c>
      <c r="C2152">
        <v>45.42</v>
      </c>
      <c r="D2152">
        <v>45.42</v>
      </c>
    </row>
    <row r="2153" spans="1:4" x14ac:dyDescent="0.45">
      <c r="A2153">
        <v>59184</v>
      </c>
      <c r="B2153" s="72">
        <v>38916</v>
      </c>
      <c r="C2153">
        <v>45.76</v>
      </c>
      <c r="D2153">
        <v>45.76</v>
      </c>
    </row>
    <row r="2154" spans="1:4" x14ac:dyDescent="0.45">
      <c r="A2154">
        <v>59184</v>
      </c>
      <c r="B2154" s="72">
        <v>38917</v>
      </c>
      <c r="C2154">
        <v>46.83</v>
      </c>
      <c r="D2154">
        <v>46.83</v>
      </c>
    </row>
    <row r="2155" spans="1:4" x14ac:dyDescent="0.45">
      <c r="A2155">
        <v>59184</v>
      </c>
      <c r="B2155" s="72">
        <v>38918</v>
      </c>
      <c r="C2155">
        <v>46.69</v>
      </c>
      <c r="D2155">
        <v>46.69</v>
      </c>
    </row>
    <row r="2156" spans="1:4" x14ac:dyDescent="0.45">
      <c r="A2156">
        <v>59184</v>
      </c>
      <c r="B2156" s="72">
        <v>38919</v>
      </c>
      <c r="C2156">
        <v>46.81</v>
      </c>
      <c r="D2156">
        <v>46.81</v>
      </c>
    </row>
    <row r="2157" spans="1:4" x14ac:dyDescent="0.45">
      <c r="A2157">
        <v>59184</v>
      </c>
      <c r="B2157" s="72">
        <v>38922</v>
      </c>
      <c r="C2157">
        <v>47.2</v>
      </c>
      <c r="D2157">
        <v>47.2</v>
      </c>
    </row>
    <row r="2158" spans="1:4" x14ac:dyDescent="0.45">
      <c r="A2158">
        <v>59184</v>
      </c>
      <c r="B2158" s="72">
        <v>38923</v>
      </c>
      <c r="C2158">
        <v>47.63</v>
      </c>
      <c r="D2158">
        <v>47.63</v>
      </c>
    </row>
    <row r="2159" spans="1:4" x14ac:dyDescent="0.45">
      <c r="A2159">
        <v>59184</v>
      </c>
      <c r="B2159" s="72">
        <v>38924</v>
      </c>
      <c r="C2159">
        <v>48.35</v>
      </c>
      <c r="D2159">
        <v>48.35</v>
      </c>
    </row>
    <row r="2160" spans="1:4" x14ac:dyDescent="0.45">
      <c r="A2160">
        <v>59184</v>
      </c>
      <c r="B2160" s="72">
        <v>38925</v>
      </c>
      <c r="C2160">
        <v>48.06</v>
      </c>
      <c r="D2160">
        <v>48.06</v>
      </c>
    </row>
    <row r="2161" spans="1:4" x14ac:dyDescent="0.45">
      <c r="A2161">
        <v>59184</v>
      </c>
      <c r="B2161" s="72">
        <v>38926</v>
      </c>
      <c r="C2161">
        <v>47.9</v>
      </c>
      <c r="D2161">
        <v>47.9</v>
      </c>
    </row>
    <row r="2162" spans="1:4" x14ac:dyDescent="0.45">
      <c r="A2162">
        <v>59184</v>
      </c>
      <c r="B2162" s="72">
        <v>38929</v>
      </c>
      <c r="C2162">
        <v>48.15</v>
      </c>
      <c r="D2162">
        <v>48.15</v>
      </c>
    </row>
    <row r="2163" spans="1:4" x14ac:dyDescent="0.45">
      <c r="A2163">
        <v>59184</v>
      </c>
      <c r="B2163" s="72">
        <v>38930</v>
      </c>
      <c r="C2163">
        <v>47.91</v>
      </c>
      <c r="D2163">
        <v>47.91</v>
      </c>
    </row>
    <row r="2164" spans="1:4" x14ac:dyDescent="0.45">
      <c r="A2164">
        <v>59184</v>
      </c>
      <c r="B2164" s="72">
        <v>38931</v>
      </c>
      <c r="C2164">
        <v>47.87</v>
      </c>
      <c r="D2164">
        <v>47.87</v>
      </c>
    </row>
    <row r="2165" spans="1:4" x14ac:dyDescent="0.45">
      <c r="A2165">
        <v>59184</v>
      </c>
      <c r="B2165" s="72">
        <v>38932</v>
      </c>
      <c r="C2165">
        <v>47.73</v>
      </c>
      <c r="D2165">
        <v>47.73</v>
      </c>
    </row>
    <row r="2166" spans="1:4" x14ac:dyDescent="0.45">
      <c r="A2166">
        <v>59184</v>
      </c>
      <c r="B2166" s="72">
        <v>38933</v>
      </c>
      <c r="C2166">
        <v>47.72</v>
      </c>
      <c r="D2166">
        <v>47.72</v>
      </c>
    </row>
    <row r="2167" spans="1:4" x14ac:dyDescent="0.45">
      <c r="A2167">
        <v>59184</v>
      </c>
      <c r="B2167" s="72">
        <v>38936</v>
      </c>
      <c r="C2167">
        <v>47.87</v>
      </c>
      <c r="D2167">
        <v>47.87</v>
      </c>
    </row>
    <row r="2168" spans="1:4" x14ac:dyDescent="0.45">
      <c r="A2168">
        <v>59184</v>
      </c>
      <c r="B2168" s="72">
        <v>38937</v>
      </c>
      <c r="C2168">
        <v>48.07</v>
      </c>
      <c r="D2168">
        <v>48.07</v>
      </c>
    </row>
    <row r="2169" spans="1:4" x14ac:dyDescent="0.45">
      <c r="A2169">
        <v>59184</v>
      </c>
      <c r="B2169" s="72">
        <v>38938</v>
      </c>
      <c r="C2169">
        <v>47.99</v>
      </c>
      <c r="D2169">
        <v>47.99</v>
      </c>
    </row>
    <row r="2170" spans="1:4" x14ac:dyDescent="0.45">
      <c r="A2170">
        <v>59184</v>
      </c>
      <c r="B2170" s="72">
        <v>38939</v>
      </c>
      <c r="C2170">
        <v>48.21</v>
      </c>
      <c r="D2170">
        <v>48.21</v>
      </c>
    </row>
    <row r="2171" spans="1:4" x14ac:dyDescent="0.45">
      <c r="A2171">
        <v>59184</v>
      </c>
      <c r="B2171" s="72">
        <v>38940</v>
      </c>
      <c r="C2171">
        <v>48.2</v>
      </c>
      <c r="D2171">
        <v>48.2</v>
      </c>
    </row>
    <row r="2172" spans="1:4" x14ac:dyDescent="0.45">
      <c r="A2172">
        <v>59184</v>
      </c>
      <c r="B2172" s="72">
        <v>38943</v>
      </c>
      <c r="C2172">
        <v>48.02</v>
      </c>
      <c r="D2172">
        <v>48.02</v>
      </c>
    </row>
    <row r="2173" spans="1:4" x14ac:dyDescent="0.45">
      <c r="A2173">
        <v>59184</v>
      </c>
      <c r="B2173" s="72">
        <v>38944</v>
      </c>
      <c r="C2173">
        <v>48.49</v>
      </c>
      <c r="D2173">
        <v>48.49</v>
      </c>
    </row>
    <row r="2174" spans="1:4" x14ac:dyDescent="0.45">
      <c r="A2174">
        <v>59184</v>
      </c>
      <c r="B2174" s="72">
        <v>38945</v>
      </c>
      <c r="C2174">
        <v>48.9</v>
      </c>
      <c r="D2174">
        <v>48.9</v>
      </c>
    </row>
    <row r="2175" spans="1:4" x14ac:dyDescent="0.45">
      <c r="A2175">
        <v>59184</v>
      </c>
      <c r="B2175" s="72">
        <v>38946</v>
      </c>
      <c r="C2175">
        <v>48.82</v>
      </c>
      <c r="D2175">
        <v>48.82</v>
      </c>
    </row>
    <row r="2176" spans="1:4" x14ac:dyDescent="0.45">
      <c r="A2176">
        <v>59184</v>
      </c>
      <c r="B2176" s="72">
        <v>38947</v>
      </c>
      <c r="C2176">
        <v>48.8</v>
      </c>
      <c r="D2176">
        <v>48.8</v>
      </c>
    </row>
    <row r="2177" spans="1:4" x14ac:dyDescent="0.45">
      <c r="A2177">
        <v>59184</v>
      </c>
      <c r="B2177" s="72">
        <v>38950</v>
      </c>
      <c r="C2177">
        <v>48.82</v>
      </c>
      <c r="D2177">
        <v>48.82</v>
      </c>
    </row>
    <row r="2178" spans="1:4" x14ac:dyDescent="0.45">
      <c r="A2178">
        <v>59184</v>
      </c>
      <c r="B2178" s="72">
        <v>38951</v>
      </c>
      <c r="C2178">
        <v>48.77</v>
      </c>
      <c r="D2178">
        <v>48.77</v>
      </c>
    </row>
    <row r="2179" spans="1:4" x14ac:dyDescent="0.45">
      <c r="A2179">
        <v>59184</v>
      </c>
      <c r="B2179" s="72">
        <v>38952</v>
      </c>
      <c r="C2179">
        <v>48.85</v>
      </c>
      <c r="D2179">
        <v>48.85</v>
      </c>
    </row>
    <row r="2180" spans="1:4" x14ac:dyDescent="0.45">
      <c r="A2180">
        <v>59184</v>
      </c>
      <c r="B2180" s="72">
        <v>38953</v>
      </c>
      <c r="C2180">
        <v>49.3</v>
      </c>
      <c r="D2180">
        <v>49.3</v>
      </c>
    </row>
    <row r="2181" spans="1:4" x14ac:dyDescent="0.45">
      <c r="A2181">
        <v>59184</v>
      </c>
      <c r="B2181" s="72">
        <v>38954</v>
      </c>
      <c r="C2181">
        <v>49.46</v>
      </c>
      <c r="D2181">
        <v>49.46</v>
      </c>
    </row>
    <row r="2182" spans="1:4" x14ac:dyDescent="0.45">
      <c r="A2182">
        <v>59184</v>
      </c>
      <c r="B2182" s="72">
        <v>38957</v>
      </c>
      <c r="C2182">
        <v>49.26</v>
      </c>
      <c r="D2182">
        <v>49.26</v>
      </c>
    </row>
    <row r="2183" spans="1:4" x14ac:dyDescent="0.45">
      <c r="A2183">
        <v>59184</v>
      </c>
      <c r="B2183" s="72">
        <v>38958</v>
      </c>
      <c r="C2183">
        <v>49.91</v>
      </c>
      <c r="D2183">
        <v>49.91</v>
      </c>
    </row>
    <row r="2184" spans="1:4" x14ac:dyDescent="0.45">
      <c r="A2184">
        <v>59184</v>
      </c>
      <c r="B2184" s="72">
        <v>38959</v>
      </c>
      <c r="C2184">
        <v>49.45</v>
      </c>
      <c r="D2184">
        <v>49.45</v>
      </c>
    </row>
    <row r="2185" spans="1:4" x14ac:dyDescent="0.45">
      <c r="A2185">
        <v>59184</v>
      </c>
      <c r="B2185" s="72">
        <v>38960</v>
      </c>
      <c r="C2185">
        <v>49.38</v>
      </c>
      <c r="D2185">
        <v>49.38</v>
      </c>
    </row>
    <row r="2186" spans="1:4" x14ac:dyDescent="0.45">
      <c r="A2186">
        <v>59184</v>
      </c>
      <c r="B2186" s="72">
        <v>38961</v>
      </c>
      <c r="C2186">
        <v>49.45</v>
      </c>
      <c r="D2186">
        <v>49.45</v>
      </c>
    </row>
    <row r="2187" spans="1:4" x14ac:dyDescent="0.45">
      <c r="A2187">
        <v>59184</v>
      </c>
      <c r="B2187" s="72">
        <v>38965</v>
      </c>
      <c r="C2187">
        <v>49.3</v>
      </c>
      <c r="D2187">
        <v>49.3</v>
      </c>
    </row>
    <row r="2188" spans="1:4" x14ac:dyDescent="0.45">
      <c r="A2188">
        <v>59184</v>
      </c>
      <c r="B2188" s="72">
        <v>38966</v>
      </c>
      <c r="C2188">
        <v>47.99</v>
      </c>
      <c r="D2188">
        <v>47.99</v>
      </c>
    </row>
    <row r="2189" spans="1:4" x14ac:dyDescent="0.45">
      <c r="A2189">
        <v>59184</v>
      </c>
      <c r="B2189" s="72">
        <v>38967</v>
      </c>
      <c r="C2189">
        <v>47.33</v>
      </c>
      <c r="D2189">
        <v>47.33</v>
      </c>
    </row>
    <row r="2190" spans="1:4" x14ac:dyDescent="0.45">
      <c r="A2190">
        <v>59184</v>
      </c>
      <c r="B2190" s="72">
        <v>38968</v>
      </c>
      <c r="C2190">
        <v>47.42</v>
      </c>
      <c r="D2190">
        <v>47.42</v>
      </c>
    </row>
    <row r="2191" spans="1:4" x14ac:dyDescent="0.45">
      <c r="A2191">
        <v>59184</v>
      </c>
      <c r="B2191" s="72">
        <v>38971</v>
      </c>
      <c r="C2191">
        <v>47.3</v>
      </c>
      <c r="D2191">
        <v>47.3</v>
      </c>
    </row>
    <row r="2192" spans="1:4" x14ac:dyDescent="0.45">
      <c r="A2192">
        <v>59184</v>
      </c>
      <c r="B2192" s="72">
        <v>38972</v>
      </c>
      <c r="C2192">
        <v>47.36</v>
      </c>
      <c r="D2192">
        <v>47.36</v>
      </c>
    </row>
    <row r="2193" spans="1:4" x14ac:dyDescent="0.45">
      <c r="A2193">
        <v>59184</v>
      </c>
      <c r="B2193" s="72">
        <v>38973</v>
      </c>
      <c r="C2193">
        <v>46.91</v>
      </c>
      <c r="D2193">
        <v>46.91</v>
      </c>
    </row>
    <row r="2194" spans="1:4" x14ac:dyDescent="0.45">
      <c r="A2194">
        <v>59184</v>
      </c>
      <c r="B2194" s="72">
        <v>38974</v>
      </c>
      <c r="C2194">
        <v>46.93</v>
      </c>
      <c r="D2194">
        <v>46.93</v>
      </c>
    </row>
    <row r="2195" spans="1:4" x14ac:dyDescent="0.45">
      <c r="A2195">
        <v>59184</v>
      </c>
      <c r="B2195" s="72">
        <v>38975</v>
      </c>
      <c r="C2195">
        <v>47.31</v>
      </c>
      <c r="D2195">
        <v>47.31</v>
      </c>
    </row>
    <row r="2196" spans="1:4" x14ac:dyDescent="0.45">
      <c r="A2196">
        <v>59184</v>
      </c>
      <c r="B2196" s="72">
        <v>38978</v>
      </c>
      <c r="C2196">
        <v>47.12</v>
      </c>
      <c r="D2196">
        <v>47.12</v>
      </c>
    </row>
    <row r="2197" spans="1:4" x14ac:dyDescent="0.45">
      <c r="A2197">
        <v>59184</v>
      </c>
      <c r="B2197" s="72">
        <v>38979</v>
      </c>
      <c r="C2197">
        <v>47.52</v>
      </c>
      <c r="D2197">
        <v>47.52</v>
      </c>
    </row>
    <row r="2198" spans="1:4" x14ac:dyDescent="0.45">
      <c r="A2198">
        <v>59184</v>
      </c>
      <c r="B2198" s="72">
        <v>38980</v>
      </c>
      <c r="C2198">
        <v>47.65</v>
      </c>
      <c r="D2198">
        <v>47.65</v>
      </c>
    </row>
    <row r="2199" spans="1:4" x14ac:dyDescent="0.45">
      <c r="A2199">
        <v>59184</v>
      </c>
      <c r="B2199" s="72">
        <v>38981</v>
      </c>
      <c r="C2199">
        <v>47.64</v>
      </c>
      <c r="D2199">
        <v>47.64</v>
      </c>
    </row>
    <row r="2200" spans="1:4" x14ac:dyDescent="0.45">
      <c r="A2200">
        <v>59184</v>
      </c>
      <c r="B2200" s="72">
        <v>38982</v>
      </c>
      <c r="C2200">
        <v>47.15</v>
      </c>
      <c r="D2200">
        <v>47.15</v>
      </c>
    </row>
    <row r="2201" spans="1:4" x14ac:dyDescent="0.45">
      <c r="A2201">
        <v>59184</v>
      </c>
      <c r="B2201" s="72">
        <v>38985</v>
      </c>
      <c r="C2201">
        <v>47.75</v>
      </c>
      <c r="D2201">
        <v>47.75</v>
      </c>
    </row>
    <row r="2202" spans="1:4" x14ac:dyDescent="0.45">
      <c r="A2202">
        <v>59184</v>
      </c>
      <c r="B2202" s="72">
        <v>38986</v>
      </c>
      <c r="C2202">
        <v>47.87</v>
      </c>
      <c r="D2202">
        <v>47.87</v>
      </c>
    </row>
    <row r="2203" spans="1:4" x14ac:dyDescent="0.45">
      <c r="A2203">
        <v>59184</v>
      </c>
      <c r="B2203" s="72">
        <v>38987</v>
      </c>
      <c r="C2203">
        <v>47.41</v>
      </c>
      <c r="D2203">
        <v>47.41</v>
      </c>
    </row>
    <row r="2204" spans="1:4" x14ac:dyDescent="0.45">
      <c r="A2204">
        <v>59184</v>
      </c>
      <c r="B2204" s="72">
        <v>38988</v>
      </c>
      <c r="C2204">
        <v>47.97</v>
      </c>
      <c r="D2204">
        <v>47.97</v>
      </c>
    </row>
    <row r="2205" spans="1:4" x14ac:dyDescent="0.45">
      <c r="A2205">
        <v>59184</v>
      </c>
      <c r="B2205" s="72">
        <v>38989</v>
      </c>
      <c r="C2205">
        <v>47.51</v>
      </c>
      <c r="D2205">
        <v>47.51</v>
      </c>
    </row>
    <row r="2206" spans="1:4" x14ac:dyDescent="0.45">
      <c r="A2206">
        <v>59184</v>
      </c>
      <c r="B2206" s="72">
        <v>38992</v>
      </c>
      <c r="C2206">
        <v>47.49</v>
      </c>
      <c r="D2206">
        <v>47.49</v>
      </c>
    </row>
    <row r="2207" spans="1:4" x14ac:dyDescent="0.45">
      <c r="A2207">
        <v>59184</v>
      </c>
      <c r="B2207" s="72">
        <v>38993</v>
      </c>
      <c r="C2207">
        <v>47.19</v>
      </c>
      <c r="D2207">
        <v>47.19</v>
      </c>
    </row>
    <row r="2208" spans="1:4" x14ac:dyDescent="0.45">
      <c r="A2208">
        <v>59184</v>
      </c>
      <c r="B2208" s="72">
        <v>38994</v>
      </c>
      <c r="C2208">
        <v>47.83</v>
      </c>
      <c r="D2208">
        <v>47.83</v>
      </c>
    </row>
    <row r="2209" spans="1:4" x14ac:dyDescent="0.45">
      <c r="A2209">
        <v>59184</v>
      </c>
      <c r="B2209" s="72">
        <v>38995</v>
      </c>
      <c r="C2209">
        <v>47.23</v>
      </c>
      <c r="D2209">
        <v>47.23</v>
      </c>
    </row>
    <row r="2210" spans="1:4" x14ac:dyDescent="0.45">
      <c r="A2210">
        <v>59184</v>
      </c>
      <c r="B2210" s="72">
        <v>38996</v>
      </c>
      <c r="C2210">
        <v>47.08</v>
      </c>
      <c r="D2210">
        <v>47.08</v>
      </c>
    </row>
    <row r="2211" spans="1:4" x14ac:dyDescent="0.45">
      <c r="A2211">
        <v>59184</v>
      </c>
      <c r="B2211" s="72">
        <v>38999</v>
      </c>
      <c r="C2211">
        <v>46.99</v>
      </c>
      <c r="D2211">
        <v>46.99</v>
      </c>
    </row>
    <row r="2212" spans="1:4" x14ac:dyDescent="0.45">
      <c r="A2212">
        <v>59184</v>
      </c>
      <c r="B2212" s="72">
        <v>39000</v>
      </c>
      <c r="C2212">
        <v>47.98</v>
      </c>
      <c r="D2212">
        <v>47.98</v>
      </c>
    </row>
    <row r="2213" spans="1:4" x14ac:dyDescent="0.45">
      <c r="A2213">
        <v>59184</v>
      </c>
      <c r="B2213" s="72">
        <v>39001</v>
      </c>
      <c r="C2213">
        <v>47.47</v>
      </c>
      <c r="D2213">
        <v>47.47</v>
      </c>
    </row>
    <row r="2214" spans="1:4" x14ac:dyDescent="0.45">
      <c r="A2214">
        <v>59184</v>
      </c>
      <c r="B2214" s="72">
        <v>39002</v>
      </c>
      <c r="C2214">
        <v>47.69</v>
      </c>
      <c r="D2214">
        <v>47.69</v>
      </c>
    </row>
    <row r="2215" spans="1:4" x14ac:dyDescent="0.45">
      <c r="A2215">
        <v>59184</v>
      </c>
      <c r="B2215" s="72">
        <v>39003</v>
      </c>
      <c r="C2215">
        <v>48.01</v>
      </c>
      <c r="D2215">
        <v>48.01</v>
      </c>
    </row>
    <row r="2216" spans="1:4" x14ac:dyDescent="0.45">
      <c r="A2216">
        <v>59184</v>
      </c>
      <c r="B2216" s="72">
        <v>39006</v>
      </c>
      <c r="C2216">
        <v>48.59</v>
      </c>
      <c r="D2216">
        <v>48.59</v>
      </c>
    </row>
    <row r="2217" spans="1:4" x14ac:dyDescent="0.45">
      <c r="A2217">
        <v>59184</v>
      </c>
      <c r="B2217" s="72">
        <v>39007</v>
      </c>
      <c r="C2217">
        <v>48.6</v>
      </c>
      <c r="D2217">
        <v>48.6</v>
      </c>
    </row>
    <row r="2218" spans="1:4" x14ac:dyDescent="0.45">
      <c r="A2218">
        <v>59184</v>
      </c>
      <c r="B2218" s="72">
        <v>39008</v>
      </c>
      <c r="C2218">
        <v>48.68</v>
      </c>
      <c r="D2218">
        <v>48.68</v>
      </c>
    </row>
    <row r="2219" spans="1:4" x14ac:dyDescent="0.45">
      <c r="A2219">
        <v>59184</v>
      </c>
      <c r="B2219" s="72">
        <v>39009</v>
      </c>
      <c r="C2219">
        <v>48</v>
      </c>
      <c r="D2219">
        <v>48</v>
      </c>
    </row>
    <row r="2220" spans="1:4" x14ac:dyDescent="0.45">
      <c r="A2220">
        <v>59184</v>
      </c>
      <c r="B2220" s="72">
        <v>39010</v>
      </c>
      <c r="C2220">
        <v>47.32</v>
      </c>
      <c r="D2220">
        <v>47.32</v>
      </c>
    </row>
    <row r="2221" spans="1:4" x14ac:dyDescent="0.45">
      <c r="A2221">
        <v>59184</v>
      </c>
      <c r="B2221" s="72">
        <v>39013</v>
      </c>
      <c r="C2221">
        <v>47.59</v>
      </c>
      <c r="D2221">
        <v>47.59</v>
      </c>
    </row>
    <row r="2222" spans="1:4" x14ac:dyDescent="0.45">
      <c r="A2222">
        <v>59184</v>
      </c>
      <c r="B2222" s="72">
        <v>39014</v>
      </c>
      <c r="C2222">
        <v>46.89</v>
      </c>
      <c r="D2222">
        <v>46.89</v>
      </c>
    </row>
    <row r="2223" spans="1:4" x14ac:dyDescent="0.45">
      <c r="A2223">
        <v>59184</v>
      </c>
      <c r="B2223" s="72">
        <v>39015</v>
      </c>
      <c r="C2223">
        <v>47.86</v>
      </c>
      <c r="D2223">
        <v>47.86</v>
      </c>
    </row>
    <row r="2224" spans="1:4" x14ac:dyDescent="0.45">
      <c r="A2224">
        <v>59184</v>
      </c>
      <c r="B2224" s="72">
        <v>39016</v>
      </c>
      <c r="C2224">
        <v>48.22</v>
      </c>
      <c r="D2224">
        <v>48.22</v>
      </c>
    </row>
    <row r="2225" spans="1:4" x14ac:dyDescent="0.45">
      <c r="A2225">
        <v>59184</v>
      </c>
      <c r="B2225" s="72">
        <v>39017</v>
      </c>
      <c r="C2225">
        <v>47.7</v>
      </c>
      <c r="D2225">
        <v>47.7</v>
      </c>
    </row>
    <row r="2226" spans="1:4" x14ac:dyDescent="0.45">
      <c r="A2226">
        <v>59184</v>
      </c>
      <c r="B2226" s="72">
        <v>39020</v>
      </c>
      <c r="C2226">
        <v>47.36</v>
      </c>
      <c r="D2226">
        <v>47.36</v>
      </c>
    </row>
    <row r="2227" spans="1:4" x14ac:dyDescent="0.45">
      <c r="A2227">
        <v>59184</v>
      </c>
      <c r="B2227" s="72">
        <v>39021</v>
      </c>
      <c r="C2227">
        <v>47.42</v>
      </c>
      <c r="D2227">
        <v>47.42</v>
      </c>
    </row>
    <row r="2228" spans="1:4" x14ac:dyDescent="0.45">
      <c r="A2228">
        <v>59184</v>
      </c>
      <c r="B2228" s="72">
        <v>39022</v>
      </c>
      <c r="C2228">
        <v>47.69</v>
      </c>
      <c r="D2228">
        <v>47.69</v>
      </c>
    </row>
    <row r="2229" spans="1:4" x14ac:dyDescent="0.45">
      <c r="A2229">
        <v>59184</v>
      </c>
      <c r="B2229" s="72">
        <v>39023</v>
      </c>
      <c r="C2229">
        <v>47.22</v>
      </c>
      <c r="D2229">
        <v>47.22</v>
      </c>
    </row>
    <row r="2230" spans="1:4" x14ac:dyDescent="0.45">
      <c r="A2230">
        <v>59184</v>
      </c>
      <c r="B2230" s="72">
        <v>39024</v>
      </c>
      <c r="C2230">
        <v>46.95</v>
      </c>
      <c r="D2230">
        <v>46.95</v>
      </c>
    </row>
    <row r="2231" spans="1:4" x14ac:dyDescent="0.45">
      <c r="A2231">
        <v>59184</v>
      </c>
      <c r="B2231" s="72">
        <v>39027</v>
      </c>
      <c r="C2231">
        <v>47.41</v>
      </c>
      <c r="D2231">
        <v>47.41</v>
      </c>
    </row>
    <row r="2232" spans="1:4" x14ac:dyDescent="0.45">
      <c r="A2232">
        <v>59184</v>
      </c>
      <c r="B2232" s="72">
        <v>39028</v>
      </c>
      <c r="C2232">
        <v>47.2</v>
      </c>
      <c r="D2232">
        <v>47.2</v>
      </c>
    </row>
    <row r="2233" spans="1:4" x14ac:dyDescent="0.45">
      <c r="A2233">
        <v>59184</v>
      </c>
      <c r="B2233" s="72">
        <v>39029</v>
      </c>
      <c r="C2233">
        <v>47.23</v>
      </c>
      <c r="D2233">
        <v>47.23</v>
      </c>
    </row>
    <row r="2234" spans="1:4" x14ac:dyDescent="0.45">
      <c r="A2234">
        <v>59184</v>
      </c>
      <c r="B2234" s="72">
        <v>39030</v>
      </c>
      <c r="C2234">
        <v>47.23</v>
      </c>
      <c r="D2234">
        <v>47.23</v>
      </c>
    </row>
    <row r="2235" spans="1:4" x14ac:dyDescent="0.45">
      <c r="A2235">
        <v>59184</v>
      </c>
      <c r="B2235" s="72">
        <v>39031</v>
      </c>
      <c r="C2235">
        <v>47.29</v>
      </c>
      <c r="D2235">
        <v>47.29</v>
      </c>
    </row>
    <row r="2236" spans="1:4" x14ac:dyDescent="0.45">
      <c r="A2236">
        <v>59184</v>
      </c>
      <c r="B2236" s="72">
        <v>39034</v>
      </c>
      <c r="C2236">
        <v>46.97</v>
      </c>
      <c r="D2236">
        <v>46.97</v>
      </c>
    </row>
    <row r="2237" spans="1:4" x14ac:dyDescent="0.45">
      <c r="A2237">
        <v>59184</v>
      </c>
      <c r="B2237" s="72">
        <v>39035</v>
      </c>
      <c r="C2237">
        <v>47.07</v>
      </c>
      <c r="D2237">
        <v>47.07</v>
      </c>
    </row>
    <row r="2238" spans="1:4" x14ac:dyDescent="0.45">
      <c r="A2238">
        <v>59184</v>
      </c>
      <c r="B2238" s="72">
        <v>39036</v>
      </c>
      <c r="C2238">
        <v>46.92</v>
      </c>
      <c r="D2238">
        <v>46.92</v>
      </c>
    </row>
    <row r="2239" spans="1:4" x14ac:dyDescent="0.45">
      <c r="A2239">
        <v>59184</v>
      </c>
      <c r="B2239" s="72">
        <v>39037</v>
      </c>
      <c r="C2239">
        <v>47.07</v>
      </c>
      <c r="D2239">
        <v>47.07</v>
      </c>
    </row>
    <row r="2240" spans="1:4" x14ac:dyDescent="0.45">
      <c r="A2240">
        <v>59184</v>
      </c>
      <c r="B2240" s="72">
        <v>39038</v>
      </c>
      <c r="C2240">
        <v>46.89</v>
      </c>
      <c r="D2240">
        <v>46.89</v>
      </c>
    </row>
    <row r="2241" spans="1:4" x14ac:dyDescent="0.45">
      <c r="A2241">
        <v>59184</v>
      </c>
      <c r="B2241" s="72">
        <v>39041</v>
      </c>
      <c r="C2241">
        <v>46.54</v>
      </c>
      <c r="D2241">
        <v>46.54</v>
      </c>
    </row>
    <row r="2242" spans="1:4" x14ac:dyDescent="0.45">
      <c r="A2242">
        <v>59184</v>
      </c>
      <c r="B2242" s="72">
        <v>39042</v>
      </c>
      <c r="C2242">
        <v>46.37</v>
      </c>
      <c r="D2242">
        <v>46.37</v>
      </c>
    </row>
    <row r="2243" spans="1:4" x14ac:dyDescent="0.45">
      <c r="A2243">
        <v>59184</v>
      </c>
      <c r="B2243" s="72">
        <v>39043</v>
      </c>
      <c r="C2243">
        <v>46.52</v>
      </c>
      <c r="D2243">
        <v>46.52</v>
      </c>
    </row>
    <row r="2244" spans="1:4" x14ac:dyDescent="0.45">
      <c r="A2244">
        <v>59184</v>
      </c>
      <c r="B2244" s="72">
        <v>39045</v>
      </c>
      <c r="C2244">
        <v>46.28</v>
      </c>
      <c r="D2244">
        <v>46.28</v>
      </c>
    </row>
    <row r="2245" spans="1:4" x14ac:dyDescent="0.45">
      <c r="A2245">
        <v>59184</v>
      </c>
      <c r="B2245" s="72">
        <v>39048</v>
      </c>
      <c r="C2245">
        <v>46.14</v>
      </c>
      <c r="D2245">
        <v>46.14</v>
      </c>
    </row>
    <row r="2246" spans="1:4" x14ac:dyDescent="0.45">
      <c r="A2246">
        <v>59184</v>
      </c>
      <c r="B2246" s="72">
        <v>39049</v>
      </c>
      <c r="C2246">
        <v>46.89</v>
      </c>
      <c r="D2246">
        <v>46.89</v>
      </c>
    </row>
    <row r="2247" spans="1:4" x14ac:dyDescent="0.45">
      <c r="A2247">
        <v>59184</v>
      </c>
      <c r="B2247" s="72">
        <v>39050</v>
      </c>
      <c r="C2247">
        <v>46.62</v>
      </c>
      <c r="D2247">
        <v>46.62</v>
      </c>
    </row>
    <row r="2248" spans="1:4" x14ac:dyDescent="0.45">
      <c r="A2248">
        <v>59184</v>
      </c>
      <c r="B2248" s="72">
        <v>39051</v>
      </c>
      <c r="C2248">
        <v>47.51</v>
      </c>
      <c r="D2248">
        <v>47.51</v>
      </c>
    </row>
    <row r="2249" spans="1:4" x14ac:dyDescent="0.45">
      <c r="A2249">
        <v>59184</v>
      </c>
      <c r="B2249" s="72">
        <v>39052</v>
      </c>
      <c r="C2249">
        <v>47.63</v>
      </c>
      <c r="D2249">
        <v>47.63</v>
      </c>
    </row>
    <row r="2250" spans="1:4" x14ac:dyDescent="0.45">
      <c r="A2250">
        <v>59184</v>
      </c>
      <c r="B2250" s="72">
        <v>39055</v>
      </c>
      <c r="C2250">
        <v>48.11</v>
      </c>
      <c r="D2250">
        <v>48.11</v>
      </c>
    </row>
    <row r="2251" spans="1:4" x14ac:dyDescent="0.45">
      <c r="A2251">
        <v>59184</v>
      </c>
      <c r="B2251" s="72">
        <v>39056</v>
      </c>
      <c r="C2251">
        <v>48.29</v>
      </c>
      <c r="D2251">
        <v>48.29</v>
      </c>
    </row>
    <row r="2252" spans="1:4" x14ac:dyDescent="0.45">
      <c r="A2252">
        <v>59184</v>
      </c>
      <c r="B2252" s="72">
        <v>39057</v>
      </c>
      <c r="C2252">
        <v>48.19</v>
      </c>
      <c r="D2252">
        <v>48.19</v>
      </c>
    </row>
    <row r="2253" spans="1:4" x14ac:dyDescent="0.45">
      <c r="A2253">
        <v>59184</v>
      </c>
      <c r="B2253" s="72">
        <v>39058</v>
      </c>
      <c r="C2253">
        <v>48.03</v>
      </c>
      <c r="D2253">
        <v>48.03</v>
      </c>
    </row>
    <row r="2254" spans="1:4" x14ac:dyDescent="0.45">
      <c r="A2254">
        <v>59184</v>
      </c>
      <c r="B2254" s="72">
        <v>39059</v>
      </c>
      <c r="C2254">
        <v>47.8</v>
      </c>
      <c r="D2254">
        <v>47.8</v>
      </c>
    </row>
    <row r="2255" spans="1:4" x14ac:dyDescent="0.45">
      <c r="A2255">
        <v>59184</v>
      </c>
      <c r="B2255" s="72">
        <v>39062</v>
      </c>
      <c r="C2255">
        <v>48.31</v>
      </c>
      <c r="D2255">
        <v>48.31</v>
      </c>
    </row>
    <row r="2256" spans="1:4" x14ac:dyDescent="0.45">
      <c r="A2256">
        <v>59184</v>
      </c>
      <c r="B2256" s="72">
        <v>39063</v>
      </c>
      <c r="C2256">
        <v>48.5</v>
      </c>
      <c r="D2256">
        <v>48.5</v>
      </c>
    </row>
    <row r="2257" spans="1:4" x14ac:dyDescent="0.45">
      <c r="A2257">
        <v>59184</v>
      </c>
      <c r="B2257" s="72">
        <v>39064</v>
      </c>
      <c r="C2257">
        <v>48.16</v>
      </c>
      <c r="D2257">
        <v>48.16</v>
      </c>
    </row>
    <row r="2258" spans="1:4" x14ac:dyDescent="0.45">
      <c r="A2258">
        <v>59184</v>
      </c>
      <c r="B2258" s="72">
        <v>39065</v>
      </c>
      <c r="C2258">
        <v>48.42</v>
      </c>
      <c r="D2258">
        <v>48.42</v>
      </c>
    </row>
    <row r="2259" spans="1:4" x14ac:dyDescent="0.45">
      <c r="A2259">
        <v>59184</v>
      </c>
      <c r="B2259" s="72">
        <v>39066</v>
      </c>
      <c r="C2259">
        <v>48.44</v>
      </c>
      <c r="D2259">
        <v>48.44</v>
      </c>
    </row>
    <row r="2260" spans="1:4" x14ac:dyDescent="0.45">
      <c r="A2260">
        <v>59184</v>
      </c>
      <c r="B2260" s="72">
        <v>39069</v>
      </c>
      <c r="C2260">
        <v>48.06</v>
      </c>
      <c r="D2260">
        <v>48.06</v>
      </c>
    </row>
    <row r="2261" spans="1:4" x14ac:dyDescent="0.45">
      <c r="A2261">
        <v>59184</v>
      </c>
      <c r="B2261" s="72">
        <v>39070</v>
      </c>
      <c r="C2261">
        <v>47.9</v>
      </c>
      <c r="D2261">
        <v>47.9</v>
      </c>
    </row>
    <row r="2262" spans="1:4" x14ac:dyDescent="0.45">
      <c r="A2262">
        <v>59184</v>
      </c>
      <c r="B2262" s="72">
        <v>39071</v>
      </c>
      <c r="C2262">
        <v>48.04</v>
      </c>
      <c r="D2262">
        <v>48.04</v>
      </c>
    </row>
    <row r="2263" spans="1:4" x14ac:dyDescent="0.45">
      <c r="A2263">
        <v>59184</v>
      </c>
      <c r="B2263" s="72">
        <v>39072</v>
      </c>
      <c r="C2263">
        <v>48.95</v>
      </c>
      <c r="D2263">
        <v>48.95</v>
      </c>
    </row>
    <row r="2264" spans="1:4" x14ac:dyDescent="0.45">
      <c r="A2264">
        <v>59184</v>
      </c>
      <c r="B2264" s="72">
        <v>39073</v>
      </c>
      <c r="C2264">
        <v>48.9</v>
      </c>
      <c r="D2264">
        <v>48.9</v>
      </c>
    </row>
    <row r="2265" spans="1:4" x14ac:dyDescent="0.45">
      <c r="A2265">
        <v>59184</v>
      </c>
      <c r="B2265" s="72">
        <v>39077</v>
      </c>
      <c r="C2265">
        <v>49.08</v>
      </c>
      <c r="D2265">
        <v>49.08</v>
      </c>
    </row>
    <row r="2266" spans="1:4" x14ac:dyDescent="0.45">
      <c r="A2266">
        <v>59184</v>
      </c>
      <c r="B2266" s="72">
        <v>39078</v>
      </c>
      <c r="C2266">
        <v>49.21</v>
      </c>
      <c r="D2266">
        <v>49.21</v>
      </c>
    </row>
    <row r="2267" spans="1:4" x14ac:dyDescent="0.45">
      <c r="A2267">
        <v>59184</v>
      </c>
      <c r="B2267" s="72">
        <v>39079</v>
      </c>
      <c r="C2267">
        <v>49.38</v>
      </c>
      <c r="D2267">
        <v>49.38</v>
      </c>
    </row>
    <row r="2268" spans="1:4" x14ac:dyDescent="0.45">
      <c r="A2268">
        <v>59184</v>
      </c>
      <c r="B2268" s="72">
        <v>39080</v>
      </c>
      <c r="C2268">
        <v>49.2</v>
      </c>
      <c r="D2268">
        <v>49.2</v>
      </c>
    </row>
    <row r="2269" spans="1:4" x14ac:dyDescent="0.45">
      <c r="A2269">
        <v>59184</v>
      </c>
      <c r="B2269" s="72">
        <v>39085</v>
      </c>
      <c r="C2269">
        <v>49.22</v>
      </c>
      <c r="D2269">
        <v>49.22</v>
      </c>
    </row>
    <row r="2270" spans="1:4" x14ac:dyDescent="0.45">
      <c r="A2270">
        <v>59184</v>
      </c>
      <c r="B2270" s="72">
        <v>39086</v>
      </c>
      <c r="C2270">
        <v>48.75</v>
      </c>
      <c r="D2270">
        <v>48.75</v>
      </c>
    </row>
    <row r="2271" spans="1:4" x14ac:dyDescent="0.45">
      <c r="A2271">
        <v>59184</v>
      </c>
      <c r="B2271" s="72">
        <v>39087</v>
      </c>
      <c r="C2271">
        <v>48.8</v>
      </c>
      <c r="D2271">
        <v>48.8</v>
      </c>
    </row>
    <row r="2272" spans="1:4" x14ac:dyDescent="0.45">
      <c r="A2272">
        <v>59184</v>
      </c>
      <c r="B2272" s="72">
        <v>39090</v>
      </c>
      <c r="C2272">
        <v>48.78</v>
      </c>
      <c r="D2272">
        <v>48.78</v>
      </c>
    </row>
    <row r="2273" spans="1:4" x14ac:dyDescent="0.45">
      <c r="A2273">
        <v>59184</v>
      </c>
      <c r="B2273" s="72">
        <v>39091</v>
      </c>
      <c r="C2273">
        <v>48.76</v>
      </c>
      <c r="D2273">
        <v>48.76</v>
      </c>
    </row>
    <row r="2274" spans="1:4" x14ac:dyDescent="0.45">
      <c r="A2274">
        <v>59184</v>
      </c>
      <c r="B2274" s="72">
        <v>39092</v>
      </c>
      <c r="C2274">
        <v>49.19</v>
      </c>
      <c r="D2274">
        <v>49.19</v>
      </c>
    </row>
    <row r="2275" spans="1:4" x14ac:dyDescent="0.45">
      <c r="A2275">
        <v>59184</v>
      </c>
      <c r="B2275" s="72">
        <v>39093</v>
      </c>
      <c r="C2275">
        <v>49.68</v>
      </c>
      <c r="D2275">
        <v>49.68</v>
      </c>
    </row>
    <row r="2276" spans="1:4" x14ac:dyDescent="0.45">
      <c r="A2276">
        <v>59184</v>
      </c>
      <c r="B2276" s="72">
        <v>39094</v>
      </c>
      <c r="C2276">
        <v>50.34</v>
      </c>
      <c r="D2276">
        <v>50.34</v>
      </c>
    </row>
    <row r="2277" spans="1:4" x14ac:dyDescent="0.45">
      <c r="A2277">
        <v>59184</v>
      </c>
      <c r="B2277" s="72">
        <v>39098</v>
      </c>
      <c r="C2277">
        <v>50.62</v>
      </c>
      <c r="D2277">
        <v>50.62</v>
      </c>
    </row>
    <row r="2278" spans="1:4" x14ac:dyDescent="0.45">
      <c r="A2278">
        <v>59184</v>
      </c>
      <c r="B2278" s="72">
        <v>39099</v>
      </c>
      <c r="C2278">
        <v>50.65</v>
      </c>
      <c r="D2278">
        <v>50.65</v>
      </c>
    </row>
    <row r="2279" spans="1:4" x14ac:dyDescent="0.45">
      <c r="A2279">
        <v>59184</v>
      </c>
      <c r="B2279" s="72">
        <v>39100</v>
      </c>
      <c r="C2279">
        <v>50.76</v>
      </c>
      <c r="D2279">
        <v>50.76</v>
      </c>
    </row>
    <row r="2280" spans="1:4" x14ac:dyDescent="0.45">
      <c r="A2280">
        <v>59184</v>
      </c>
      <c r="B2280" s="72">
        <v>39101</v>
      </c>
      <c r="C2280">
        <v>50.82</v>
      </c>
      <c r="D2280">
        <v>50.82</v>
      </c>
    </row>
    <row r="2281" spans="1:4" x14ac:dyDescent="0.45">
      <c r="A2281">
        <v>59184</v>
      </c>
      <c r="B2281" s="72">
        <v>39104</v>
      </c>
      <c r="C2281">
        <v>50.87</v>
      </c>
      <c r="D2281">
        <v>50.87</v>
      </c>
    </row>
    <row r="2282" spans="1:4" x14ac:dyDescent="0.45">
      <c r="A2282">
        <v>59184</v>
      </c>
      <c r="B2282" s="72">
        <v>39105</v>
      </c>
      <c r="C2282">
        <v>51.05</v>
      </c>
      <c r="D2282">
        <v>51.05</v>
      </c>
    </row>
    <row r="2283" spans="1:4" x14ac:dyDescent="0.45">
      <c r="A2283">
        <v>59184</v>
      </c>
      <c r="B2283" s="72">
        <v>39106</v>
      </c>
      <c r="C2283">
        <v>51.33</v>
      </c>
      <c r="D2283">
        <v>51.33</v>
      </c>
    </row>
    <row r="2284" spans="1:4" x14ac:dyDescent="0.45">
      <c r="A2284">
        <v>59184</v>
      </c>
      <c r="B2284" s="72">
        <v>39107</v>
      </c>
      <c r="C2284">
        <v>51.07</v>
      </c>
      <c r="D2284">
        <v>51.07</v>
      </c>
    </row>
    <row r="2285" spans="1:4" x14ac:dyDescent="0.45">
      <c r="A2285">
        <v>59184</v>
      </c>
      <c r="B2285" s="72">
        <v>39108</v>
      </c>
      <c r="C2285">
        <v>50.93</v>
      </c>
      <c r="D2285">
        <v>50.93</v>
      </c>
    </row>
    <row r="2286" spans="1:4" x14ac:dyDescent="0.45">
      <c r="A2286">
        <v>59184</v>
      </c>
      <c r="B2286" s="72">
        <v>39111</v>
      </c>
      <c r="C2286">
        <v>50.76</v>
      </c>
      <c r="D2286">
        <v>50.76</v>
      </c>
    </row>
    <row r="2287" spans="1:4" x14ac:dyDescent="0.45">
      <c r="A2287">
        <v>59184</v>
      </c>
      <c r="B2287" s="72">
        <v>39112</v>
      </c>
      <c r="C2287">
        <v>51</v>
      </c>
      <c r="D2287">
        <v>51</v>
      </c>
    </row>
    <row r="2288" spans="1:4" x14ac:dyDescent="0.45">
      <c r="A2288">
        <v>59184</v>
      </c>
      <c r="B2288" s="72">
        <v>39113</v>
      </c>
      <c r="C2288">
        <v>50.97</v>
      </c>
      <c r="D2288">
        <v>50.97</v>
      </c>
    </row>
    <row r="2289" spans="1:4" x14ac:dyDescent="0.45">
      <c r="A2289">
        <v>59184</v>
      </c>
      <c r="B2289" s="72">
        <v>39114</v>
      </c>
      <c r="C2289">
        <v>51.4</v>
      </c>
      <c r="D2289">
        <v>51.4</v>
      </c>
    </row>
    <row r="2290" spans="1:4" x14ac:dyDescent="0.45">
      <c r="A2290">
        <v>59184</v>
      </c>
      <c r="B2290" s="72">
        <v>39115</v>
      </c>
      <c r="C2290">
        <v>51.37</v>
      </c>
      <c r="D2290">
        <v>51.37</v>
      </c>
    </row>
    <row r="2291" spans="1:4" x14ac:dyDescent="0.45">
      <c r="A2291">
        <v>59184</v>
      </c>
      <c r="B2291" s="72">
        <v>39118</v>
      </c>
      <c r="C2291">
        <v>51.13</v>
      </c>
      <c r="D2291">
        <v>51.13</v>
      </c>
    </row>
    <row r="2292" spans="1:4" x14ac:dyDescent="0.45">
      <c r="A2292">
        <v>59184</v>
      </c>
      <c r="B2292" s="72">
        <v>39119</v>
      </c>
      <c r="C2292">
        <v>50.66</v>
      </c>
      <c r="D2292">
        <v>50.66</v>
      </c>
    </row>
    <row r="2293" spans="1:4" x14ac:dyDescent="0.45">
      <c r="A2293">
        <v>59184</v>
      </c>
      <c r="B2293" s="72">
        <v>39120</v>
      </c>
      <c r="C2293">
        <v>50.25</v>
      </c>
      <c r="D2293">
        <v>50.25</v>
      </c>
    </row>
    <row r="2294" spans="1:4" x14ac:dyDescent="0.45">
      <c r="A2294">
        <v>59184</v>
      </c>
      <c r="B2294" s="72">
        <v>39121</v>
      </c>
      <c r="C2294">
        <v>50.19</v>
      </c>
      <c r="D2294">
        <v>50.19</v>
      </c>
    </row>
    <row r="2295" spans="1:4" x14ac:dyDescent="0.45">
      <c r="A2295">
        <v>59184</v>
      </c>
      <c r="B2295" s="72">
        <v>39122</v>
      </c>
      <c r="C2295">
        <v>50.05</v>
      </c>
      <c r="D2295">
        <v>50.05</v>
      </c>
    </row>
    <row r="2296" spans="1:4" x14ac:dyDescent="0.45">
      <c r="A2296">
        <v>59184</v>
      </c>
      <c r="B2296" s="72">
        <v>39125</v>
      </c>
      <c r="C2296">
        <v>49.89</v>
      </c>
      <c r="D2296">
        <v>49.89</v>
      </c>
    </row>
    <row r="2297" spans="1:4" x14ac:dyDescent="0.45">
      <c r="A2297">
        <v>59184</v>
      </c>
      <c r="B2297" s="72">
        <v>39126</v>
      </c>
      <c r="C2297">
        <v>50.06</v>
      </c>
      <c r="D2297">
        <v>50.06</v>
      </c>
    </row>
    <row r="2298" spans="1:4" x14ac:dyDescent="0.45">
      <c r="A2298">
        <v>59184</v>
      </c>
      <c r="B2298" s="72">
        <v>39127</v>
      </c>
      <c r="C2298">
        <v>50.23</v>
      </c>
      <c r="D2298">
        <v>50.23</v>
      </c>
    </row>
    <row r="2299" spans="1:4" x14ac:dyDescent="0.45">
      <c r="A2299">
        <v>59184</v>
      </c>
      <c r="B2299" s="72">
        <v>39128</v>
      </c>
      <c r="C2299">
        <v>51.75</v>
      </c>
      <c r="D2299">
        <v>51.75</v>
      </c>
    </row>
    <row r="2300" spans="1:4" x14ac:dyDescent="0.45">
      <c r="A2300">
        <v>59184</v>
      </c>
      <c r="B2300" s="72">
        <v>39129</v>
      </c>
      <c r="C2300">
        <v>51.16</v>
      </c>
      <c r="D2300">
        <v>51.16</v>
      </c>
    </row>
    <row r="2301" spans="1:4" x14ac:dyDescent="0.45">
      <c r="A2301">
        <v>59184</v>
      </c>
      <c r="B2301" s="72">
        <v>39133</v>
      </c>
      <c r="C2301">
        <v>50.83</v>
      </c>
      <c r="D2301">
        <v>50.83</v>
      </c>
    </row>
    <row r="2302" spans="1:4" x14ac:dyDescent="0.45">
      <c r="A2302">
        <v>59184</v>
      </c>
      <c r="B2302" s="72">
        <v>39134</v>
      </c>
      <c r="C2302">
        <v>50.67</v>
      </c>
      <c r="D2302">
        <v>50.67</v>
      </c>
    </row>
    <row r="2303" spans="1:4" x14ac:dyDescent="0.45">
      <c r="A2303">
        <v>59184</v>
      </c>
      <c r="B2303" s="72">
        <v>39135</v>
      </c>
      <c r="C2303">
        <v>50.39</v>
      </c>
      <c r="D2303">
        <v>50.39</v>
      </c>
    </row>
    <row r="2304" spans="1:4" x14ac:dyDescent="0.45">
      <c r="A2304">
        <v>59184</v>
      </c>
      <c r="B2304" s="72">
        <v>39136</v>
      </c>
      <c r="C2304">
        <v>50.05</v>
      </c>
      <c r="D2304">
        <v>50.05</v>
      </c>
    </row>
    <row r="2305" spans="1:4" x14ac:dyDescent="0.45">
      <c r="A2305">
        <v>59184</v>
      </c>
      <c r="B2305" s="72">
        <v>39139</v>
      </c>
      <c r="C2305">
        <v>49.81</v>
      </c>
      <c r="D2305">
        <v>49.81</v>
      </c>
    </row>
    <row r="2306" spans="1:4" x14ac:dyDescent="0.45">
      <c r="A2306">
        <v>59184</v>
      </c>
      <c r="B2306" s="72">
        <v>39140</v>
      </c>
      <c r="C2306">
        <v>49</v>
      </c>
      <c r="D2306">
        <v>49</v>
      </c>
    </row>
    <row r="2307" spans="1:4" x14ac:dyDescent="0.45">
      <c r="A2307">
        <v>59184</v>
      </c>
      <c r="B2307" s="72">
        <v>39141</v>
      </c>
      <c r="C2307">
        <v>49.04</v>
      </c>
      <c r="D2307">
        <v>49.04</v>
      </c>
    </row>
    <row r="2308" spans="1:4" x14ac:dyDescent="0.45">
      <c r="A2308">
        <v>59184</v>
      </c>
      <c r="B2308" s="72">
        <v>39142</v>
      </c>
      <c r="C2308">
        <v>49.02</v>
      </c>
      <c r="D2308">
        <v>49.02</v>
      </c>
    </row>
    <row r="2309" spans="1:4" x14ac:dyDescent="0.45">
      <c r="A2309">
        <v>59184</v>
      </c>
      <c r="B2309" s="72">
        <v>39143</v>
      </c>
      <c r="C2309">
        <v>48.14</v>
      </c>
      <c r="D2309">
        <v>48.14</v>
      </c>
    </row>
    <row r="2310" spans="1:4" x14ac:dyDescent="0.45">
      <c r="A2310">
        <v>59184</v>
      </c>
      <c r="B2310" s="72">
        <v>39146</v>
      </c>
      <c r="C2310">
        <v>47.97</v>
      </c>
      <c r="D2310">
        <v>47.97</v>
      </c>
    </row>
    <row r="2311" spans="1:4" x14ac:dyDescent="0.45">
      <c r="A2311">
        <v>59184</v>
      </c>
      <c r="B2311" s="72">
        <v>39147</v>
      </c>
      <c r="C2311">
        <v>49.46</v>
      </c>
      <c r="D2311">
        <v>49.46</v>
      </c>
    </row>
    <row r="2312" spans="1:4" x14ac:dyDescent="0.45">
      <c r="A2312">
        <v>59184</v>
      </c>
      <c r="B2312" s="72">
        <v>39148</v>
      </c>
      <c r="C2312">
        <v>49.02</v>
      </c>
      <c r="D2312">
        <v>49.02</v>
      </c>
    </row>
    <row r="2313" spans="1:4" x14ac:dyDescent="0.45">
      <c r="A2313">
        <v>59184</v>
      </c>
      <c r="B2313" s="72">
        <v>39149</v>
      </c>
      <c r="C2313">
        <v>49.82</v>
      </c>
      <c r="D2313">
        <v>49.82</v>
      </c>
    </row>
    <row r="2314" spans="1:4" x14ac:dyDescent="0.45">
      <c r="A2314">
        <v>59184</v>
      </c>
      <c r="B2314" s="72">
        <v>39150</v>
      </c>
      <c r="C2314">
        <v>50.2</v>
      </c>
      <c r="D2314">
        <v>50.2</v>
      </c>
    </row>
    <row r="2315" spans="1:4" x14ac:dyDescent="0.45">
      <c r="A2315">
        <v>59184</v>
      </c>
      <c r="B2315" s="72">
        <v>39153</v>
      </c>
      <c r="C2315">
        <v>50.59</v>
      </c>
      <c r="D2315">
        <v>50.59</v>
      </c>
    </row>
    <row r="2316" spans="1:4" x14ac:dyDescent="0.45">
      <c r="A2316">
        <v>59184</v>
      </c>
      <c r="B2316" s="72">
        <v>39154</v>
      </c>
      <c r="C2316">
        <v>50.05</v>
      </c>
      <c r="D2316">
        <v>50.05</v>
      </c>
    </row>
    <row r="2317" spans="1:4" x14ac:dyDescent="0.45">
      <c r="A2317">
        <v>59184</v>
      </c>
      <c r="B2317" s="72">
        <v>39155</v>
      </c>
      <c r="C2317">
        <v>50.5</v>
      </c>
      <c r="D2317">
        <v>50.5</v>
      </c>
    </row>
    <row r="2318" spans="1:4" x14ac:dyDescent="0.45">
      <c r="A2318">
        <v>59184</v>
      </c>
      <c r="B2318" s="72">
        <v>39156</v>
      </c>
      <c r="C2318">
        <v>49.9</v>
      </c>
      <c r="D2318">
        <v>49.9</v>
      </c>
    </row>
    <row r="2319" spans="1:4" x14ac:dyDescent="0.45">
      <c r="A2319">
        <v>59184</v>
      </c>
      <c r="B2319" s="72">
        <v>39157</v>
      </c>
      <c r="C2319">
        <v>49.64</v>
      </c>
      <c r="D2319">
        <v>49.64</v>
      </c>
    </row>
    <row r="2320" spans="1:4" x14ac:dyDescent="0.45">
      <c r="A2320">
        <v>59184</v>
      </c>
      <c r="B2320" s="72">
        <v>39160</v>
      </c>
      <c r="C2320">
        <v>50.03</v>
      </c>
      <c r="D2320">
        <v>50.03</v>
      </c>
    </row>
    <row r="2321" spans="1:4" x14ac:dyDescent="0.45">
      <c r="A2321">
        <v>59184</v>
      </c>
      <c r="B2321" s="72">
        <v>39161</v>
      </c>
      <c r="C2321">
        <v>50.16</v>
      </c>
      <c r="D2321">
        <v>50.16</v>
      </c>
    </row>
    <row r="2322" spans="1:4" x14ac:dyDescent="0.45">
      <c r="A2322">
        <v>59184</v>
      </c>
      <c r="B2322" s="72">
        <v>39162</v>
      </c>
      <c r="C2322">
        <v>50.76</v>
      </c>
      <c r="D2322">
        <v>50.76</v>
      </c>
    </row>
    <row r="2323" spans="1:4" x14ac:dyDescent="0.45">
      <c r="A2323">
        <v>59184</v>
      </c>
      <c r="B2323" s="72">
        <v>39163</v>
      </c>
      <c r="C2323">
        <v>50.9</v>
      </c>
      <c r="D2323">
        <v>50.9</v>
      </c>
    </row>
    <row r="2324" spans="1:4" x14ac:dyDescent="0.45">
      <c r="A2324">
        <v>59184</v>
      </c>
      <c r="B2324" s="72">
        <v>39164</v>
      </c>
      <c r="C2324">
        <v>50.8</v>
      </c>
      <c r="D2324">
        <v>50.8</v>
      </c>
    </row>
    <row r="2325" spans="1:4" x14ac:dyDescent="0.45">
      <c r="A2325">
        <v>59184</v>
      </c>
      <c r="B2325" s="72">
        <v>39167</v>
      </c>
      <c r="C2325">
        <v>50.85</v>
      </c>
      <c r="D2325">
        <v>50.85</v>
      </c>
    </row>
    <row r="2326" spans="1:4" x14ac:dyDescent="0.45">
      <c r="A2326">
        <v>59184</v>
      </c>
      <c r="B2326" s="72">
        <v>39168</v>
      </c>
      <c r="C2326">
        <v>50.42</v>
      </c>
      <c r="D2326">
        <v>50.42</v>
      </c>
    </row>
    <row r="2327" spans="1:4" x14ac:dyDescent="0.45">
      <c r="A2327">
        <v>59184</v>
      </c>
      <c r="B2327" s="72">
        <v>39169</v>
      </c>
      <c r="C2327">
        <v>49.79</v>
      </c>
      <c r="D2327">
        <v>49.79</v>
      </c>
    </row>
    <row r="2328" spans="1:4" x14ac:dyDescent="0.45">
      <c r="A2328">
        <v>59184</v>
      </c>
      <c r="B2328" s="72">
        <v>39170</v>
      </c>
      <c r="C2328">
        <v>50.16</v>
      </c>
      <c r="D2328">
        <v>50.16</v>
      </c>
    </row>
    <row r="2329" spans="1:4" x14ac:dyDescent="0.45">
      <c r="A2329">
        <v>59184</v>
      </c>
      <c r="B2329" s="72">
        <v>39171</v>
      </c>
      <c r="C2329">
        <v>50.46</v>
      </c>
      <c r="D2329">
        <v>50.46</v>
      </c>
    </row>
    <row r="2330" spans="1:4" x14ac:dyDescent="0.45">
      <c r="A2330">
        <v>59184</v>
      </c>
      <c r="B2330" s="72">
        <v>39174</v>
      </c>
      <c r="C2330">
        <v>50.7</v>
      </c>
      <c r="D2330">
        <v>50.7</v>
      </c>
    </row>
    <row r="2331" spans="1:4" x14ac:dyDescent="0.45">
      <c r="A2331">
        <v>59184</v>
      </c>
      <c r="B2331" s="72">
        <v>39175</v>
      </c>
      <c r="C2331">
        <v>51.06</v>
      </c>
      <c r="D2331">
        <v>51.06</v>
      </c>
    </row>
    <row r="2332" spans="1:4" x14ac:dyDescent="0.45">
      <c r="A2332">
        <v>59184</v>
      </c>
      <c r="B2332" s="72">
        <v>39176</v>
      </c>
      <c r="C2332">
        <v>51.19</v>
      </c>
      <c r="D2332">
        <v>51.19</v>
      </c>
    </row>
    <row r="2333" spans="1:4" x14ac:dyDescent="0.45">
      <c r="A2333">
        <v>59184</v>
      </c>
      <c r="B2333" s="72">
        <v>39177</v>
      </c>
      <c r="C2333">
        <v>51.1</v>
      </c>
      <c r="D2333">
        <v>51.1</v>
      </c>
    </row>
    <row r="2334" spans="1:4" x14ac:dyDescent="0.45">
      <c r="A2334">
        <v>59184</v>
      </c>
      <c r="B2334" s="72">
        <v>39181</v>
      </c>
      <c r="C2334">
        <v>51.71</v>
      </c>
      <c r="D2334">
        <v>51.71</v>
      </c>
    </row>
    <row r="2335" spans="1:4" x14ac:dyDescent="0.45">
      <c r="A2335">
        <v>59184</v>
      </c>
      <c r="B2335" s="72">
        <v>39182</v>
      </c>
      <c r="C2335">
        <v>52.09</v>
      </c>
      <c r="D2335">
        <v>52.09</v>
      </c>
    </row>
    <row r="2336" spans="1:4" x14ac:dyDescent="0.45">
      <c r="A2336">
        <v>59184</v>
      </c>
      <c r="B2336" s="72">
        <v>39183</v>
      </c>
      <c r="C2336">
        <v>51.89</v>
      </c>
      <c r="D2336">
        <v>51.89</v>
      </c>
    </row>
    <row r="2337" spans="1:4" x14ac:dyDescent="0.45">
      <c r="A2337">
        <v>59184</v>
      </c>
      <c r="B2337" s="72">
        <v>39184</v>
      </c>
      <c r="C2337">
        <v>52.18</v>
      </c>
      <c r="D2337">
        <v>52.18</v>
      </c>
    </row>
    <row r="2338" spans="1:4" x14ac:dyDescent="0.45">
      <c r="A2338">
        <v>59184</v>
      </c>
      <c r="B2338" s="72">
        <v>39185</v>
      </c>
      <c r="C2338">
        <v>52.14</v>
      </c>
      <c r="D2338">
        <v>52.14</v>
      </c>
    </row>
    <row r="2339" spans="1:4" x14ac:dyDescent="0.45">
      <c r="A2339">
        <v>59184</v>
      </c>
      <c r="B2339" s="72">
        <v>39188</v>
      </c>
      <c r="C2339">
        <v>52.47</v>
      </c>
      <c r="D2339">
        <v>52.47</v>
      </c>
    </row>
    <row r="2340" spans="1:4" x14ac:dyDescent="0.45">
      <c r="A2340">
        <v>59184</v>
      </c>
      <c r="B2340" s="72">
        <v>39189</v>
      </c>
      <c r="C2340">
        <v>52.49</v>
      </c>
      <c r="D2340">
        <v>52.49</v>
      </c>
    </row>
    <row r="2341" spans="1:4" x14ac:dyDescent="0.45">
      <c r="A2341">
        <v>59184</v>
      </c>
      <c r="B2341" s="72">
        <v>39190</v>
      </c>
      <c r="C2341">
        <v>52.14</v>
      </c>
      <c r="D2341">
        <v>52.14</v>
      </c>
    </row>
    <row r="2342" spans="1:4" x14ac:dyDescent="0.45">
      <c r="A2342">
        <v>59184</v>
      </c>
      <c r="B2342" s="72">
        <v>39191</v>
      </c>
      <c r="C2342">
        <v>52.1</v>
      </c>
      <c r="D2342">
        <v>52.1</v>
      </c>
    </row>
    <row r="2343" spans="1:4" x14ac:dyDescent="0.45">
      <c r="A2343">
        <v>59184</v>
      </c>
      <c r="B2343" s="72">
        <v>39192</v>
      </c>
      <c r="C2343">
        <v>52.61</v>
      </c>
      <c r="D2343">
        <v>52.61</v>
      </c>
    </row>
    <row r="2344" spans="1:4" x14ac:dyDescent="0.45">
      <c r="A2344">
        <v>59184</v>
      </c>
      <c r="B2344" s="72">
        <v>39195</v>
      </c>
      <c r="C2344">
        <v>52.51</v>
      </c>
      <c r="D2344">
        <v>52.51</v>
      </c>
    </row>
    <row r="2345" spans="1:4" x14ac:dyDescent="0.45">
      <c r="A2345">
        <v>59184</v>
      </c>
      <c r="B2345" s="72">
        <v>39196</v>
      </c>
      <c r="C2345">
        <v>52.35</v>
      </c>
      <c r="D2345">
        <v>52.35</v>
      </c>
    </row>
    <row r="2346" spans="1:4" x14ac:dyDescent="0.45">
      <c r="A2346">
        <v>59184</v>
      </c>
      <c r="B2346" s="72">
        <v>39197</v>
      </c>
      <c r="C2346">
        <v>50.9</v>
      </c>
      <c r="D2346">
        <v>50.9</v>
      </c>
    </row>
    <row r="2347" spans="1:4" x14ac:dyDescent="0.45">
      <c r="A2347">
        <v>59184</v>
      </c>
      <c r="B2347" s="72">
        <v>39198</v>
      </c>
      <c r="C2347">
        <v>50.6</v>
      </c>
      <c r="D2347">
        <v>50.6</v>
      </c>
    </row>
    <row r="2348" spans="1:4" x14ac:dyDescent="0.45">
      <c r="A2348">
        <v>59184</v>
      </c>
      <c r="B2348" s="72">
        <v>39199</v>
      </c>
      <c r="C2348">
        <v>50.03</v>
      </c>
      <c r="D2348">
        <v>50.03</v>
      </c>
    </row>
    <row r="2349" spans="1:4" x14ac:dyDescent="0.45">
      <c r="A2349">
        <v>59184</v>
      </c>
      <c r="B2349" s="72">
        <v>39202</v>
      </c>
      <c r="C2349">
        <v>49.19</v>
      </c>
      <c r="D2349">
        <v>49.19</v>
      </c>
    </row>
    <row r="2350" spans="1:4" x14ac:dyDescent="0.45">
      <c r="A2350">
        <v>59184</v>
      </c>
      <c r="B2350" s="72">
        <v>39203</v>
      </c>
      <c r="C2350">
        <v>49.56</v>
      </c>
      <c r="D2350">
        <v>49.56</v>
      </c>
    </row>
    <row r="2351" spans="1:4" x14ac:dyDescent="0.45">
      <c r="A2351">
        <v>59184</v>
      </c>
      <c r="B2351" s="72">
        <v>39204</v>
      </c>
      <c r="C2351">
        <v>49.89</v>
      </c>
      <c r="D2351">
        <v>49.89</v>
      </c>
    </row>
    <row r="2352" spans="1:4" x14ac:dyDescent="0.45">
      <c r="A2352">
        <v>59184</v>
      </c>
      <c r="B2352" s="72">
        <v>39205</v>
      </c>
      <c r="C2352">
        <v>50.3</v>
      </c>
      <c r="D2352">
        <v>50.3</v>
      </c>
    </row>
    <row r="2353" spans="1:4" x14ac:dyDescent="0.45">
      <c r="A2353">
        <v>59184</v>
      </c>
      <c r="B2353" s="72">
        <v>39206</v>
      </c>
      <c r="C2353">
        <v>50.5</v>
      </c>
      <c r="D2353">
        <v>50.5</v>
      </c>
    </row>
    <row r="2354" spans="1:4" x14ac:dyDescent="0.45">
      <c r="A2354">
        <v>59184</v>
      </c>
      <c r="B2354" s="72">
        <v>39209</v>
      </c>
      <c r="C2354">
        <v>50.41</v>
      </c>
      <c r="D2354">
        <v>50.41</v>
      </c>
    </row>
    <row r="2355" spans="1:4" x14ac:dyDescent="0.45">
      <c r="A2355">
        <v>59184</v>
      </c>
      <c r="B2355" s="72">
        <v>39210</v>
      </c>
      <c r="C2355">
        <v>50.4</v>
      </c>
      <c r="D2355">
        <v>50.4</v>
      </c>
    </row>
    <row r="2356" spans="1:4" x14ac:dyDescent="0.45">
      <c r="A2356">
        <v>59184</v>
      </c>
      <c r="B2356" s="72">
        <v>39211</v>
      </c>
      <c r="C2356">
        <v>49.96</v>
      </c>
      <c r="D2356">
        <v>49.96</v>
      </c>
    </row>
    <row r="2357" spans="1:4" x14ac:dyDescent="0.45">
      <c r="A2357">
        <v>59184</v>
      </c>
      <c r="B2357" s="72">
        <v>39212</v>
      </c>
      <c r="C2357">
        <v>49.87</v>
      </c>
      <c r="D2357">
        <v>49.87</v>
      </c>
    </row>
    <row r="2358" spans="1:4" x14ac:dyDescent="0.45">
      <c r="A2358">
        <v>59184</v>
      </c>
      <c r="B2358" s="72">
        <v>39213</v>
      </c>
      <c r="C2358">
        <v>50.14</v>
      </c>
      <c r="D2358">
        <v>50.14</v>
      </c>
    </row>
    <row r="2359" spans="1:4" x14ac:dyDescent="0.45">
      <c r="A2359">
        <v>59184</v>
      </c>
      <c r="B2359" s="72">
        <v>39216</v>
      </c>
      <c r="C2359">
        <v>49.95</v>
      </c>
      <c r="D2359">
        <v>49.95</v>
      </c>
    </row>
    <row r="2360" spans="1:4" x14ac:dyDescent="0.45">
      <c r="A2360">
        <v>59184</v>
      </c>
      <c r="B2360" s="72">
        <v>39217</v>
      </c>
      <c r="C2360">
        <v>50.4</v>
      </c>
      <c r="D2360">
        <v>50.4</v>
      </c>
    </row>
    <row r="2361" spans="1:4" x14ac:dyDescent="0.45">
      <c r="A2361">
        <v>59184</v>
      </c>
      <c r="B2361" s="72">
        <v>39218</v>
      </c>
      <c r="C2361">
        <v>50.28</v>
      </c>
      <c r="D2361">
        <v>50.28</v>
      </c>
    </row>
    <row r="2362" spans="1:4" x14ac:dyDescent="0.45">
      <c r="A2362">
        <v>59184</v>
      </c>
      <c r="B2362" s="72">
        <v>39219</v>
      </c>
      <c r="C2362">
        <v>49.68</v>
      </c>
      <c r="D2362">
        <v>49.68</v>
      </c>
    </row>
    <row r="2363" spans="1:4" x14ac:dyDescent="0.45">
      <c r="A2363">
        <v>59184</v>
      </c>
      <c r="B2363" s="72">
        <v>39220</v>
      </c>
      <c r="C2363">
        <v>50.15</v>
      </c>
      <c r="D2363">
        <v>50.15</v>
      </c>
    </row>
    <row r="2364" spans="1:4" x14ac:dyDescent="0.45">
      <c r="A2364">
        <v>59184</v>
      </c>
      <c r="B2364" s="72">
        <v>39223</v>
      </c>
      <c r="C2364">
        <v>49.65</v>
      </c>
      <c r="D2364">
        <v>49.65</v>
      </c>
    </row>
    <row r="2365" spans="1:4" x14ac:dyDescent="0.45">
      <c r="A2365">
        <v>59184</v>
      </c>
      <c r="B2365" s="72">
        <v>39224</v>
      </c>
      <c r="C2365">
        <v>51.07</v>
      </c>
      <c r="D2365">
        <v>51.07</v>
      </c>
    </row>
    <row r="2366" spans="1:4" x14ac:dyDescent="0.45">
      <c r="A2366">
        <v>59184</v>
      </c>
      <c r="B2366" s="72">
        <v>39225</v>
      </c>
      <c r="C2366">
        <v>51.35</v>
      </c>
      <c r="D2366">
        <v>51.35</v>
      </c>
    </row>
    <row r="2367" spans="1:4" x14ac:dyDescent="0.45">
      <c r="A2367">
        <v>59184</v>
      </c>
      <c r="B2367" s="72">
        <v>39226</v>
      </c>
      <c r="C2367">
        <v>51.28</v>
      </c>
      <c r="D2367">
        <v>51.28</v>
      </c>
    </row>
    <row r="2368" spans="1:4" x14ac:dyDescent="0.45">
      <c r="A2368">
        <v>59184</v>
      </c>
      <c r="B2368" s="72">
        <v>39227</v>
      </c>
      <c r="C2368">
        <v>50.98</v>
      </c>
      <c r="D2368">
        <v>50.98</v>
      </c>
    </row>
    <row r="2369" spans="1:4" x14ac:dyDescent="0.45">
      <c r="A2369">
        <v>59184</v>
      </c>
      <c r="B2369" s="72">
        <v>39231</v>
      </c>
      <c r="C2369">
        <v>52.23</v>
      </c>
      <c r="D2369">
        <v>52.23</v>
      </c>
    </row>
    <row r="2370" spans="1:4" x14ac:dyDescent="0.45">
      <c r="A2370">
        <v>59184</v>
      </c>
      <c r="B2370" s="72">
        <v>39232</v>
      </c>
      <c r="C2370">
        <v>52.68</v>
      </c>
      <c r="D2370">
        <v>52.68</v>
      </c>
    </row>
    <row r="2371" spans="1:4" x14ac:dyDescent="0.45">
      <c r="A2371">
        <v>59184</v>
      </c>
      <c r="B2371" s="72">
        <v>39233</v>
      </c>
      <c r="C2371">
        <v>53.34</v>
      </c>
      <c r="D2371">
        <v>53.34</v>
      </c>
    </row>
    <row r="2372" spans="1:4" x14ac:dyDescent="0.45">
      <c r="A2372">
        <v>59184</v>
      </c>
      <c r="B2372" s="72">
        <v>39234</v>
      </c>
      <c r="C2372">
        <v>54.01</v>
      </c>
      <c r="D2372">
        <v>54.01</v>
      </c>
    </row>
    <row r="2373" spans="1:4" x14ac:dyDescent="0.45">
      <c r="A2373">
        <v>59184</v>
      </c>
      <c r="B2373" s="72">
        <v>39237</v>
      </c>
      <c r="C2373">
        <v>53.15</v>
      </c>
      <c r="D2373">
        <v>53.15</v>
      </c>
    </row>
    <row r="2374" spans="1:4" x14ac:dyDescent="0.45">
      <c r="A2374">
        <v>59184</v>
      </c>
      <c r="B2374" s="72">
        <v>39238</v>
      </c>
      <c r="C2374">
        <v>53.66</v>
      </c>
      <c r="D2374">
        <v>53.66</v>
      </c>
    </row>
    <row r="2375" spans="1:4" x14ac:dyDescent="0.45">
      <c r="A2375">
        <v>59184</v>
      </c>
      <c r="B2375" s="72">
        <v>39239</v>
      </c>
      <c r="C2375">
        <v>53.11</v>
      </c>
      <c r="D2375">
        <v>53.11</v>
      </c>
    </row>
    <row r="2376" spans="1:4" x14ac:dyDescent="0.45">
      <c r="A2376">
        <v>59184</v>
      </c>
      <c r="B2376" s="72">
        <v>39240</v>
      </c>
      <c r="C2376">
        <v>52.33</v>
      </c>
      <c r="D2376">
        <v>52.33</v>
      </c>
    </row>
    <row r="2377" spans="1:4" x14ac:dyDescent="0.45">
      <c r="A2377">
        <v>59184</v>
      </c>
      <c r="B2377" s="72">
        <v>39241</v>
      </c>
      <c r="C2377">
        <v>52.6</v>
      </c>
      <c r="D2377">
        <v>52.6</v>
      </c>
    </row>
    <row r="2378" spans="1:4" x14ac:dyDescent="0.45">
      <c r="A2378">
        <v>59184</v>
      </c>
      <c r="B2378" s="72">
        <v>39244</v>
      </c>
      <c r="C2378">
        <v>53.97</v>
      </c>
      <c r="D2378">
        <v>53.97</v>
      </c>
    </row>
    <row r="2379" spans="1:4" x14ac:dyDescent="0.45">
      <c r="A2379">
        <v>59184</v>
      </c>
      <c r="B2379" s="72">
        <v>39245</v>
      </c>
      <c r="C2379">
        <v>52.91</v>
      </c>
      <c r="D2379">
        <v>52.91</v>
      </c>
    </row>
    <row r="2380" spans="1:4" x14ac:dyDescent="0.45">
      <c r="A2380">
        <v>59184</v>
      </c>
      <c r="B2380" s="72">
        <v>39246</v>
      </c>
      <c r="C2380">
        <v>53.89</v>
      </c>
      <c r="D2380">
        <v>53.89</v>
      </c>
    </row>
    <row r="2381" spans="1:4" x14ac:dyDescent="0.45">
      <c r="A2381">
        <v>59184</v>
      </c>
      <c r="B2381" s="72">
        <v>39247</v>
      </c>
      <c r="C2381">
        <v>52.86</v>
      </c>
      <c r="D2381">
        <v>52.86</v>
      </c>
    </row>
    <row r="2382" spans="1:4" x14ac:dyDescent="0.45">
      <c r="A2382">
        <v>59184</v>
      </c>
      <c r="B2382" s="72">
        <v>39248</v>
      </c>
      <c r="C2382">
        <v>52.89</v>
      </c>
      <c r="D2382">
        <v>52.89</v>
      </c>
    </row>
    <row r="2383" spans="1:4" x14ac:dyDescent="0.45">
      <c r="A2383">
        <v>59184</v>
      </c>
      <c r="B2383" s="72">
        <v>39251</v>
      </c>
      <c r="C2383">
        <v>54.3</v>
      </c>
      <c r="D2383">
        <v>54.3</v>
      </c>
    </row>
    <row r="2384" spans="1:4" x14ac:dyDescent="0.45">
      <c r="A2384">
        <v>59184</v>
      </c>
      <c r="B2384" s="72">
        <v>39252</v>
      </c>
      <c r="C2384">
        <v>54.41</v>
      </c>
      <c r="D2384">
        <v>54.41</v>
      </c>
    </row>
    <row r="2385" spans="1:4" x14ac:dyDescent="0.45">
      <c r="A2385">
        <v>59184</v>
      </c>
      <c r="B2385" s="72">
        <v>39253</v>
      </c>
      <c r="C2385">
        <v>52.79</v>
      </c>
      <c r="D2385">
        <v>52.79</v>
      </c>
    </row>
    <row r="2386" spans="1:4" x14ac:dyDescent="0.45">
      <c r="A2386">
        <v>59184</v>
      </c>
      <c r="B2386" s="72">
        <v>39254</v>
      </c>
      <c r="C2386">
        <v>53.1</v>
      </c>
      <c r="D2386">
        <v>53.1</v>
      </c>
    </row>
    <row r="2387" spans="1:4" x14ac:dyDescent="0.45">
      <c r="A2387">
        <v>59184</v>
      </c>
      <c r="B2387" s="72">
        <v>39255</v>
      </c>
      <c r="C2387">
        <v>52.45</v>
      </c>
      <c r="D2387">
        <v>52.45</v>
      </c>
    </row>
    <row r="2388" spans="1:4" x14ac:dyDescent="0.45">
      <c r="A2388">
        <v>59184</v>
      </c>
      <c r="B2388" s="72">
        <v>39258</v>
      </c>
      <c r="C2388">
        <v>51.36</v>
      </c>
      <c r="D2388">
        <v>51.36</v>
      </c>
    </row>
    <row r="2389" spans="1:4" x14ac:dyDescent="0.45">
      <c r="A2389">
        <v>59184</v>
      </c>
      <c r="B2389" s="72">
        <v>39259</v>
      </c>
      <c r="C2389">
        <v>50.89</v>
      </c>
      <c r="D2389">
        <v>50.89</v>
      </c>
    </row>
    <row r="2390" spans="1:4" x14ac:dyDescent="0.45">
      <c r="A2390">
        <v>59184</v>
      </c>
      <c r="B2390" s="72">
        <v>39260</v>
      </c>
      <c r="C2390">
        <v>51.48</v>
      </c>
      <c r="D2390">
        <v>51.48</v>
      </c>
    </row>
    <row r="2391" spans="1:4" x14ac:dyDescent="0.45">
      <c r="A2391">
        <v>59184</v>
      </c>
      <c r="B2391" s="72">
        <v>39261</v>
      </c>
      <c r="C2391">
        <v>51.74</v>
      </c>
      <c r="D2391">
        <v>51.74</v>
      </c>
    </row>
    <row r="2392" spans="1:4" x14ac:dyDescent="0.45">
      <c r="A2392">
        <v>59184</v>
      </c>
      <c r="B2392" s="72">
        <v>39262</v>
      </c>
      <c r="C2392">
        <v>52.16</v>
      </c>
      <c r="D2392">
        <v>52.16</v>
      </c>
    </row>
    <row r="2393" spans="1:4" x14ac:dyDescent="0.45">
      <c r="A2393">
        <v>59184</v>
      </c>
      <c r="B2393" s="72">
        <v>39265</v>
      </c>
      <c r="C2393">
        <v>52.31</v>
      </c>
      <c r="D2393">
        <v>52.31</v>
      </c>
    </row>
    <row r="2394" spans="1:4" x14ac:dyDescent="0.45">
      <c r="A2394">
        <v>59184</v>
      </c>
      <c r="B2394" s="72">
        <v>39266</v>
      </c>
      <c r="C2394">
        <v>51.43</v>
      </c>
      <c r="D2394">
        <v>51.43</v>
      </c>
    </row>
    <row r="2395" spans="1:4" x14ac:dyDescent="0.45">
      <c r="A2395">
        <v>59184</v>
      </c>
      <c r="B2395" s="72">
        <v>39268</v>
      </c>
      <c r="C2395">
        <v>52.1</v>
      </c>
      <c r="D2395">
        <v>52.1</v>
      </c>
    </row>
    <row r="2396" spans="1:4" x14ac:dyDescent="0.45">
      <c r="A2396">
        <v>59184</v>
      </c>
      <c r="B2396" s="72">
        <v>39269</v>
      </c>
      <c r="C2396">
        <v>51.63</v>
      </c>
      <c r="D2396">
        <v>51.63</v>
      </c>
    </row>
    <row r="2397" spans="1:4" x14ac:dyDescent="0.45">
      <c r="A2397">
        <v>59184</v>
      </c>
      <c r="B2397" s="72">
        <v>39272</v>
      </c>
      <c r="C2397">
        <v>51</v>
      </c>
      <c r="D2397">
        <v>51</v>
      </c>
    </row>
    <row r="2398" spans="1:4" x14ac:dyDescent="0.45">
      <c r="A2398">
        <v>59184</v>
      </c>
      <c r="B2398" s="72">
        <v>39273</v>
      </c>
      <c r="C2398">
        <v>50.27</v>
      </c>
      <c r="D2398">
        <v>50.27</v>
      </c>
    </row>
    <row r="2399" spans="1:4" x14ac:dyDescent="0.45">
      <c r="A2399">
        <v>59184</v>
      </c>
      <c r="B2399" s="72">
        <v>39274</v>
      </c>
      <c r="C2399">
        <v>50.51</v>
      </c>
      <c r="D2399">
        <v>50.51</v>
      </c>
    </row>
    <row r="2400" spans="1:4" x14ac:dyDescent="0.45">
      <c r="A2400">
        <v>59184</v>
      </c>
      <c r="B2400" s="72">
        <v>39275</v>
      </c>
      <c r="C2400">
        <v>50.46</v>
      </c>
      <c r="D2400">
        <v>50.46</v>
      </c>
    </row>
    <row r="2401" spans="1:4" x14ac:dyDescent="0.45">
      <c r="A2401">
        <v>59184</v>
      </c>
      <c r="B2401" s="72">
        <v>39276</v>
      </c>
      <c r="C2401">
        <v>50.82</v>
      </c>
      <c r="D2401">
        <v>50.82</v>
      </c>
    </row>
    <row r="2402" spans="1:4" x14ac:dyDescent="0.45">
      <c r="A2402">
        <v>59184</v>
      </c>
      <c r="B2402" s="72">
        <v>39279</v>
      </c>
      <c r="C2402">
        <v>50.79</v>
      </c>
      <c r="D2402">
        <v>50.79</v>
      </c>
    </row>
    <row r="2403" spans="1:4" x14ac:dyDescent="0.45">
      <c r="A2403">
        <v>59184</v>
      </c>
      <c r="B2403" s="72">
        <v>39280</v>
      </c>
      <c r="C2403">
        <v>50.32</v>
      </c>
      <c r="D2403">
        <v>50.32</v>
      </c>
    </row>
    <row r="2404" spans="1:4" x14ac:dyDescent="0.45">
      <c r="A2404">
        <v>59184</v>
      </c>
      <c r="B2404" s="72">
        <v>39281</v>
      </c>
      <c r="C2404">
        <v>50</v>
      </c>
      <c r="D2404">
        <v>50</v>
      </c>
    </row>
    <row r="2405" spans="1:4" x14ac:dyDescent="0.45">
      <c r="A2405">
        <v>59184</v>
      </c>
      <c r="B2405" s="72">
        <v>39282</v>
      </c>
      <c r="C2405">
        <v>50.13</v>
      </c>
      <c r="D2405">
        <v>50.13</v>
      </c>
    </row>
    <row r="2406" spans="1:4" x14ac:dyDescent="0.45">
      <c r="A2406">
        <v>59184</v>
      </c>
      <c r="B2406" s="72">
        <v>39283</v>
      </c>
      <c r="C2406">
        <v>49.63</v>
      </c>
      <c r="D2406">
        <v>49.63</v>
      </c>
    </row>
    <row r="2407" spans="1:4" x14ac:dyDescent="0.45">
      <c r="A2407">
        <v>59184</v>
      </c>
      <c r="B2407" s="72">
        <v>39286</v>
      </c>
      <c r="C2407">
        <v>50.22</v>
      </c>
      <c r="D2407">
        <v>50.22</v>
      </c>
    </row>
    <row r="2408" spans="1:4" x14ac:dyDescent="0.45">
      <c r="A2408">
        <v>59184</v>
      </c>
      <c r="B2408" s="72">
        <v>39287</v>
      </c>
      <c r="C2408">
        <v>49.12</v>
      </c>
      <c r="D2408">
        <v>49.12</v>
      </c>
    </row>
    <row r="2409" spans="1:4" x14ac:dyDescent="0.45">
      <c r="A2409">
        <v>59184</v>
      </c>
      <c r="B2409" s="72">
        <v>39288</v>
      </c>
      <c r="C2409">
        <v>49.59</v>
      </c>
      <c r="D2409">
        <v>49.59</v>
      </c>
    </row>
    <row r="2410" spans="1:4" x14ac:dyDescent="0.45">
      <c r="A2410">
        <v>59184</v>
      </c>
      <c r="B2410" s="72">
        <v>39289</v>
      </c>
      <c r="C2410">
        <v>48.51</v>
      </c>
      <c r="D2410">
        <v>48.51</v>
      </c>
    </row>
    <row r="2411" spans="1:4" x14ac:dyDescent="0.45">
      <c r="A2411">
        <v>59184</v>
      </c>
      <c r="B2411" s="72">
        <v>39290</v>
      </c>
      <c r="C2411">
        <v>48.65</v>
      </c>
      <c r="D2411">
        <v>48.65</v>
      </c>
    </row>
    <row r="2412" spans="1:4" x14ac:dyDescent="0.45">
      <c r="A2412">
        <v>59184</v>
      </c>
      <c r="B2412" s="72">
        <v>39293</v>
      </c>
      <c r="C2412">
        <v>49.3</v>
      </c>
      <c r="D2412">
        <v>49.3</v>
      </c>
    </row>
    <row r="2413" spans="1:4" x14ac:dyDescent="0.45">
      <c r="A2413">
        <v>59184</v>
      </c>
      <c r="B2413" s="72">
        <v>39294</v>
      </c>
      <c r="C2413">
        <v>48.77</v>
      </c>
      <c r="D2413">
        <v>48.77</v>
      </c>
    </row>
    <row r="2414" spans="1:4" x14ac:dyDescent="0.45">
      <c r="A2414">
        <v>59184</v>
      </c>
      <c r="B2414" s="72">
        <v>39295</v>
      </c>
      <c r="C2414">
        <v>49.81</v>
      </c>
      <c r="D2414">
        <v>49.81</v>
      </c>
    </row>
    <row r="2415" spans="1:4" x14ac:dyDescent="0.45">
      <c r="A2415">
        <v>59184</v>
      </c>
      <c r="B2415" s="72">
        <v>39296</v>
      </c>
      <c r="C2415">
        <v>49.7</v>
      </c>
      <c r="D2415">
        <v>49.7</v>
      </c>
    </row>
    <row r="2416" spans="1:4" x14ac:dyDescent="0.45">
      <c r="A2416">
        <v>59184</v>
      </c>
      <c r="B2416" s="72">
        <v>39297</v>
      </c>
      <c r="C2416">
        <v>48.95</v>
      </c>
      <c r="D2416">
        <v>48.95</v>
      </c>
    </row>
    <row r="2417" spans="1:4" x14ac:dyDescent="0.45">
      <c r="A2417">
        <v>59184</v>
      </c>
      <c r="B2417" s="72">
        <v>39300</v>
      </c>
      <c r="C2417">
        <v>50.34</v>
      </c>
      <c r="D2417">
        <v>50.34</v>
      </c>
    </row>
    <row r="2418" spans="1:4" x14ac:dyDescent="0.45">
      <c r="A2418">
        <v>59184</v>
      </c>
      <c r="B2418" s="72">
        <v>39301</v>
      </c>
      <c r="C2418">
        <v>50.08</v>
      </c>
      <c r="D2418">
        <v>50.08</v>
      </c>
    </row>
    <row r="2419" spans="1:4" x14ac:dyDescent="0.45">
      <c r="A2419">
        <v>59184</v>
      </c>
      <c r="B2419" s="72">
        <v>39302</v>
      </c>
      <c r="C2419">
        <v>51.02</v>
      </c>
      <c r="D2419">
        <v>51.02</v>
      </c>
    </row>
    <row r="2420" spans="1:4" x14ac:dyDescent="0.45">
      <c r="A2420">
        <v>59184</v>
      </c>
      <c r="B2420" s="72">
        <v>39303</v>
      </c>
      <c r="C2420">
        <v>48.5</v>
      </c>
      <c r="D2420">
        <v>48.5</v>
      </c>
    </row>
    <row r="2421" spans="1:4" x14ac:dyDescent="0.45">
      <c r="A2421">
        <v>59184</v>
      </c>
      <c r="B2421" s="72">
        <v>39304</v>
      </c>
      <c r="C2421">
        <v>48.73</v>
      </c>
      <c r="D2421">
        <v>48.73</v>
      </c>
    </row>
    <row r="2422" spans="1:4" x14ac:dyDescent="0.45">
      <c r="A2422">
        <v>59184</v>
      </c>
      <c r="B2422" s="72">
        <v>39307</v>
      </c>
      <c r="C2422">
        <v>48.46</v>
      </c>
      <c r="D2422">
        <v>48.46</v>
      </c>
    </row>
    <row r="2423" spans="1:4" x14ac:dyDescent="0.45">
      <c r="A2423">
        <v>59184</v>
      </c>
      <c r="B2423" s="72">
        <v>39308</v>
      </c>
      <c r="C2423">
        <v>48.04</v>
      </c>
      <c r="D2423">
        <v>48.04</v>
      </c>
    </row>
    <row r="2424" spans="1:4" x14ac:dyDescent="0.45">
      <c r="A2424">
        <v>59184</v>
      </c>
      <c r="B2424" s="72">
        <v>39309</v>
      </c>
      <c r="C2424">
        <v>47.86</v>
      </c>
      <c r="D2424">
        <v>47.86</v>
      </c>
    </row>
    <row r="2425" spans="1:4" x14ac:dyDescent="0.45">
      <c r="A2425">
        <v>59184</v>
      </c>
      <c r="B2425" s="72">
        <v>39310</v>
      </c>
      <c r="C2425">
        <v>46.95</v>
      </c>
      <c r="D2425">
        <v>46.95</v>
      </c>
    </row>
    <row r="2426" spans="1:4" x14ac:dyDescent="0.45">
      <c r="A2426">
        <v>59184</v>
      </c>
      <c r="B2426" s="72">
        <v>39311</v>
      </c>
      <c r="C2426">
        <v>47.25</v>
      </c>
      <c r="D2426">
        <v>47.25</v>
      </c>
    </row>
    <row r="2427" spans="1:4" x14ac:dyDescent="0.45">
      <c r="A2427">
        <v>59184</v>
      </c>
      <c r="B2427" s="72">
        <v>39314</v>
      </c>
      <c r="C2427">
        <v>47.85</v>
      </c>
      <c r="D2427">
        <v>47.85</v>
      </c>
    </row>
    <row r="2428" spans="1:4" x14ac:dyDescent="0.45">
      <c r="A2428">
        <v>59184</v>
      </c>
      <c r="B2428" s="72">
        <v>39315</v>
      </c>
      <c r="C2428">
        <v>47.57</v>
      </c>
      <c r="D2428">
        <v>47.57</v>
      </c>
    </row>
    <row r="2429" spans="1:4" x14ac:dyDescent="0.45">
      <c r="A2429">
        <v>59184</v>
      </c>
      <c r="B2429" s="72">
        <v>39316</v>
      </c>
      <c r="C2429">
        <v>47.79</v>
      </c>
      <c r="D2429">
        <v>47.79</v>
      </c>
    </row>
    <row r="2430" spans="1:4" x14ac:dyDescent="0.45">
      <c r="A2430">
        <v>59184</v>
      </c>
      <c r="B2430" s="72">
        <v>39317</v>
      </c>
      <c r="C2430">
        <v>48</v>
      </c>
      <c r="D2430">
        <v>48</v>
      </c>
    </row>
    <row r="2431" spans="1:4" x14ac:dyDescent="0.45">
      <c r="A2431">
        <v>59184</v>
      </c>
      <c r="B2431" s="72">
        <v>39318</v>
      </c>
      <c r="C2431">
        <v>48.4</v>
      </c>
      <c r="D2431">
        <v>48.4</v>
      </c>
    </row>
    <row r="2432" spans="1:4" x14ac:dyDescent="0.45">
      <c r="A2432">
        <v>59184</v>
      </c>
      <c r="B2432" s="72">
        <v>39321</v>
      </c>
      <c r="C2432">
        <v>48.6</v>
      </c>
      <c r="D2432">
        <v>48.6</v>
      </c>
    </row>
    <row r="2433" spans="1:4" x14ac:dyDescent="0.45">
      <c r="A2433">
        <v>59184</v>
      </c>
      <c r="B2433" s="72">
        <v>39322</v>
      </c>
      <c r="C2433">
        <v>47.68</v>
      </c>
      <c r="D2433">
        <v>47.68</v>
      </c>
    </row>
    <row r="2434" spans="1:4" x14ac:dyDescent="0.45">
      <c r="A2434">
        <v>59184</v>
      </c>
      <c r="B2434" s="72">
        <v>39323</v>
      </c>
      <c r="C2434">
        <v>48.33</v>
      </c>
      <c r="D2434">
        <v>48.33</v>
      </c>
    </row>
    <row r="2435" spans="1:4" x14ac:dyDescent="0.45">
      <c r="A2435">
        <v>59184</v>
      </c>
      <c r="B2435" s="72">
        <v>39324</v>
      </c>
      <c r="C2435">
        <v>48.4</v>
      </c>
      <c r="D2435">
        <v>48.4</v>
      </c>
    </row>
    <row r="2436" spans="1:4" x14ac:dyDescent="0.45">
      <c r="A2436">
        <v>59184</v>
      </c>
      <c r="B2436" s="72">
        <v>39325</v>
      </c>
      <c r="C2436">
        <v>49.4</v>
      </c>
      <c r="D2436">
        <v>49.4</v>
      </c>
    </row>
    <row r="2437" spans="1:4" x14ac:dyDescent="0.45">
      <c r="A2437">
        <v>59184</v>
      </c>
      <c r="B2437" s="72">
        <v>39329</v>
      </c>
      <c r="C2437">
        <v>49.02</v>
      </c>
      <c r="D2437">
        <v>49.02</v>
      </c>
    </row>
    <row r="2438" spans="1:4" x14ac:dyDescent="0.45">
      <c r="A2438">
        <v>59184</v>
      </c>
      <c r="B2438" s="72">
        <v>39330</v>
      </c>
      <c r="C2438">
        <v>48.57</v>
      </c>
      <c r="D2438">
        <v>48.57</v>
      </c>
    </row>
    <row r="2439" spans="1:4" x14ac:dyDescent="0.45">
      <c r="A2439">
        <v>59184</v>
      </c>
      <c r="B2439" s="72">
        <v>39331</v>
      </c>
      <c r="C2439">
        <v>49.7</v>
      </c>
      <c r="D2439">
        <v>49.7</v>
      </c>
    </row>
    <row r="2440" spans="1:4" x14ac:dyDescent="0.45">
      <c r="A2440">
        <v>59184</v>
      </c>
      <c r="B2440" s="72">
        <v>39332</v>
      </c>
      <c r="C2440">
        <v>49.84</v>
      </c>
      <c r="D2440">
        <v>49.84</v>
      </c>
    </row>
    <row r="2441" spans="1:4" x14ac:dyDescent="0.45">
      <c r="A2441">
        <v>59184</v>
      </c>
      <c r="B2441" s="72">
        <v>39335</v>
      </c>
      <c r="C2441">
        <v>49.59</v>
      </c>
      <c r="D2441">
        <v>49.59</v>
      </c>
    </row>
    <row r="2442" spans="1:4" x14ac:dyDescent="0.45">
      <c r="A2442">
        <v>59184</v>
      </c>
      <c r="B2442" s="72">
        <v>39336</v>
      </c>
      <c r="C2442">
        <v>50.12</v>
      </c>
      <c r="D2442">
        <v>50.12</v>
      </c>
    </row>
    <row r="2443" spans="1:4" x14ac:dyDescent="0.45">
      <c r="A2443">
        <v>59184</v>
      </c>
      <c r="B2443" s="72">
        <v>39337</v>
      </c>
      <c r="C2443">
        <v>50.44</v>
      </c>
      <c r="D2443">
        <v>50.44</v>
      </c>
    </row>
    <row r="2444" spans="1:4" x14ac:dyDescent="0.45">
      <c r="A2444">
        <v>59184</v>
      </c>
      <c r="B2444" s="72">
        <v>39338</v>
      </c>
      <c r="C2444">
        <v>50.67</v>
      </c>
      <c r="D2444">
        <v>50.67</v>
      </c>
    </row>
    <row r="2445" spans="1:4" x14ac:dyDescent="0.45">
      <c r="A2445">
        <v>59184</v>
      </c>
      <c r="B2445" s="72">
        <v>39339</v>
      </c>
      <c r="C2445">
        <v>50.18</v>
      </c>
      <c r="D2445">
        <v>50.18</v>
      </c>
    </row>
    <row r="2446" spans="1:4" x14ac:dyDescent="0.45">
      <c r="A2446">
        <v>59184</v>
      </c>
      <c r="B2446" s="72">
        <v>39342</v>
      </c>
      <c r="C2446">
        <v>49.99</v>
      </c>
      <c r="D2446">
        <v>49.99</v>
      </c>
    </row>
    <row r="2447" spans="1:4" x14ac:dyDescent="0.45">
      <c r="A2447">
        <v>59184</v>
      </c>
      <c r="B2447" s="72">
        <v>39343</v>
      </c>
      <c r="C2447">
        <v>50.4</v>
      </c>
      <c r="D2447">
        <v>50.4</v>
      </c>
    </row>
    <row r="2448" spans="1:4" x14ac:dyDescent="0.45">
      <c r="A2448">
        <v>59184</v>
      </c>
      <c r="B2448" s="72">
        <v>39344</v>
      </c>
      <c r="C2448">
        <v>50.93</v>
      </c>
      <c r="D2448">
        <v>50.93</v>
      </c>
    </row>
    <row r="2449" spans="1:4" x14ac:dyDescent="0.45">
      <c r="A2449">
        <v>59184</v>
      </c>
      <c r="B2449" s="72">
        <v>39345</v>
      </c>
      <c r="C2449">
        <v>50.74</v>
      </c>
      <c r="D2449">
        <v>50.74</v>
      </c>
    </row>
    <row r="2450" spans="1:4" x14ac:dyDescent="0.45">
      <c r="A2450">
        <v>59184</v>
      </c>
      <c r="B2450" s="72">
        <v>39346</v>
      </c>
      <c r="C2450">
        <v>50.57</v>
      </c>
      <c r="D2450">
        <v>50.57</v>
      </c>
    </row>
    <row r="2451" spans="1:4" x14ac:dyDescent="0.45">
      <c r="A2451">
        <v>59184</v>
      </c>
      <c r="B2451" s="72">
        <v>39349</v>
      </c>
      <c r="C2451">
        <v>49.98</v>
      </c>
      <c r="D2451">
        <v>49.98</v>
      </c>
    </row>
    <row r="2452" spans="1:4" x14ac:dyDescent="0.45">
      <c r="A2452">
        <v>59184</v>
      </c>
      <c r="B2452" s="72">
        <v>39350</v>
      </c>
      <c r="C2452">
        <v>50.43</v>
      </c>
      <c r="D2452">
        <v>50.43</v>
      </c>
    </row>
    <row r="2453" spans="1:4" x14ac:dyDescent="0.45">
      <c r="A2453">
        <v>59184</v>
      </c>
      <c r="B2453" s="72">
        <v>39351</v>
      </c>
      <c r="C2453">
        <v>50.59</v>
      </c>
      <c r="D2453">
        <v>50.59</v>
      </c>
    </row>
    <row r="2454" spans="1:4" x14ac:dyDescent="0.45">
      <c r="A2454">
        <v>59184</v>
      </c>
      <c r="B2454" s="72">
        <v>39352</v>
      </c>
      <c r="C2454">
        <v>50.26</v>
      </c>
      <c r="D2454">
        <v>50.26</v>
      </c>
    </row>
    <row r="2455" spans="1:4" x14ac:dyDescent="0.45">
      <c r="A2455">
        <v>59184</v>
      </c>
      <c r="B2455" s="72">
        <v>39353</v>
      </c>
      <c r="C2455">
        <v>49.99</v>
      </c>
      <c r="D2455">
        <v>49.99</v>
      </c>
    </row>
    <row r="2456" spans="1:4" x14ac:dyDescent="0.45">
      <c r="A2456">
        <v>59184</v>
      </c>
      <c r="B2456" s="72">
        <v>39356</v>
      </c>
      <c r="C2456">
        <v>49.79</v>
      </c>
      <c r="D2456">
        <v>49.79</v>
      </c>
    </row>
    <row r="2457" spans="1:4" x14ac:dyDescent="0.45">
      <c r="A2457">
        <v>59184</v>
      </c>
      <c r="B2457" s="72">
        <v>39357</v>
      </c>
      <c r="C2457">
        <v>50.7</v>
      </c>
      <c r="D2457">
        <v>50.7</v>
      </c>
    </row>
    <row r="2458" spans="1:4" x14ac:dyDescent="0.45">
      <c r="A2458">
        <v>59184</v>
      </c>
      <c r="B2458" s="72">
        <v>39358</v>
      </c>
      <c r="C2458">
        <v>51.7</v>
      </c>
      <c r="D2458">
        <v>51.7</v>
      </c>
    </row>
    <row r="2459" spans="1:4" x14ac:dyDescent="0.45">
      <c r="A2459">
        <v>59184</v>
      </c>
      <c r="B2459" s="72">
        <v>39359</v>
      </c>
      <c r="C2459">
        <v>50.92</v>
      </c>
      <c r="D2459">
        <v>50.92</v>
      </c>
    </row>
    <row r="2460" spans="1:4" x14ac:dyDescent="0.45">
      <c r="A2460">
        <v>59184</v>
      </c>
      <c r="B2460" s="72">
        <v>39360</v>
      </c>
      <c r="C2460">
        <v>51.6</v>
      </c>
      <c r="D2460">
        <v>51.6</v>
      </c>
    </row>
    <row r="2461" spans="1:4" x14ac:dyDescent="0.45">
      <c r="A2461">
        <v>59184</v>
      </c>
      <c r="B2461" s="72">
        <v>39363</v>
      </c>
      <c r="C2461">
        <v>52.03</v>
      </c>
      <c r="D2461">
        <v>52.03</v>
      </c>
    </row>
    <row r="2462" spans="1:4" x14ac:dyDescent="0.45">
      <c r="A2462">
        <v>59184</v>
      </c>
      <c r="B2462" s="72">
        <v>39364</v>
      </c>
      <c r="C2462">
        <v>51.57</v>
      </c>
      <c r="D2462">
        <v>51.57</v>
      </c>
    </row>
    <row r="2463" spans="1:4" x14ac:dyDescent="0.45">
      <c r="A2463">
        <v>59184</v>
      </c>
      <c r="B2463" s="72">
        <v>39365</v>
      </c>
      <c r="C2463">
        <v>52.26</v>
      </c>
      <c r="D2463">
        <v>52.26</v>
      </c>
    </row>
    <row r="2464" spans="1:4" x14ac:dyDescent="0.45">
      <c r="A2464">
        <v>59184</v>
      </c>
      <c r="B2464" s="72">
        <v>39366</v>
      </c>
      <c r="C2464">
        <v>52.38</v>
      </c>
      <c r="D2464">
        <v>52.38</v>
      </c>
    </row>
    <row r="2465" spans="1:4" x14ac:dyDescent="0.45">
      <c r="A2465">
        <v>59184</v>
      </c>
      <c r="B2465" s="72">
        <v>39367</v>
      </c>
      <c r="C2465">
        <v>52.87</v>
      </c>
      <c r="D2465">
        <v>52.87</v>
      </c>
    </row>
    <row r="2466" spans="1:4" x14ac:dyDescent="0.45">
      <c r="A2466">
        <v>59184</v>
      </c>
      <c r="B2466" s="72">
        <v>39370</v>
      </c>
      <c r="C2466">
        <v>52.22</v>
      </c>
      <c r="D2466">
        <v>52.22</v>
      </c>
    </row>
    <row r="2467" spans="1:4" x14ac:dyDescent="0.45">
      <c r="A2467">
        <v>59184</v>
      </c>
      <c r="B2467" s="72">
        <v>39371</v>
      </c>
      <c r="C2467">
        <v>52.19</v>
      </c>
      <c r="D2467">
        <v>52.19</v>
      </c>
    </row>
    <row r="2468" spans="1:4" x14ac:dyDescent="0.45">
      <c r="A2468">
        <v>59184</v>
      </c>
      <c r="B2468" s="72">
        <v>39372</v>
      </c>
      <c r="C2468">
        <v>52.53</v>
      </c>
      <c r="D2468">
        <v>52.53</v>
      </c>
    </row>
    <row r="2469" spans="1:4" x14ac:dyDescent="0.45">
      <c r="A2469">
        <v>59184</v>
      </c>
      <c r="B2469" s="72">
        <v>39373</v>
      </c>
      <c r="C2469">
        <v>52.59</v>
      </c>
      <c r="D2469">
        <v>52.59</v>
      </c>
    </row>
    <row r="2470" spans="1:4" x14ac:dyDescent="0.45">
      <c r="A2470">
        <v>59184</v>
      </c>
      <c r="B2470" s="72">
        <v>39374</v>
      </c>
      <c r="C2470">
        <v>51.31</v>
      </c>
      <c r="D2470">
        <v>51.31</v>
      </c>
    </row>
    <row r="2471" spans="1:4" x14ac:dyDescent="0.45">
      <c r="A2471">
        <v>59184</v>
      </c>
      <c r="B2471" s="72">
        <v>39377</v>
      </c>
      <c r="C2471">
        <v>51.3</v>
      </c>
      <c r="D2471">
        <v>51.3</v>
      </c>
    </row>
    <row r="2472" spans="1:4" x14ac:dyDescent="0.45">
      <c r="A2472">
        <v>59184</v>
      </c>
      <c r="B2472" s="72">
        <v>39378</v>
      </c>
      <c r="C2472">
        <v>51.55</v>
      </c>
      <c r="D2472">
        <v>51.55</v>
      </c>
    </row>
    <row r="2473" spans="1:4" x14ac:dyDescent="0.45">
      <c r="A2473">
        <v>59184</v>
      </c>
      <c r="B2473" s="72">
        <v>39379</v>
      </c>
      <c r="C2473">
        <v>51.87</v>
      </c>
      <c r="D2473">
        <v>51.87</v>
      </c>
    </row>
    <row r="2474" spans="1:4" x14ac:dyDescent="0.45">
      <c r="A2474">
        <v>59184</v>
      </c>
      <c r="B2474" s="72">
        <v>39380</v>
      </c>
      <c r="C2474">
        <v>52.27</v>
      </c>
      <c r="D2474">
        <v>52.27</v>
      </c>
    </row>
    <row r="2475" spans="1:4" x14ac:dyDescent="0.45">
      <c r="A2475">
        <v>59184</v>
      </c>
      <c r="B2475" s="72">
        <v>39381</v>
      </c>
      <c r="C2475">
        <v>51.8</v>
      </c>
      <c r="D2475">
        <v>51.8</v>
      </c>
    </row>
    <row r="2476" spans="1:4" x14ac:dyDescent="0.45">
      <c r="A2476">
        <v>59184</v>
      </c>
      <c r="B2476" s="72">
        <v>39384</v>
      </c>
      <c r="C2476">
        <v>51.74</v>
      </c>
      <c r="D2476">
        <v>51.74</v>
      </c>
    </row>
    <row r="2477" spans="1:4" x14ac:dyDescent="0.45">
      <c r="A2477">
        <v>59184</v>
      </c>
      <c r="B2477" s="72">
        <v>39385</v>
      </c>
      <c r="C2477">
        <v>51.43</v>
      </c>
      <c r="D2477">
        <v>51.43</v>
      </c>
    </row>
    <row r="2478" spans="1:4" x14ac:dyDescent="0.45">
      <c r="A2478">
        <v>59184</v>
      </c>
      <c r="B2478" s="72">
        <v>39386</v>
      </c>
      <c r="C2478">
        <v>51.28</v>
      </c>
      <c r="D2478">
        <v>51.28</v>
      </c>
    </row>
    <row r="2479" spans="1:4" x14ac:dyDescent="0.45">
      <c r="A2479">
        <v>59184</v>
      </c>
      <c r="B2479" s="72">
        <v>39387</v>
      </c>
      <c r="C2479">
        <v>50.41</v>
      </c>
      <c r="D2479">
        <v>50.41</v>
      </c>
    </row>
    <row r="2480" spans="1:4" x14ac:dyDescent="0.45">
      <c r="A2480">
        <v>59184</v>
      </c>
      <c r="B2480" s="72">
        <v>39388</v>
      </c>
      <c r="C2480">
        <v>50.66</v>
      </c>
      <c r="D2480">
        <v>50.66</v>
      </c>
    </row>
    <row r="2481" spans="1:4" x14ac:dyDescent="0.45">
      <c r="A2481">
        <v>59184</v>
      </c>
      <c r="B2481" s="72">
        <v>39391</v>
      </c>
      <c r="C2481">
        <v>51.08</v>
      </c>
      <c r="D2481">
        <v>51.08</v>
      </c>
    </row>
    <row r="2482" spans="1:4" x14ac:dyDescent="0.45">
      <c r="A2482">
        <v>59184</v>
      </c>
      <c r="B2482" s="72">
        <v>39392</v>
      </c>
      <c r="C2482">
        <v>51.13</v>
      </c>
      <c r="D2482">
        <v>51.13</v>
      </c>
    </row>
    <row r="2483" spans="1:4" x14ac:dyDescent="0.45">
      <c r="A2483">
        <v>59184</v>
      </c>
      <c r="B2483" s="72">
        <v>39393</v>
      </c>
      <c r="C2483">
        <v>50.06</v>
      </c>
      <c r="D2483">
        <v>50.06</v>
      </c>
    </row>
    <row r="2484" spans="1:4" x14ac:dyDescent="0.45">
      <c r="A2484">
        <v>59184</v>
      </c>
      <c r="B2484" s="72">
        <v>39394</v>
      </c>
      <c r="C2484">
        <v>50.48</v>
      </c>
      <c r="D2484">
        <v>50.48</v>
      </c>
    </row>
    <row r="2485" spans="1:4" x14ac:dyDescent="0.45">
      <c r="A2485">
        <v>59184</v>
      </c>
      <c r="B2485" s="72">
        <v>39395</v>
      </c>
      <c r="C2485">
        <v>49.81</v>
      </c>
      <c r="D2485">
        <v>49.81</v>
      </c>
    </row>
    <row r="2486" spans="1:4" x14ac:dyDescent="0.45">
      <c r="A2486">
        <v>59184</v>
      </c>
      <c r="B2486" s="72">
        <v>39398</v>
      </c>
      <c r="C2486">
        <v>49.88</v>
      </c>
      <c r="D2486">
        <v>49.88</v>
      </c>
    </row>
    <row r="2487" spans="1:4" x14ac:dyDescent="0.45">
      <c r="A2487">
        <v>59184</v>
      </c>
      <c r="B2487" s="72">
        <v>39399</v>
      </c>
      <c r="C2487">
        <v>50.3</v>
      </c>
      <c r="D2487">
        <v>50.3</v>
      </c>
    </row>
    <row r="2488" spans="1:4" x14ac:dyDescent="0.45">
      <c r="A2488">
        <v>59184</v>
      </c>
      <c r="B2488" s="72">
        <v>39400</v>
      </c>
      <c r="C2488">
        <v>50.84</v>
      </c>
      <c r="D2488">
        <v>50.84</v>
      </c>
    </row>
    <row r="2489" spans="1:4" x14ac:dyDescent="0.45">
      <c r="A2489">
        <v>59184</v>
      </c>
      <c r="B2489" s="72">
        <v>39401</v>
      </c>
      <c r="C2489">
        <v>49.81</v>
      </c>
      <c r="D2489">
        <v>49.81</v>
      </c>
    </row>
    <row r="2490" spans="1:4" x14ac:dyDescent="0.45">
      <c r="A2490">
        <v>59184</v>
      </c>
      <c r="B2490" s="72">
        <v>39402</v>
      </c>
      <c r="C2490">
        <v>49.74</v>
      </c>
      <c r="D2490">
        <v>49.74</v>
      </c>
    </row>
    <row r="2491" spans="1:4" x14ac:dyDescent="0.45">
      <c r="A2491">
        <v>59184</v>
      </c>
      <c r="B2491" s="72">
        <v>39405</v>
      </c>
      <c r="C2491">
        <v>48.74</v>
      </c>
      <c r="D2491">
        <v>48.74</v>
      </c>
    </row>
    <row r="2492" spans="1:4" x14ac:dyDescent="0.45">
      <c r="A2492">
        <v>59184</v>
      </c>
      <c r="B2492" s="72">
        <v>39406</v>
      </c>
      <c r="C2492">
        <v>49.59</v>
      </c>
      <c r="D2492">
        <v>49.59</v>
      </c>
    </row>
    <row r="2493" spans="1:4" x14ac:dyDescent="0.45">
      <c r="A2493">
        <v>59184</v>
      </c>
      <c r="B2493" s="72">
        <v>39407</v>
      </c>
      <c r="C2493">
        <v>49.24</v>
      </c>
      <c r="D2493">
        <v>49.24</v>
      </c>
    </row>
    <row r="2494" spans="1:4" x14ac:dyDescent="0.45">
      <c r="A2494">
        <v>59184</v>
      </c>
      <c r="B2494" s="72">
        <v>39409</v>
      </c>
      <c r="C2494">
        <v>50.19</v>
      </c>
      <c r="D2494">
        <v>50.19</v>
      </c>
    </row>
    <row r="2495" spans="1:4" x14ac:dyDescent="0.45">
      <c r="A2495">
        <v>59184</v>
      </c>
      <c r="B2495" s="72">
        <v>39412</v>
      </c>
      <c r="C2495">
        <v>49.54</v>
      </c>
      <c r="D2495">
        <v>49.54</v>
      </c>
    </row>
    <row r="2496" spans="1:4" x14ac:dyDescent="0.45">
      <c r="A2496">
        <v>59184</v>
      </c>
      <c r="B2496" s="72">
        <v>39413</v>
      </c>
      <c r="C2496">
        <v>50.64</v>
      </c>
      <c r="D2496">
        <v>50.64</v>
      </c>
    </row>
    <row r="2497" spans="1:4" x14ac:dyDescent="0.45">
      <c r="A2497">
        <v>59184</v>
      </c>
      <c r="B2497" s="72">
        <v>39414</v>
      </c>
      <c r="C2497">
        <v>51.89</v>
      </c>
      <c r="D2497">
        <v>51.89</v>
      </c>
    </row>
    <row r="2498" spans="1:4" x14ac:dyDescent="0.45">
      <c r="A2498">
        <v>59184</v>
      </c>
      <c r="B2498" s="72">
        <v>39415</v>
      </c>
      <c r="C2498">
        <v>51.26</v>
      </c>
      <c r="D2498">
        <v>51.26</v>
      </c>
    </row>
    <row r="2499" spans="1:4" x14ac:dyDescent="0.45">
      <c r="A2499">
        <v>59184</v>
      </c>
      <c r="B2499" s="72">
        <v>39416</v>
      </c>
      <c r="C2499">
        <v>52.72</v>
      </c>
      <c r="D2499">
        <v>52.72</v>
      </c>
    </row>
    <row r="2500" spans="1:4" x14ac:dyDescent="0.45">
      <c r="A2500">
        <v>59184</v>
      </c>
      <c r="B2500" s="72">
        <v>39419</v>
      </c>
      <c r="C2500">
        <v>52.11</v>
      </c>
      <c r="D2500">
        <v>52.11</v>
      </c>
    </row>
    <row r="2501" spans="1:4" x14ac:dyDescent="0.45">
      <c r="A2501">
        <v>59184</v>
      </c>
      <c r="B2501" s="72">
        <v>39420</v>
      </c>
      <c r="C2501">
        <v>52.13</v>
      </c>
      <c r="D2501">
        <v>52.13</v>
      </c>
    </row>
    <row r="2502" spans="1:4" x14ac:dyDescent="0.45">
      <c r="A2502">
        <v>59184</v>
      </c>
      <c r="B2502" s="72">
        <v>39421</v>
      </c>
      <c r="C2502">
        <v>52.32</v>
      </c>
      <c r="D2502">
        <v>52.32</v>
      </c>
    </row>
    <row r="2503" spans="1:4" x14ac:dyDescent="0.45">
      <c r="A2503">
        <v>59184</v>
      </c>
      <c r="B2503" s="72">
        <v>39422</v>
      </c>
      <c r="C2503">
        <v>52.7</v>
      </c>
      <c r="D2503">
        <v>52.7</v>
      </c>
    </row>
    <row r="2504" spans="1:4" x14ac:dyDescent="0.45">
      <c r="A2504">
        <v>59184</v>
      </c>
      <c r="B2504" s="72">
        <v>39423</v>
      </c>
      <c r="C2504">
        <v>52.79</v>
      </c>
      <c r="D2504">
        <v>52.79</v>
      </c>
    </row>
    <row r="2505" spans="1:4" x14ac:dyDescent="0.45">
      <c r="A2505">
        <v>59184</v>
      </c>
      <c r="B2505" s="72">
        <v>39426</v>
      </c>
      <c r="C2505">
        <v>53.38</v>
      </c>
      <c r="D2505">
        <v>53.38</v>
      </c>
    </row>
    <row r="2506" spans="1:4" x14ac:dyDescent="0.45">
      <c r="A2506">
        <v>59184</v>
      </c>
      <c r="B2506" s="72">
        <v>39427</v>
      </c>
      <c r="C2506">
        <v>52.58</v>
      </c>
      <c r="D2506">
        <v>52.58</v>
      </c>
    </row>
    <row r="2507" spans="1:4" x14ac:dyDescent="0.45">
      <c r="A2507">
        <v>59184</v>
      </c>
      <c r="B2507" s="72">
        <v>39428</v>
      </c>
      <c r="C2507">
        <v>53.04</v>
      </c>
      <c r="D2507">
        <v>53.04</v>
      </c>
    </row>
    <row r="2508" spans="1:4" x14ac:dyDescent="0.45">
      <c r="A2508">
        <v>59184</v>
      </c>
      <c r="B2508" s="72">
        <v>39429</v>
      </c>
      <c r="C2508">
        <v>53.49</v>
      </c>
      <c r="D2508">
        <v>53.49</v>
      </c>
    </row>
    <row r="2509" spans="1:4" x14ac:dyDescent="0.45">
      <c r="A2509">
        <v>59184</v>
      </c>
      <c r="B2509" s="72">
        <v>39430</v>
      </c>
      <c r="C2509">
        <v>52.76</v>
      </c>
      <c r="D2509">
        <v>52.76</v>
      </c>
    </row>
    <row r="2510" spans="1:4" x14ac:dyDescent="0.45">
      <c r="A2510">
        <v>59184</v>
      </c>
      <c r="B2510" s="72">
        <v>39433</v>
      </c>
      <c r="C2510">
        <v>52.9</v>
      </c>
      <c r="D2510">
        <v>52.9</v>
      </c>
    </row>
    <row r="2511" spans="1:4" x14ac:dyDescent="0.45">
      <c r="A2511">
        <v>59184</v>
      </c>
      <c r="B2511" s="72">
        <v>39434</v>
      </c>
      <c r="C2511">
        <v>52.85</v>
      </c>
      <c r="D2511">
        <v>52.85</v>
      </c>
    </row>
    <row r="2512" spans="1:4" x14ac:dyDescent="0.45">
      <c r="A2512">
        <v>59184</v>
      </c>
      <c r="B2512" s="72">
        <v>39435</v>
      </c>
      <c r="C2512">
        <v>52.71</v>
      </c>
      <c r="D2512">
        <v>52.71</v>
      </c>
    </row>
    <row r="2513" spans="1:4" x14ac:dyDescent="0.45">
      <c r="A2513">
        <v>59184</v>
      </c>
      <c r="B2513" s="72">
        <v>39436</v>
      </c>
      <c r="C2513">
        <v>52.93</v>
      </c>
      <c r="D2513">
        <v>52.93</v>
      </c>
    </row>
    <row r="2514" spans="1:4" x14ac:dyDescent="0.45">
      <c r="A2514">
        <v>59184</v>
      </c>
      <c r="B2514" s="72">
        <v>39437</v>
      </c>
      <c r="C2514">
        <v>53.44</v>
      </c>
      <c r="D2514">
        <v>53.44</v>
      </c>
    </row>
    <row r="2515" spans="1:4" x14ac:dyDescent="0.45">
      <c r="A2515">
        <v>59184</v>
      </c>
      <c r="B2515" s="72">
        <v>39440</v>
      </c>
      <c r="C2515">
        <v>53.58</v>
      </c>
      <c r="D2515">
        <v>53.58</v>
      </c>
    </row>
    <row r="2516" spans="1:4" x14ac:dyDescent="0.45">
      <c r="A2516">
        <v>59184</v>
      </c>
      <c r="B2516" s="72">
        <v>39442</v>
      </c>
      <c r="C2516">
        <v>53.54</v>
      </c>
      <c r="D2516">
        <v>53.54</v>
      </c>
    </row>
    <row r="2517" spans="1:4" x14ac:dyDescent="0.45">
      <c r="A2517">
        <v>59184</v>
      </c>
      <c r="B2517" s="72">
        <v>39443</v>
      </c>
      <c r="C2517">
        <v>52.96</v>
      </c>
      <c r="D2517">
        <v>52.96</v>
      </c>
    </row>
    <row r="2518" spans="1:4" x14ac:dyDescent="0.45">
      <c r="A2518">
        <v>59184</v>
      </c>
      <c r="B2518" s="72">
        <v>39444</v>
      </c>
      <c r="C2518">
        <v>52.85</v>
      </c>
      <c r="D2518">
        <v>52.85</v>
      </c>
    </row>
    <row r="2519" spans="1:4" x14ac:dyDescent="0.45">
      <c r="A2519">
        <v>59184</v>
      </c>
      <c r="B2519" s="72">
        <v>39447</v>
      </c>
      <c r="C2519">
        <v>52.34</v>
      </c>
      <c r="D2519">
        <v>52.34</v>
      </c>
    </row>
    <row r="2520" spans="1:4" x14ac:dyDescent="0.45">
      <c r="A2520">
        <v>59184</v>
      </c>
      <c r="B2520" s="72">
        <v>39449</v>
      </c>
      <c r="C2520">
        <v>51.63</v>
      </c>
      <c r="D2520">
        <v>51.63</v>
      </c>
    </row>
    <row r="2521" spans="1:4" x14ac:dyDescent="0.45">
      <c r="A2521">
        <v>59184</v>
      </c>
      <c r="B2521" s="72">
        <v>39450</v>
      </c>
      <c r="C2521">
        <v>52.61</v>
      </c>
      <c r="D2521">
        <v>52.61</v>
      </c>
    </row>
    <row r="2522" spans="1:4" x14ac:dyDescent="0.45">
      <c r="A2522">
        <v>59184</v>
      </c>
      <c r="B2522" s="72">
        <v>39451</v>
      </c>
      <c r="C2522">
        <v>51.7</v>
      </c>
      <c r="D2522">
        <v>51.7</v>
      </c>
    </row>
    <row r="2523" spans="1:4" x14ac:dyDescent="0.45">
      <c r="A2523">
        <v>59184</v>
      </c>
      <c r="B2523" s="72">
        <v>39454</v>
      </c>
      <c r="C2523">
        <v>54.15</v>
      </c>
      <c r="D2523">
        <v>54.15</v>
      </c>
    </row>
    <row r="2524" spans="1:4" x14ac:dyDescent="0.45">
      <c r="A2524">
        <v>59184</v>
      </c>
      <c r="B2524" s="72">
        <v>39455</v>
      </c>
      <c r="C2524">
        <v>53.86</v>
      </c>
      <c r="D2524">
        <v>53.86</v>
      </c>
    </row>
    <row r="2525" spans="1:4" x14ac:dyDescent="0.45">
      <c r="A2525">
        <v>59184</v>
      </c>
      <c r="B2525" s="72">
        <v>39456</v>
      </c>
      <c r="C2525">
        <v>53.79</v>
      </c>
      <c r="D2525">
        <v>53.79</v>
      </c>
    </row>
    <row r="2526" spans="1:4" x14ac:dyDescent="0.45">
      <c r="A2526">
        <v>59184</v>
      </c>
      <c r="B2526" s="72">
        <v>39457</v>
      </c>
      <c r="C2526">
        <v>53.61</v>
      </c>
      <c r="D2526">
        <v>53.61</v>
      </c>
    </row>
    <row r="2527" spans="1:4" x14ac:dyDescent="0.45">
      <c r="A2527">
        <v>59184</v>
      </c>
      <c r="B2527" s="72">
        <v>39458</v>
      </c>
      <c r="C2527">
        <v>52.3</v>
      </c>
      <c r="D2527">
        <v>52.3</v>
      </c>
    </row>
    <row r="2528" spans="1:4" x14ac:dyDescent="0.45">
      <c r="A2528">
        <v>59184</v>
      </c>
      <c r="B2528" s="72">
        <v>39461</v>
      </c>
      <c r="C2528">
        <v>52.1</v>
      </c>
      <c r="D2528">
        <v>52.1</v>
      </c>
    </row>
    <row r="2529" spans="1:4" x14ac:dyDescent="0.45">
      <c r="A2529">
        <v>59184</v>
      </c>
      <c r="B2529" s="72">
        <v>39462</v>
      </c>
      <c r="C2529">
        <v>50.9</v>
      </c>
      <c r="D2529">
        <v>50.9</v>
      </c>
    </row>
    <row r="2530" spans="1:4" x14ac:dyDescent="0.45">
      <c r="A2530">
        <v>59184</v>
      </c>
      <c r="B2530" s="72">
        <v>39463</v>
      </c>
      <c r="C2530">
        <v>51.59</v>
      </c>
      <c r="D2530">
        <v>51.59</v>
      </c>
    </row>
    <row r="2531" spans="1:4" x14ac:dyDescent="0.45">
      <c r="A2531">
        <v>59184</v>
      </c>
      <c r="B2531" s="72">
        <v>39464</v>
      </c>
      <c r="C2531">
        <v>49.75</v>
      </c>
      <c r="D2531">
        <v>49.75</v>
      </c>
    </row>
    <row r="2532" spans="1:4" x14ac:dyDescent="0.45">
      <c r="A2532">
        <v>59184</v>
      </c>
      <c r="B2532" s="72">
        <v>39465</v>
      </c>
      <c r="C2532">
        <v>48.76</v>
      </c>
      <c r="D2532">
        <v>48.76</v>
      </c>
    </row>
    <row r="2533" spans="1:4" x14ac:dyDescent="0.45">
      <c r="A2533">
        <v>59184</v>
      </c>
      <c r="B2533" s="72">
        <v>39469</v>
      </c>
      <c r="C2533">
        <v>48.32</v>
      </c>
      <c r="D2533">
        <v>48.32</v>
      </c>
    </row>
    <row r="2534" spans="1:4" x14ac:dyDescent="0.45">
      <c r="A2534">
        <v>59184</v>
      </c>
      <c r="B2534" s="72">
        <v>39470</v>
      </c>
      <c r="C2534">
        <v>48.67</v>
      </c>
      <c r="D2534">
        <v>48.67</v>
      </c>
    </row>
    <row r="2535" spans="1:4" x14ac:dyDescent="0.45">
      <c r="A2535">
        <v>59184</v>
      </c>
      <c r="B2535" s="72">
        <v>39471</v>
      </c>
      <c r="C2535">
        <v>47.63</v>
      </c>
      <c r="D2535">
        <v>47.63</v>
      </c>
    </row>
    <row r="2536" spans="1:4" x14ac:dyDescent="0.45">
      <c r="A2536">
        <v>59184</v>
      </c>
      <c r="B2536" s="72">
        <v>39472</v>
      </c>
      <c r="C2536">
        <v>47.25</v>
      </c>
      <c r="D2536">
        <v>47.25</v>
      </c>
    </row>
    <row r="2537" spans="1:4" x14ac:dyDescent="0.45">
      <c r="A2537">
        <v>59184</v>
      </c>
      <c r="B2537" s="72">
        <v>39475</v>
      </c>
      <c r="C2537">
        <v>48.06</v>
      </c>
      <c r="D2537">
        <v>48.06</v>
      </c>
    </row>
    <row r="2538" spans="1:4" x14ac:dyDescent="0.45">
      <c r="A2538">
        <v>59184</v>
      </c>
      <c r="B2538" s="72">
        <v>39476</v>
      </c>
      <c r="C2538">
        <v>47.29</v>
      </c>
      <c r="D2538">
        <v>47.29</v>
      </c>
    </row>
    <row r="2539" spans="1:4" x14ac:dyDescent="0.45">
      <c r="A2539">
        <v>59184</v>
      </c>
      <c r="B2539" s="72">
        <v>39477</v>
      </c>
      <c r="C2539">
        <v>47.26</v>
      </c>
      <c r="D2539">
        <v>47.26</v>
      </c>
    </row>
    <row r="2540" spans="1:4" x14ac:dyDescent="0.45">
      <c r="A2540">
        <v>59184</v>
      </c>
      <c r="B2540" s="72">
        <v>39478</v>
      </c>
      <c r="C2540">
        <v>46.5</v>
      </c>
      <c r="D2540">
        <v>46.5</v>
      </c>
    </row>
    <row r="2541" spans="1:4" x14ac:dyDescent="0.45">
      <c r="A2541">
        <v>59184</v>
      </c>
      <c r="B2541" s="72">
        <v>39479</v>
      </c>
      <c r="C2541">
        <v>48.06</v>
      </c>
      <c r="D2541">
        <v>48.06</v>
      </c>
    </row>
    <row r="2542" spans="1:4" x14ac:dyDescent="0.45">
      <c r="A2542">
        <v>59184</v>
      </c>
      <c r="B2542" s="72">
        <v>39482</v>
      </c>
      <c r="C2542">
        <v>47.14</v>
      </c>
      <c r="D2542">
        <v>47.14</v>
      </c>
    </row>
    <row r="2543" spans="1:4" x14ac:dyDescent="0.45">
      <c r="A2543">
        <v>59184</v>
      </c>
      <c r="B2543" s="72">
        <v>39483</v>
      </c>
      <c r="C2543">
        <v>47.03</v>
      </c>
      <c r="D2543">
        <v>47.03</v>
      </c>
    </row>
    <row r="2544" spans="1:4" x14ac:dyDescent="0.45">
      <c r="A2544">
        <v>59184</v>
      </c>
      <c r="B2544" s="72">
        <v>39484</v>
      </c>
      <c r="C2544">
        <v>47.2</v>
      </c>
      <c r="D2544">
        <v>47.2</v>
      </c>
    </row>
    <row r="2545" spans="1:4" x14ac:dyDescent="0.45">
      <c r="A2545">
        <v>59184</v>
      </c>
      <c r="B2545" s="72">
        <v>39485</v>
      </c>
      <c r="C2545">
        <v>47.08</v>
      </c>
      <c r="D2545">
        <v>47.08</v>
      </c>
    </row>
    <row r="2546" spans="1:4" x14ac:dyDescent="0.45">
      <c r="A2546">
        <v>59184</v>
      </c>
      <c r="B2546" s="72">
        <v>39486</v>
      </c>
      <c r="C2546">
        <v>46.83</v>
      </c>
      <c r="D2546">
        <v>46.83</v>
      </c>
    </row>
    <row r="2547" spans="1:4" x14ac:dyDescent="0.45">
      <c r="A2547">
        <v>59184</v>
      </c>
      <c r="B2547" s="72">
        <v>39489</v>
      </c>
      <c r="C2547">
        <v>47.32</v>
      </c>
      <c r="D2547">
        <v>47.32</v>
      </c>
    </row>
    <row r="2548" spans="1:4" x14ac:dyDescent="0.45">
      <c r="A2548">
        <v>59184</v>
      </c>
      <c r="B2548" s="72">
        <v>39490</v>
      </c>
      <c r="C2548">
        <v>47.88</v>
      </c>
      <c r="D2548">
        <v>47.88</v>
      </c>
    </row>
    <row r="2549" spans="1:4" x14ac:dyDescent="0.45">
      <c r="A2549">
        <v>59184</v>
      </c>
      <c r="B2549" s="72">
        <v>39491</v>
      </c>
      <c r="C2549">
        <v>48.01</v>
      </c>
      <c r="D2549">
        <v>48.01</v>
      </c>
    </row>
    <row r="2550" spans="1:4" x14ac:dyDescent="0.45">
      <c r="A2550">
        <v>59184</v>
      </c>
      <c r="B2550" s="72">
        <v>39492</v>
      </c>
      <c r="C2550">
        <v>47.84</v>
      </c>
      <c r="D2550">
        <v>47.84</v>
      </c>
    </row>
    <row r="2551" spans="1:4" x14ac:dyDescent="0.45">
      <c r="A2551">
        <v>59184</v>
      </c>
      <c r="B2551" s="72">
        <v>39493</v>
      </c>
      <c r="C2551">
        <v>48.02</v>
      </c>
      <c r="D2551">
        <v>48.02</v>
      </c>
    </row>
    <row r="2552" spans="1:4" x14ac:dyDescent="0.45">
      <c r="A2552">
        <v>59184</v>
      </c>
      <c r="B2552" s="72">
        <v>39497</v>
      </c>
      <c r="C2552">
        <v>48.24</v>
      </c>
      <c r="D2552">
        <v>48.24</v>
      </c>
    </row>
    <row r="2553" spans="1:4" x14ac:dyDescent="0.45">
      <c r="A2553">
        <v>59184</v>
      </c>
      <c r="B2553" s="72">
        <v>39498</v>
      </c>
      <c r="C2553">
        <v>48.05</v>
      </c>
      <c r="D2553">
        <v>48.05</v>
      </c>
    </row>
    <row r="2554" spans="1:4" x14ac:dyDescent="0.45">
      <c r="A2554">
        <v>59184</v>
      </c>
      <c r="B2554" s="72">
        <v>39499</v>
      </c>
      <c r="C2554">
        <v>47.74</v>
      </c>
      <c r="D2554">
        <v>47.74</v>
      </c>
    </row>
    <row r="2555" spans="1:4" x14ac:dyDescent="0.45">
      <c r="A2555">
        <v>59184</v>
      </c>
      <c r="B2555" s="72">
        <v>39500</v>
      </c>
      <c r="C2555">
        <v>47.81</v>
      </c>
      <c r="D2555">
        <v>47.81</v>
      </c>
    </row>
    <row r="2556" spans="1:4" x14ac:dyDescent="0.45">
      <c r="A2556">
        <v>59184</v>
      </c>
      <c r="B2556" s="72">
        <v>39503</v>
      </c>
      <c r="C2556">
        <v>47.7</v>
      </c>
      <c r="D2556">
        <v>47.7</v>
      </c>
    </row>
    <row r="2557" spans="1:4" x14ac:dyDescent="0.45">
      <c r="A2557">
        <v>59184</v>
      </c>
      <c r="B2557" s="72">
        <v>39504</v>
      </c>
      <c r="C2557">
        <v>47.42</v>
      </c>
      <c r="D2557">
        <v>47.42</v>
      </c>
    </row>
    <row r="2558" spans="1:4" x14ac:dyDescent="0.45">
      <c r="A2558">
        <v>59184</v>
      </c>
      <c r="B2558" s="72">
        <v>39505</v>
      </c>
      <c r="C2558">
        <v>47.51</v>
      </c>
      <c r="D2558">
        <v>47.51</v>
      </c>
    </row>
    <row r="2559" spans="1:4" x14ac:dyDescent="0.45">
      <c r="A2559">
        <v>59184</v>
      </c>
      <c r="B2559" s="72">
        <v>39506</v>
      </c>
      <c r="C2559">
        <v>48.2</v>
      </c>
      <c r="D2559">
        <v>48.2</v>
      </c>
    </row>
    <row r="2560" spans="1:4" x14ac:dyDescent="0.45">
      <c r="A2560">
        <v>59184</v>
      </c>
      <c r="B2560" s="72">
        <v>39507</v>
      </c>
      <c r="C2560">
        <v>47.09</v>
      </c>
      <c r="D2560">
        <v>47.09</v>
      </c>
    </row>
    <row r="2561" spans="1:4" x14ac:dyDescent="0.45">
      <c r="A2561">
        <v>59184</v>
      </c>
      <c r="B2561" s="72">
        <v>39510</v>
      </c>
      <c r="C2561">
        <v>46.97</v>
      </c>
      <c r="D2561">
        <v>46.97</v>
      </c>
    </row>
    <row r="2562" spans="1:4" x14ac:dyDescent="0.45">
      <c r="A2562">
        <v>59184</v>
      </c>
      <c r="B2562" s="72">
        <v>39511</v>
      </c>
      <c r="C2562">
        <v>46.77</v>
      </c>
      <c r="D2562">
        <v>46.77</v>
      </c>
    </row>
    <row r="2563" spans="1:4" x14ac:dyDescent="0.45">
      <c r="A2563">
        <v>59184</v>
      </c>
      <c r="B2563" s="72">
        <v>39512</v>
      </c>
      <c r="C2563">
        <v>46.94</v>
      </c>
      <c r="D2563">
        <v>46.94</v>
      </c>
    </row>
    <row r="2564" spans="1:4" x14ac:dyDescent="0.45">
      <c r="A2564">
        <v>59184</v>
      </c>
      <c r="B2564" s="72">
        <v>39513</v>
      </c>
      <c r="C2564">
        <v>46.09</v>
      </c>
      <c r="D2564">
        <v>46.09</v>
      </c>
    </row>
    <row r="2565" spans="1:4" x14ac:dyDescent="0.45">
      <c r="A2565">
        <v>59184</v>
      </c>
      <c r="B2565" s="72">
        <v>39514</v>
      </c>
      <c r="C2565">
        <v>45.72</v>
      </c>
      <c r="D2565">
        <v>45.72</v>
      </c>
    </row>
    <row r="2566" spans="1:4" x14ac:dyDescent="0.45">
      <c r="A2566">
        <v>59184</v>
      </c>
      <c r="B2566" s="72">
        <v>39517</v>
      </c>
      <c r="C2566">
        <v>46.16</v>
      </c>
      <c r="D2566">
        <v>46.16</v>
      </c>
    </row>
    <row r="2567" spans="1:4" x14ac:dyDescent="0.45">
      <c r="A2567">
        <v>59184</v>
      </c>
      <c r="B2567" s="72">
        <v>39518</v>
      </c>
      <c r="C2567">
        <v>47.19</v>
      </c>
      <c r="D2567">
        <v>47.19</v>
      </c>
    </row>
    <row r="2568" spans="1:4" x14ac:dyDescent="0.45">
      <c r="A2568">
        <v>59184</v>
      </c>
      <c r="B2568" s="72">
        <v>39519</v>
      </c>
      <c r="C2568">
        <v>47.01</v>
      </c>
      <c r="D2568">
        <v>47.01</v>
      </c>
    </row>
    <row r="2569" spans="1:4" x14ac:dyDescent="0.45">
      <c r="A2569">
        <v>59184</v>
      </c>
      <c r="B2569" s="72">
        <v>39520</v>
      </c>
      <c r="C2569">
        <v>46.57</v>
      </c>
      <c r="D2569">
        <v>46.57</v>
      </c>
    </row>
    <row r="2570" spans="1:4" x14ac:dyDescent="0.45">
      <c r="A2570">
        <v>59184</v>
      </c>
      <c r="B2570" s="72">
        <v>39521</v>
      </c>
      <c r="C2570">
        <v>46.2</v>
      </c>
      <c r="D2570">
        <v>46.2</v>
      </c>
    </row>
    <row r="2571" spans="1:4" x14ac:dyDescent="0.45">
      <c r="A2571">
        <v>59184</v>
      </c>
      <c r="B2571" s="72">
        <v>39524</v>
      </c>
      <c r="C2571">
        <v>45.83</v>
      </c>
      <c r="D2571">
        <v>45.83</v>
      </c>
    </row>
    <row r="2572" spans="1:4" x14ac:dyDescent="0.45">
      <c r="A2572">
        <v>59184</v>
      </c>
      <c r="B2572" s="72">
        <v>39525</v>
      </c>
      <c r="C2572">
        <v>46.25</v>
      </c>
      <c r="D2572">
        <v>46.25</v>
      </c>
    </row>
    <row r="2573" spans="1:4" x14ac:dyDescent="0.45">
      <c r="A2573">
        <v>59184</v>
      </c>
      <c r="B2573" s="72">
        <v>39526</v>
      </c>
      <c r="C2573">
        <v>45.68</v>
      </c>
      <c r="D2573">
        <v>45.68</v>
      </c>
    </row>
    <row r="2574" spans="1:4" x14ac:dyDescent="0.45">
      <c r="A2574">
        <v>59184</v>
      </c>
      <c r="B2574" s="72">
        <v>39527</v>
      </c>
      <c r="C2574">
        <v>46.02</v>
      </c>
      <c r="D2574">
        <v>46.02</v>
      </c>
    </row>
    <row r="2575" spans="1:4" x14ac:dyDescent="0.45">
      <c r="A2575">
        <v>59184</v>
      </c>
      <c r="B2575" s="72">
        <v>39531</v>
      </c>
      <c r="C2575">
        <v>47.15</v>
      </c>
      <c r="D2575">
        <v>47.15</v>
      </c>
    </row>
    <row r="2576" spans="1:4" x14ac:dyDescent="0.45">
      <c r="A2576">
        <v>59184</v>
      </c>
      <c r="B2576" s="72">
        <v>39532</v>
      </c>
      <c r="C2576">
        <v>48.27</v>
      </c>
      <c r="D2576">
        <v>48.27</v>
      </c>
    </row>
    <row r="2577" spans="1:4" x14ac:dyDescent="0.45">
      <c r="A2577">
        <v>59184</v>
      </c>
      <c r="B2577" s="72">
        <v>39533</v>
      </c>
      <c r="C2577">
        <v>48.26</v>
      </c>
      <c r="D2577">
        <v>48.26</v>
      </c>
    </row>
    <row r="2578" spans="1:4" x14ac:dyDescent="0.45">
      <c r="A2578">
        <v>59184</v>
      </c>
      <c r="B2578" s="72">
        <v>39534</v>
      </c>
      <c r="C2578">
        <v>47.99</v>
      </c>
      <c r="D2578">
        <v>47.99</v>
      </c>
    </row>
    <row r="2579" spans="1:4" x14ac:dyDescent="0.45">
      <c r="A2579">
        <v>59184</v>
      </c>
      <c r="B2579" s="72">
        <v>39535</v>
      </c>
      <c r="C2579">
        <v>48</v>
      </c>
      <c r="D2579">
        <v>48</v>
      </c>
    </row>
    <row r="2580" spans="1:4" x14ac:dyDescent="0.45">
      <c r="A2580">
        <v>59184</v>
      </c>
      <c r="B2580" s="72">
        <v>39538</v>
      </c>
      <c r="C2580">
        <v>47.45</v>
      </c>
      <c r="D2580">
        <v>47.45</v>
      </c>
    </row>
    <row r="2581" spans="1:4" x14ac:dyDescent="0.45">
      <c r="A2581">
        <v>59184</v>
      </c>
      <c r="B2581" s="72">
        <v>39539</v>
      </c>
      <c r="C2581">
        <v>48.39</v>
      </c>
      <c r="D2581">
        <v>48.39</v>
      </c>
    </row>
    <row r="2582" spans="1:4" x14ac:dyDescent="0.45">
      <c r="A2582">
        <v>59184</v>
      </c>
      <c r="B2582" s="72">
        <v>39540</v>
      </c>
      <c r="C2582">
        <v>48.48</v>
      </c>
      <c r="D2582">
        <v>48.48</v>
      </c>
    </row>
    <row r="2583" spans="1:4" x14ac:dyDescent="0.45">
      <c r="A2583">
        <v>59184</v>
      </c>
      <c r="B2583" s="72">
        <v>39541</v>
      </c>
      <c r="C2583">
        <v>48.42</v>
      </c>
      <c r="D2583">
        <v>48.42</v>
      </c>
    </row>
    <row r="2584" spans="1:4" x14ac:dyDescent="0.45">
      <c r="A2584">
        <v>59184</v>
      </c>
      <c r="B2584" s="72">
        <v>39542</v>
      </c>
      <c r="C2584">
        <v>48.49</v>
      </c>
      <c r="D2584">
        <v>48.49</v>
      </c>
    </row>
    <row r="2585" spans="1:4" x14ac:dyDescent="0.45">
      <c r="A2585">
        <v>59184</v>
      </c>
      <c r="B2585" s="72">
        <v>39545</v>
      </c>
      <c r="C2585">
        <v>48.16</v>
      </c>
      <c r="D2585">
        <v>48.16</v>
      </c>
    </row>
    <row r="2586" spans="1:4" x14ac:dyDescent="0.45">
      <c r="A2586">
        <v>59184</v>
      </c>
      <c r="B2586" s="72">
        <v>39546</v>
      </c>
      <c r="C2586">
        <v>48.31</v>
      </c>
      <c r="D2586">
        <v>48.31</v>
      </c>
    </row>
    <row r="2587" spans="1:4" x14ac:dyDescent="0.45">
      <c r="A2587">
        <v>59184</v>
      </c>
      <c r="B2587" s="72">
        <v>39547</v>
      </c>
      <c r="C2587">
        <v>47.87</v>
      </c>
      <c r="D2587">
        <v>47.87</v>
      </c>
    </row>
    <row r="2588" spans="1:4" x14ac:dyDescent="0.45">
      <c r="A2588">
        <v>59184</v>
      </c>
      <c r="B2588" s="72">
        <v>39548</v>
      </c>
      <c r="C2588">
        <v>48.51</v>
      </c>
      <c r="D2588">
        <v>48.51</v>
      </c>
    </row>
    <row r="2589" spans="1:4" x14ac:dyDescent="0.45">
      <c r="A2589">
        <v>59184</v>
      </c>
      <c r="B2589" s="72">
        <v>39549</v>
      </c>
      <c r="C2589">
        <v>48.36</v>
      </c>
      <c r="D2589">
        <v>48.36</v>
      </c>
    </row>
    <row r="2590" spans="1:4" x14ac:dyDescent="0.45">
      <c r="A2590">
        <v>59184</v>
      </c>
      <c r="B2590" s="72">
        <v>39552</v>
      </c>
      <c r="C2590">
        <v>48.04</v>
      </c>
      <c r="D2590">
        <v>48.04</v>
      </c>
    </row>
    <row r="2591" spans="1:4" x14ac:dyDescent="0.45">
      <c r="A2591">
        <v>59184</v>
      </c>
      <c r="B2591" s="72">
        <v>39553</v>
      </c>
      <c r="C2591">
        <v>47.82</v>
      </c>
      <c r="D2591">
        <v>47.82</v>
      </c>
    </row>
    <row r="2592" spans="1:4" x14ac:dyDescent="0.45">
      <c r="A2592">
        <v>59184</v>
      </c>
      <c r="B2592" s="72">
        <v>39554</v>
      </c>
      <c r="C2592">
        <v>48.25</v>
      </c>
      <c r="D2592">
        <v>48.25</v>
      </c>
    </row>
    <row r="2593" spans="1:4" x14ac:dyDescent="0.45">
      <c r="A2593">
        <v>59184</v>
      </c>
      <c r="B2593" s="72">
        <v>39555</v>
      </c>
      <c r="C2593">
        <v>48.31</v>
      </c>
      <c r="D2593">
        <v>48.31</v>
      </c>
    </row>
    <row r="2594" spans="1:4" x14ac:dyDescent="0.45">
      <c r="A2594">
        <v>59184</v>
      </c>
      <c r="B2594" s="72">
        <v>39556</v>
      </c>
      <c r="C2594">
        <v>47.95</v>
      </c>
      <c r="D2594">
        <v>47.95</v>
      </c>
    </row>
    <row r="2595" spans="1:4" x14ac:dyDescent="0.45">
      <c r="A2595">
        <v>59184</v>
      </c>
      <c r="B2595" s="72">
        <v>39559</v>
      </c>
      <c r="C2595">
        <v>48.17</v>
      </c>
      <c r="D2595">
        <v>48.17</v>
      </c>
    </row>
    <row r="2596" spans="1:4" x14ac:dyDescent="0.45">
      <c r="A2596">
        <v>59184</v>
      </c>
      <c r="B2596" s="72">
        <v>39560</v>
      </c>
      <c r="C2596">
        <v>47.4</v>
      </c>
      <c r="D2596">
        <v>47.4</v>
      </c>
    </row>
    <row r="2597" spans="1:4" x14ac:dyDescent="0.45">
      <c r="A2597">
        <v>59184</v>
      </c>
      <c r="B2597" s="72">
        <v>39561</v>
      </c>
      <c r="C2597">
        <v>47.72</v>
      </c>
      <c r="D2597">
        <v>47.72</v>
      </c>
    </row>
    <row r="2598" spans="1:4" x14ac:dyDescent="0.45">
      <c r="A2598">
        <v>59184</v>
      </c>
      <c r="B2598" s="72">
        <v>39562</v>
      </c>
      <c r="C2598">
        <v>47.29</v>
      </c>
      <c r="D2598">
        <v>47.29</v>
      </c>
    </row>
    <row r="2599" spans="1:4" x14ac:dyDescent="0.45">
      <c r="A2599">
        <v>59184</v>
      </c>
      <c r="B2599" s="72">
        <v>39563</v>
      </c>
      <c r="C2599">
        <v>47.15</v>
      </c>
      <c r="D2599">
        <v>47.15</v>
      </c>
    </row>
    <row r="2600" spans="1:4" x14ac:dyDescent="0.45">
      <c r="A2600">
        <v>59184</v>
      </c>
      <c r="B2600" s="72">
        <v>39566</v>
      </c>
      <c r="C2600">
        <v>48.63</v>
      </c>
      <c r="D2600">
        <v>48.63</v>
      </c>
    </row>
    <row r="2601" spans="1:4" x14ac:dyDescent="0.45">
      <c r="A2601">
        <v>59184</v>
      </c>
      <c r="B2601" s="72">
        <v>39567</v>
      </c>
      <c r="C2601">
        <v>49.41</v>
      </c>
      <c r="D2601">
        <v>49.41</v>
      </c>
    </row>
    <row r="2602" spans="1:4" x14ac:dyDescent="0.45">
      <c r="A2602">
        <v>59184</v>
      </c>
      <c r="B2602" s="72">
        <v>39568</v>
      </c>
      <c r="C2602">
        <v>49.2</v>
      </c>
      <c r="D2602">
        <v>49.2</v>
      </c>
    </row>
    <row r="2603" spans="1:4" x14ac:dyDescent="0.45">
      <c r="A2603">
        <v>59184</v>
      </c>
      <c r="B2603" s="72">
        <v>39569</v>
      </c>
      <c r="C2603">
        <v>49.69</v>
      </c>
      <c r="D2603">
        <v>49.69</v>
      </c>
    </row>
    <row r="2604" spans="1:4" x14ac:dyDescent="0.45">
      <c r="A2604">
        <v>59184</v>
      </c>
      <c r="B2604" s="72">
        <v>39570</v>
      </c>
      <c r="C2604">
        <v>50.28</v>
      </c>
      <c r="D2604">
        <v>50.28</v>
      </c>
    </row>
    <row r="2605" spans="1:4" x14ac:dyDescent="0.45">
      <c r="A2605">
        <v>59184</v>
      </c>
      <c r="B2605" s="72">
        <v>39573</v>
      </c>
      <c r="C2605">
        <v>51.41</v>
      </c>
      <c r="D2605">
        <v>51.41</v>
      </c>
    </row>
    <row r="2606" spans="1:4" x14ac:dyDescent="0.45">
      <c r="A2606">
        <v>59184</v>
      </c>
      <c r="B2606" s="72">
        <v>39574</v>
      </c>
      <c r="C2606">
        <v>52.04</v>
      </c>
      <c r="D2606">
        <v>52.04</v>
      </c>
    </row>
    <row r="2607" spans="1:4" x14ac:dyDescent="0.45">
      <c r="A2607">
        <v>59184</v>
      </c>
      <c r="B2607" s="72">
        <v>39575</v>
      </c>
      <c r="C2607">
        <v>50.71</v>
      </c>
      <c r="D2607">
        <v>50.71</v>
      </c>
    </row>
    <row r="2608" spans="1:4" x14ac:dyDescent="0.45">
      <c r="A2608">
        <v>59184</v>
      </c>
      <c r="B2608" s="72">
        <v>39576</v>
      </c>
      <c r="C2608">
        <v>51.12</v>
      </c>
      <c r="D2608">
        <v>51.12</v>
      </c>
    </row>
    <row r="2609" spans="1:4" x14ac:dyDescent="0.45">
      <c r="A2609">
        <v>59184</v>
      </c>
      <c r="B2609" s="72">
        <v>39577</v>
      </c>
      <c r="C2609">
        <v>50.93</v>
      </c>
      <c r="D2609">
        <v>50.93</v>
      </c>
    </row>
    <row r="2610" spans="1:4" x14ac:dyDescent="0.45">
      <c r="A2610">
        <v>59184</v>
      </c>
      <c r="B2610" s="72">
        <v>39580</v>
      </c>
      <c r="C2610">
        <v>51.61</v>
      </c>
      <c r="D2610">
        <v>51.61</v>
      </c>
    </row>
    <row r="2611" spans="1:4" x14ac:dyDescent="0.45">
      <c r="A2611">
        <v>59184</v>
      </c>
      <c r="B2611" s="72">
        <v>39581</v>
      </c>
      <c r="C2611">
        <v>52.05</v>
      </c>
      <c r="D2611">
        <v>52.05</v>
      </c>
    </row>
    <row r="2612" spans="1:4" x14ac:dyDescent="0.45">
      <c r="A2612">
        <v>59184</v>
      </c>
      <c r="B2612" s="72">
        <v>39582</v>
      </c>
      <c r="C2612">
        <v>51.43</v>
      </c>
      <c r="D2612">
        <v>51.43</v>
      </c>
    </row>
    <row r="2613" spans="1:4" x14ac:dyDescent="0.45">
      <c r="A2613">
        <v>59184</v>
      </c>
      <c r="B2613" s="72">
        <v>39583</v>
      </c>
      <c r="C2613">
        <v>51.81</v>
      </c>
      <c r="D2613">
        <v>51.81</v>
      </c>
    </row>
    <row r="2614" spans="1:4" x14ac:dyDescent="0.45">
      <c r="A2614">
        <v>59184</v>
      </c>
      <c r="B2614" s="72">
        <v>39584</v>
      </c>
      <c r="C2614">
        <v>51.73</v>
      </c>
      <c r="D2614">
        <v>51.73</v>
      </c>
    </row>
    <row r="2615" spans="1:4" x14ac:dyDescent="0.45">
      <c r="A2615">
        <v>59184</v>
      </c>
      <c r="B2615" s="72">
        <v>39587</v>
      </c>
      <c r="C2615">
        <v>50.55</v>
      </c>
      <c r="D2615">
        <v>50.55</v>
      </c>
    </row>
    <row r="2616" spans="1:4" x14ac:dyDescent="0.45">
      <c r="A2616">
        <v>59184</v>
      </c>
      <c r="B2616" s="72">
        <v>39588</v>
      </c>
      <c r="C2616">
        <v>50.65</v>
      </c>
      <c r="D2616">
        <v>50.65</v>
      </c>
    </row>
    <row r="2617" spans="1:4" x14ac:dyDescent="0.45">
      <c r="A2617">
        <v>59184</v>
      </c>
      <c r="B2617" s="72">
        <v>39589</v>
      </c>
      <c r="C2617">
        <v>52.65</v>
      </c>
      <c r="D2617">
        <v>52.65</v>
      </c>
    </row>
    <row r="2618" spans="1:4" x14ac:dyDescent="0.45">
      <c r="A2618">
        <v>59184</v>
      </c>
      <c r="B2618" s="72">
        <v>39590</v>
      </c>
      <c r="C2618">
        <v>52.58</v>
      </c>
      <c r="D2618">
        <v>52.58</v>
      </c>
    </row>
    <row r="2619" spans="1:4" x14ac:dyDescent="0.45">
      <c r="A2619">
        <v>59184</v>
      </c>
      <c r="B2619" s="72">
        <v>39591</v>
      </c>
      <c r="C2619">
        <v>56.61</v>
      </c>
      <c r="D2619">
        <v>56.61</v>
      </c>
    </row>
    <row r="2620" spans="1:4" x14ac:dyDescent="0.45">
      <c r="A2620">
        <v>59184</v>
      </c>
      <c r="B2620" s="72">
        <v>39595</v>
      </c>
      <c r="C2620">
        <v>56.75</v>
      </c>
      <c r="D2620">
        <v>56.75</v>
      </c>
    </row>
    <row r="2621" spans="1:4" x14ac:dyDescent="0.45">
      <c r="A2621">
        <v>59184</v>
      </c>
      <c r="B2621" s="72">
        <v>39596</v>
      </c>
      <c r="C2621">
        <v>55.13</v>
      </c>
      <c r="D2621">
        <v>55.13</v>
      </c>
    </row>
    <row r="2622" spans="1:4" x14ac:dyDescent="0.45">
      <c r="A2622">
        <v>59184</v>
      </c>
      <c r="B2622" s="72">
        <v>39597</v>
      </c>
      <c r="C2622">
        <v>56.55</v>
      </c>
      <c r="D2622">
        <v>56.55</v>
      </c>
    </row>
    <row r="2623" spans="1:4" x14ac:dyDescent="0.45">
      <c r="A2623">
        <v>59184</v>
      </c>
      <c r="B2623" s="72">
        <v>39598</v>
      </c>
      <c r="C2623">
        <v>57.46</v>
      </c>
      <c r="D2623">
        <v>57.46</v>
      </c>
    </row>
    <row r="2624" spans="1:4" x14ac:dyDescent="0.45">
      <c r="A2624">
        <v>59184</v>
      </c>
      <c r="B2624" s="72">
        <v>39601</v>
      </c>
      <c r="C2624">
        <v>57.78</v>
      </c>
      <c r="D2624">
        <v>57.78</v>
      </c>
    </row>
    <row r="2625" spans="1:4" x14ac:dyDescent="0.45">
      <c r="A2625">
        <v>59184</v>
      </c>
      <c r="B2625" s="72">
        <v>39602</v>
      </c>
      <c r="C2625">
        <v>56.94</v>
      </c>
      <c r="D2625">
        <v>56.94</v>
      </c>
    </row>
    <row r="2626" spans="1:4" x14ac:dyDescent="0.45">
      <c r="A2626">
        <v>59184</v>
      </c>
      <c r="B2626" s="72">
        <v>39603</v>
      </c>
      <c r="C2626">
        <v>56.77</v>
      </c>
      <c r="D2626">
        <v>56.77</v>
      </c>
    </row>
    <row r="2627" spans="1:4" x14ac:dyDescent="0.45">
      <c r="A2627">
        <v>59184</v>
      </c>
      <c r="B2627" s="72">
        <v>39604</v>
      </c>
      <c r="C2627">
        <v>57.75</v>
      </c>
      <c r="D2627">
        <v>57.75</v>
      </c>
    </row>
    <row r="2628" spans="1:4" x14ac:dyDescent="0.45">
      <c r="A2628">
        <v>59184</v>
      </c>
      <c r="B2628" s="72">
        <v>39605</v>
      </c>
      <c r="C2628">
        <v>57.28</v>
      </c>
      <c r="D2628">
        <v>57.28</v>
      </c>
    </row>
    <row r="2629" spans="1:4" x14ac:dyDescent="0.45">
      <c r="A2629">
        <v>59184</v>
      </c>
      <c r="B2629" s="72">
        <v>39608</v>
      </c>
      <c r="C2629">
        <v>57.54</v>
      </c>
      <c r="D2629">
        <v>57.54</v>
      </c>
    </row>
    <row r="2630" spans="1:4" x14ac:dyDescent="0.45">
      <c r="A2630">
        <v>59184</v>
      </c>
      <c r="B2630" s="72">
        <v>39609</v>
      </c>
      <c r="C2630">
        <v>57.15</v>
      </c>
      <c r="D2630">
        <v>57.15</v>
      </c>
    </row>
    <row r="2631" spans="1:4" x14ac:dyDescent="0.45">
      <c r="A2631">
        <v>59184</v>
      </c>
      <c r="B2631" s="72">
        <v>39610</v>
      </c>
      <c r="C2631">
        <v>58.35</v>
      </c>
      <c r="D2631">
        <v>58.35</v>
      </c>
    </row>
    <row r="2632" spans="1:4" x14ac:dyDescent="0.45">
      <c r="A2632">
        <v>59184</v>
      </c>
      <c r="B2632" s="72">
        <v>39611</v>
      </c>
      <c r="C2632">
        <v>61.4</v>
      </c>
      <c r="D2632">
        <v>61.4</v>
      </c>
    </row>
    <row r="2633" spans="1:4" x14ac:dyDescent="0.45">
      <c r="A2633">
        <v>59184</v>
      </c>
      <c r="B2633" s="72">
        <v>39612</v>
      </c>
      <c r="C2633">
        <v>61.12</v>
      </c>
      <c r="D2633">
        <v>61.12</v>
      </c>
    </row>
    <row r="2634" spans="1:4" x14ac:dyDescent="0.45">
      <c r="A2634">
        <v>59184</v>
      </c>
      <c r="B2634" s="72">
        <v>39615</v>
      </c>
      <c r="C2634">
        <v>60.53</v>
      </c>
      <c r="D2634">
        <v>60.53</v>
      </c>
    </row>
    <row r="2635" spans="1:4" x14ac:dyDescent="0.45">
      <c r="A2635">
        <v>59184</v>
      </c>
      <c r="B2635" s="72">
        <v>39616</v>
      </c>
      <c r="C2635">
        <v>61.2</v>
      </c>
      <c r="D2635">
        <v>61.2</v>
      </c>
    </row>
    <row r="2636" spans="1:4" x14ac:dyDescent="0.45">
      <c r="A2636">
        <v>59184</v>
      </c>
      <c r="B2636" s="72">
        <v>39617</v>
      </c>
      <c r="C2636">
        <v>61.9</v>
      </c>
      <c r="D2636">
        <v>61.9</v>
      </c>
    </row>
    <row r="2637" spans="1:4" x14ac:dyDescent="0.45">
      <c r="A2637">
        <v>59184</v>
      </c>
      <c r="B2637" s="72">
        <v>39618</v>
      </c>
      <c r="C2637">
        <v>61.05</v>
      </c>
      <c r="D2637">
        <v>61.05</v>
      </c>
    </row>
    <row r="2638" spans="1:4" x14ac:dyDescent="0.45">
      <c r="A2638">
        <v>59184</v>
      </c>
      <c r="B2638" s="72">
        <v>39619</v>
      </c>
      <c r="C2638">
        <v>60.67</v>
      </c>
      <c r="D2638">
        <v>60.67</v>
      </c>
    </row>
    <row r="2639" spans="1:4" x14ac:dyDescent="0.45">
      <c r="A2639">
        <v>59184</v>
      </c>
      <c r="B2639" s="72">
        <v>39622</v>
      </c>
      <c r="C2639">
        <v>60.9</v>
      </c>
      <c r="D2639">
        <v>60.9</v>
      </c>
    </row>
    <row r="2640" spans="1:4" x14ac:dyDescent="0.45">
      <c r="A2640">
        <v>59184</v>
      </c>
      <c r="B2640" s="72">
        <v>39623</v>
      </c>
      <c r="C2640">
        <v>61.13</v>
      </c>
      <c r="D2640">
        <v>61.13</v>
      </c>
    </row>
    <row r="2641" spans="1:4" x14ac:dyDescent="0.45">
      <c r="A2641">
        <v>59184</v>
      </c>
      <c r="B2641" s="72">
        <v>39624</v>
      </c>
      <c r="C2641">
        <v>61.76</v>
      </c>
      <c r="D2641">
        <v>61.76</v>
      </c>
    </row>
    <row r="2642" spans="1:4" x14ac:dyDescent="0.45">
      <c r="A2642">
        <v>59184</v>
      </c>
      <c r="B2642" s="72">
        <v>39625</v>
      </c>
      <c r="C2642">
        <v>61.35</v>
      </c>
      <c r="D2642">
        <v>61.35</v>
      </c>
    </row>
    <row r="2643" spans="1:4" x14ac:dyDescent="0.45">
      <c r="A2643">
        <v>59184</v>
      </c>
      <c r="B2643" s="72">
        <v>39626</v>
      </c>
      <c r="C2643">
        <v>62.26</v>
      </c>
      <c r="D2643">
        <v>62.26</v>
      </c>
    </row>
    <row r="2644" spans="1:4" x14ac:dyDescent="0.45">
      <c r="A2644">
        <v>59184</v>
      </c>
      <c r="B2644" s="72">
        <v>39629</v>
      </c>
      <c r="C2644">
        <v>62.12</v>
      </c>
      <c r="D2644">
        <v>62.12</v>
      </c>
    </row>
    <row r="2645" spans="1:4" x14ac:dyDescent="0.45">
      <c r="A2645">
        <v>59184</v>
      </c>
      <c r="B2645" s="72">
        <v>39630</v>
      </c>
      <c r="C2645">
        <v>61.94</v>
      </c>
      <c r="D2645">
        <v>61.94</v>
      </c>
    </row>
    <row r="2646" spans="1:4" x14ac:dyDescent="0.45">
      <c r="A2646">
        <v>59184</v>
      </c>
      <c r="B2646" s="72">
        <v>39631</v>
      </c>
      <c r="C2646">
        <v>61.68</v>
      </c>
      <c r="D2646">
        <v>61.68</v>
      </c>
    </row>
    <row r="2647" spans="1:4" x14ac:dyDescent="0.45">
      <c r="A2647">
        <v>59184</v>
      </c>
      <c r="B2647" s="72">
        <v>39632</v>
      </c>
      <c r="C2647">
        <v>61.67</v>
      </c>
      <c r="D2647">
        <v>61.67</v>
      </c>
    </row>
    <row r="2648" spans="1:4" x14ac:dyDescent="0.45">
      <c r="A2648">
        <v>59184</v>
      </c>
      <c r="B2648" s="72">
        <v>39636</v>
      </c>
      <c r="C2648">
        <v>61.74</v>
      </c>
      <c r="D2648">
        <v>61.74</v>
      </c>
    </row>
    <row r="2649" spans="1:4" x14ac:dyDescent="0.45">
      <c r="A2649">
        <v>59184</v>
      </c>
      <c r="B2649" s="72">
        <v>39637</v>
      </c>
      <c r="C2649">
        <v>61.76</v>
      </c>
      <c r="D2649">
        <v>61.76</v>
      </c>
    </row>
    <row r="2650" spans="1:4" x14ac:dyDescent="0.45">
      <c r="A2650">
        <v>59184</v>
      </c>
      <c r="B2650" s="72">
        <v>39638</v>
      </c>
      <c r="C2650">
        <v>61.3</v>
      </c>
      <c r="D2650">
        <v>61.3</v>
      </c>
    </row>
    <row r="2651" spans="1:4" x14ac:dyDescent="0.45">
      <c r="A2651">
        <v>59184</v>
      </c>
      <c r="B2651" s="72">
        <v>39639</v>
      </c>
      <c r="C2651">
        <v>61.21</v>
      </c>
      <c r="D2651">
        <v>61.21</v>
      </c>
    </row>
    <row r="2652" spans="1:4" x14ac:dyDescent="0.45">
      <c r="A2652">
        <v>59184</v>
      </c>
      <c r="B2652" s="72">
        <v>39640</v>
      </c>
      <c r="C2652">
        <v>66.5</v>
      </c>
      <c r="D2652">
        <v>66.5</v>
      </c>
    </row>
    <row r="2653" spans="1:4" x14ac:dyDescent="0.45">
      <c r="A2653">
        <v>59184</v>
      </c>
      <c r="B2653" s="72">
        <v>39643</v>
      </c>
      <c r="C2653">
        <v>66.87</v>
      </c>
      <c r="D2653">
        <v>66.87</v>
      </c>
    </row>
    <row r="2654" spans="1:4" x14ac:dyDescent="0.45">
      <c r="A2654">
        <v>59184</v>
      </c>
      <c r="B2654" s="72">
        <v>39644</v>
      </c>
      <c r="C2654">
        <v>66.599999999999994</v>
      </c>
      <c r="D2654">
        <v>66.599999999999994</v>
      </c>
    </row>
    <row r="2655" spans="1:4" x14ac:dyDescent="0.45">
      <c r="A2655">
        <v>59184</v>
      </c>
      <c r="B2655" s="72">
        <v>39645</v>
      </c>
      <c r="C2655">
        <v>66.95</v>
      </c>
      <c r="D2655">
        <v>66.95</v>
      </c>
    </row>
    <row r="2656" spans="1:4" x14ac:dyDescent="0.45">
      <c r="A2656">
        <v>59184</v>
      </c>
      <c r="B2656" s="72">
        <v>39646</v>
      </c>
      <c r="C2656">
        <v>67.05</v>
      </c>
      <c r="D2656">
        <v>67.05</v>
      </c>
    </row>
    <row r="2657" spans="1:4" x14ac:dyDescent="0.45">
      <c r="A2657">
        <v>59184</v>
      </c>
      <c r="B2657" s="72">
        <v>39647</v>
      </c>
      <c r="C2657">
        <v>67.11</v>
      </c>
      <c r="D2657">
        <v>67.11</v>
      </c>
    </row>
    <row r="2658" spans="1:4" x14ac:dyDescent="0.45">
      <c r="A2658">
        <v>59184</v>
      </c>
      <c r="B2658" s="72">
        <v>39650</v>
      </c>
      <c r="C2658">
        <v>67.37</v>
      </c>
      <c r="D2658">
        <v>67.37</v>
      </c>
    </row>
    <row r="2659" spans="1:4" x14ac:dyDescent="0.45">
      <c r="A2659">
        <v>59184</v>
      </c>
      <c r="B2659" s="72">
        <v>39651</v>
      </c>
      <c r="C2659">
        <v>67.25</v>
      </c>
      <c r="D2659">
        <v>67.25</v>
      </c>
    </row>
    <row r="2660" spans="1:4" x14ac:dyDescent="0.45">
      <c r="A2660">
        <v>59184</v>
      </c>
      <c r="B2660" s="72">
        <v>39652</v>
      </c>
      <c r="C2660">
        <v>67.36</v>
      </c>
      <c r="D2660">
        <v>67.36</v>
      </c>
    </row>
    <row r="2661" spans="1:4" x14ac:dyDescent="0.45">
      <c r="A2661">
        <v>59184</v>
      </c>
      <c r="B2661" s="72">
        <v>39653</v>
      </c>
      <c r="C2661">
        <v>67.45</v>
      </c>
      <c r="D2661">
        <v>67.45</v>
      </c>
    </row>
    <row r="2662" spans="1:4" x14ac:dyDescent="0.45">
      <c r="A2662">
        <v>59184</v>
      </c>
      <c r="B2662" s="72">
        <v>39654</v>
      </c>
      <c r="C2662">
        <v>67.58</v>
      </c>
      <c r="D2662">
        <v>67.58</v>
      </c>
    </row>
    <row r="2663" spans="1:4" x14ac:dyDescent="0.45">
      <c r="A2663">
        <v>59184</v>
      </c>
      <c r="B2663" s="72">
        <v>39657</v>
      </c>
      <c r="C2663">
        <v>67.569999999999993</v>
      </c>
      <c r="D2663">
        <v>67.569999999999993</v>
      </c>
    </row>
    <row r="2664" spans="1:4" x14ac:dyDescent="0.45">
      <c r="A2664">
        <v>59184</v>
      </c>
      <c r="B2664" s="72">
        <v>39658</v>
      </c>
      <c r="C2664">
        <v>67.849999999999994</v>
      </c>
      <c r="D2664">
        <v>67.849999999999994</v>
      </c>
    </row>
    <row r="2665" spans="1:4" x14ac:dyDescent="0.45">
      <c r="A2665">
        <v>59184</v>
      </c>
      <c r="B2665" s="72">
        <v>39659</v>
      </c>
      <c r="C2665">
        <v>67.77</v>
      </c>
      <c r="D2665">
        <v>67.77</v>
      </c>
    </row>
    <row r="2666" spans="1:4" x14ac:dyDescent="0.45">
      <c r="A2666">
        <v>59184</v>
      </c>
      <c r="B2666" s="72">
        <v>39660</v>
      </c>
      <c r="C2666">
        <v>67.760000000000005</v>
      </c>
      <c r="D2666">
        <v>67.760000000000005</v>
      </c>
    </row>
    <row r="2667" spans="1:4" x14ac:dyDescent="0.45">
      <c r="A2667">
        <v>59184</v>
      </c>
      <c r="B2667" s="72">
        <v>39661</v>
      </c>
      <c r="C2667">
        <v>67.77</v>
      </c>
      <c r="D2667">
        <v>67.77</v>
      </c>
    </row>
    <row r="2668" spans="1:4" x14ac:dyDescent="0.45">
      <c r="A2668">
        <v>59184</v>
      </c>
      <c r="B2668" s="72">
        <v>39664</v>
      </c>
      <c r="C2668">
        <v>68.05</v>
      </c>
      <c r="D2668">
        <v>68.05</v>
      </c>
    </row>
    <row r="2669" spans="1:4" x14ac:dyDescent="0.45">
      <c r="A2669">
        <v>59184</v>
      </c>
      <c r="B2669" s="72">
        <v>39665</v>
      </c>
      <c r="C2669">
        <v>68.239999999999995</v>
      </c>
      <c r="D2669">
        <v>68.239999999999995</v>
      </c>
    </row>
    <row r="2670" spans="1:4" x14ac:dyDescent="0.45">
      <c r="A2670">
        <v>59184</v>
      </c>
      <c r="B2670" s="72">
        <v>39666</v>
      </c>
      <c r="C2670">
        <v>68.430000000000007</v>
      </c>
      <c r="D2670">
        <v>68.430000000000007</v>
      </c>
    </row>
    <row r="2671" spans="1:4" x14ac:dyDescent="0.45">
      <c r="A2671">
        <v>59184</v>
      </c>
      <c r="B2671" s="72">
        <v>39667</v>
      </c>
      <c r="C2671">
        <v>68.16</v>
      </c>
      <c r="D2671">
        <v>68.16</v>
      </c>
    </row>
    <row r="2672" spans="1:4" x14ac:dyDescent="0.45">
      <c r="A2672">
        <v>59184</v>
      </c>
      <c r="B2672" s="72">
        <v>39668</v>
      </c>
      <c r="C2672">
        <v>68.11</v>
      </c>
      <c r="D2672">
        <v>68.11</v>
      </c>
    </row>
    <row r="2673" spans="1:4" x14ac:dyDescent="0.45">
      <c r="A2673">
        <v>59184</v>
      </c>
      <c r="B2673" s="72">
        <v>39671</v>
      </c>
      <c r="C2673">
        <v>68</v>
      </c>
      <c r="D2673">
        <v>68</v>
      </c>
    </row>
    <row r="2674" spans="1:4" x14ac:dyDescent="0.45">
      <c r="A2674">
        <v>59184</v>
      </c>
      <c r="B2674" s="72">
        <v>39672</v>
      </c>
      <c r="C2674">
        <v>67.92</v>
      </c>
      <c r="D2674">
        <v>67.92</v>
      </c>
    </row>
    <row r="2675" spans="1:4" x14ac:dyDescent="0.45">
      <c r="A2675">
        <v>59184</v>
      </c>
      <c r="B2675" s="72">
        <v>39673</v>
      </c>
      <c r="C2675">
        <v>68</v>
      </c>
      <c r="D2675">
        <v>68</v>
      </c>
    </row>
    <row r="2676" spans="1:4" x14ac:dyDescent="0.45">
      <c r="A2676">
        <v>59184</v>
      </c>
      <c r="B2676" s="72">
        <v>39674</v>
      </c>
      <c r="C2676">
        <v>68.02</v>
      </c>
      <c r="D2676">
        <v>68.02</v>
      </c>
    </row>
    <row r="2677" spans="1:4" x14ac:dyDescent="0.45">
      <c r="A2677">
        <v>59184</v>
      </c>
      <c r="B2677" s="72">
        <v>39675</v>
      </c>
      <c r="C2677">
        <v>68.19</v>
      </c>
      <c r="D2677">
        <v>68.19</v>
      </c>
    </row>
    <row r="2678" spans="1:4" x14ac:dyDescent="0.45">
      <c r="A2678">
        <v>59184</v>
      </c>
      <c r="B2678" s="72">
        <v>39678</v>
      </c>
      <c r="C2678">
        <v>67.819999999999993</v>
      </c>
      <c r="D2678">
        <v>67.819999999999993</v>
      </c>
    </row>
    <row r="2679" spans="1:4" x14ac:dyDescent="0.45">
      <c r="A2679">
        <v>59184</v>
      </c>
      <c r="B2679" s="72">
        <v>39679</v>
      </c>
      <c r="C2679">
        <v>67.77</v>
      </c>
      <c r="D2679">
        <v>67.77</v>
      </c>
    </row>
    <row r="2680" spans="1:4" x14ac:dyDescent="0.45">
      <c r="A2680">
        <v>59184</v>
      </c>
      <c r="B2680" s="72">
        <v>39680</v>
      </c>
      <c r="C2680">
        <v>67.75</v>
      </c>
      <c r="D2680">
        <v>67.75</v>
      </c>
    </row>
    <row r="2681" spans="1:4" x14ac:dyDescent="0.45">
      <c r="A2681">
        <v>59184</v>
      </c>
      <c r="B2681" s="72">
        <v>39681</v>
      </c>
      <c r="C2681">
        <v>67.760000000000005</v>
      </c>
      <c r="D2681">
        <v>67.760000000000005</v>
      </c>
    </row>
    <row r="2682" spans="1:4" x14ac:dyDescent="0.45">
      <c r="A2682">
        <v>59184</v>
      </c>
      <c r="B2682" s="72">
        <v>39682</v>
      </c>
      <c r="C2682">
        <v>67.790000000000006</v>
      </c>
      <c r="D2682">
        <v>67.790000000000006</v>
      </c>
    </row>
    <row r="2683" spans="1:4" x14ac:dyDescent="0.45">
      <c r="A2683">
        <v>59184</v>
      </c>
      <c r="B2683" s="72">
        <v>39685</v>
      </c>
      <c r="C2683">
        <v>67.650000000000006</v>
      </c>
      <c r="D2683">
        <v>67.650000000000006</v>
      </c>
    </row>
    <row r="2684" spans="1:4" x14ac:dyDescent="0.45">
      <c r="A2684">
        <v>59184</v>
      </c>
      <c r="B2684" s="72">
        <v>39686</v>
      </c>
      <c r="C2684">
        <v>67.75</v>
      </c>
      <c r="D2684">
        <v>67.75</v>
      </c>
    </row>
    <row r="2685" spans="1:4" x14ac:dyDescent="0.45">
      <c r="A2685">
        <v>59184</v>
      </c>
      <c r="B2685" s="72">
        <v>39687</v>
      </c>
      <c r="C2685">
        <v>67.87</v>
      </c>
      <c r="D2685">
        <v>67.87</v>
      </c>
    </row>
    <row r="2686" spans="1:4" x14ac:dyDescent="0.45">
      <c r="A2686">
        <v>59184</v>
      </c>
      <c r="B2686" s="72">
        <v>39688</v>
      </c>
      <c r="C2686">
        <v>68</v>
      </c>
      <c r="D2686">
        <v>68</v>
      </c>
    </row>
    <row r="2687" spans="1:4" x14ac:dyDescent="0.45">
      <c r="A2687">
        <v>59184</v>
      </c>
      <c r="B2687" s="72">
        <v>39689</v>
      </c>
      <c r="C2687">
        <v>67.86</v>
      </c>
      <c r="D2687">
        <v>67.86</v>
      </c>
    </row>
    <row r="2688" spans="1:4" x14ac:dyDescent="0.45">
      <c r="A2688">
        <v>59184</v>
      </c>
      <c r="B2688" s="72">
        <v>39693</v>
      </c>
      <c r="C2688">
        <v>68.03</v>
      </c>
      <c r="D2688">
        <v>68.03</v>
      </c>
    </row>
    <row r="2689" spans="1:4" x14ac:dyDescent="0.45">
      <c r="A2689">
        <v>59184</v>
      </c>
      <c r="B2689" s="72">
        <v>39694</v>
      </c>
      <c r="C2689">
        <v>68.25</v>
      </c>
      <c r="D2689">
        <v>68.25</v>
      </c>
    </row>
    <row r="2690" spans="1:4" x14ac:dyDescent="0.45">
      <c r="A2690">
        <v>59184</v>
      </c>
      <c r="B2690" s="72">
        <v>39695</v>
      </c>
      <c r="C2690">
        <v>68</v>
      </c>
      <c r="D2690">
        <v>68</v>
      </c>
    </row>
    <row r="2691" spans="1:4" x14ac:dyDescent="0.45">
      <c r="A2691">
        <v>59184</v>
      </c>
      <c r="B2691" s="72">
        <v>39696</v>
      </c>
      <c r="C2691">
        <v>68.180000000000007</v>
      </c>
      <c r="D2691">
        <v>68.180000000000007</v>
      </c>
    </row>
    <row r="2692" spans="1:4" x14ac:dyDescent="0.45">
      <c r="A2692">
        <v>59184</v>
      </c>
      <c r="B2692" s="72">
        <v>39699</v>
      </c>
      <c r="C2692">
        <v>68.069999999999993</v>
      </c>
      <c r="D2692">
        <v>68.069999999999993</v>
      </c>
    </row>
    <row r="2693" spans="1:4" x14ac:dyDescent="0.45">
      <c r="A2693">
        <v>59184</v>
      </c>
      <c r="B2693" s="72">
        <v>39700</v>
      </c>
      <c r="C2693">
        <v>68.02</v>
      </c>
      <c r="D2693">
        <v>68.02</v>
      </c>
    </row>
    <row r="2694" spans="1:4" x14ac:dyDescent="0.45">
      <c r="A2694">
        <v>59184</v>
      </c>
      <c r="B2694" s="72">
        <v>39701</v>
      </c>
      <c r="C2694">
        <v>68.14</v>
      </c>
      <c r="D2694">
        <v>68.14</v>
      </c>
    </row>
    <row r="2695" spans="1:4" x14ac:dyDescent="0.45">
      <c r="A2695">
        <v>59184</v>
      </c>
      <c r="B2695" s="72">
        <v>39702</v>
      </c>
      <c r="C2695">
        <v>68.09</v>
      </c>
      <c r="D2695">
        <v>68.09</v>
      </c>
    </row>
    <row r="2696" spans="1:4" x14ac:dyDescent="0.45">
      <c r="A2696">
        <v>59184</v>
      </c>
      <c r="B2696" s="72">
        <v>39703</v>
      </c>
      <c r="C2696">
        <v>68.16</v>
      </c>
      <c r="D2696">
        <v>68.16</v>
      </c>
    </row>
    <row r="2697" spans="1:4" x14ac:dyDescent="0.45">
      <c r="A2697">
        <v>59184</v>
      </c>
      <c r="B2697" s="72">
        <v>39706</v>
      </c>
      <c r="C2697">
        <v>66.2</v>
      </c>
      <c r="D2697">
        <v>66.2</v>
      </c>
    </row>
    <row r="2698" spans="1:4" x14ac:dyDescent="0.45">
      <c r="A2698">
        <v>59184</v>
      </c>
      <c r="B2698" s="72">
        <v>39707</v>
      </c>
      <c r="C2698">
        <v>66.05</v>
      </c>
      <c r="D2698">
        <v>66.05</v>
      </c>
    </row>
    <row r="2699" spans="1:4" x14ac:dyDescent="0.45">
      <c r="A2699">
        <v>59184</v>
      </c>
      <c r="B2699" s="72">
        <v>39708</v>
      </c>
      <c r="C2699">
        <v>64.400000000000006</v>
      </c>
      <c r="D2699">
        <v>64.400000000000006</v>
      </c>
    </row>
    <row r="2700" spans="1:4" x14ac:dyDescent="0.45">
      <c r="A2700">
        <v>59184</v>
      </c>
      <c r="B2700" s="72">
        <v>39709</v>
      </c>
      <c r="C2700">
        <v>65.709999999999994</v>
      </c>
      <c r="D2700">
        <v>65.709999999999994</v>
      </c>
    </row>
    <row r="2701" spans="1:4" x14ac:dyDescent="0.45">
      <c r="A2701">
        <v>59184</v>
      </c>
      <c r="B2701" s="72">
        <v>39710</v>
      </c>
      <c r="C2701">
        <v>67.150000000000006</v>
      </c>
      <c r="D2701">
        <v>67.150000000000006</v>
      </c>
    </row>
    <row r="2702" spans="1:4" x14ac:dyDescent="0.45">
      <c r="A2702">
        <v>59184</v>
      </c>
      <c r="B2702" s="72">
        <v>39713</v>
      </c>
      <c r="C2702">
        <v>66.599999999999994</v>
      </c>
      <c r="D2702">
        <v>66.599999999999994</v>
      </c>
    </row>
    <row r="2703" spans="1:4" x14ac:dyDescent="0.45">
      <c r="A2703">
        <v>59184</v>
      </c>
      <c r="B2703" s="72">
        <v>39714</v>
      </c>
      <c r="C2703">
        <v>65.73</v>
      </c>
      <c r="D2703">
        <v>65.73</v>
      </c>
    </row>
    <row r="2704" spans="1:4" x14ac:dyDescent="0.45">
      <c r="A2704">
        <v>59184</v>
      </c>
      <c r="B2704" s="72">
        <v>39715</v>
      </c>
      <c r="C2704">
        <v>66.3</v>
      </c>
      <c r="D2704">
        <v>66.3</v>
      </c>
    </row>
    <row r="2705" spans="1:4" x14ac:dyDescent="0.45">
      <c r="A2705">
        <v>59184</v>
      </c>
      <c r="B2705" s="72">
        <v>39716</v>
      </c>
      <c r="C2705">
        <v>66.709999999999994</v>
      </c>
      <c r="D2705">
        <v>66.709999999999994</v>
      </c>
    </row>
    <row r="2706" spans="1:4" x14ac:dyDescent="0.45">
      <c r="A2706">
        <v>59184</v>
      </c>
      <c r="B2706" s="72">
        <v>39717</v>
      </c>
      <c r="C2706">
        <v>66.02</v>
      </c>
      <c r="D2706">
        <v>66.02</v>
      </c>
    </row>
    <row r="2707" spans="1:4" x14ac:dyDescent="0.45">
      <c r="A2707">
        <v>59184</v>
      </c>
      <c r="B2707" s="72">
        <v>39720</v>
      </c>
      <c r="C2707">
        <v>63.5</v>
      </c>
      <c r="D2707">
        <v>63.5</v>
      </c>
    </row>
    <row r="2708" spans="1:4" x14ac:dyDescent="0.45">
      <c r="A2708">
        <v>59184</v>
      </c>
      <c r="B2708" s="72">
        <v>39721</v>
      </c>
      <c r="C2708">
        <v>64.88</v>
      </c>
      <c r="D2708">
        <v>64.88</v>
      </c>
    </row>
    <row r="2709" spans="1:4" x14ac:dyDescent="0.45">
      <c r="A2709">
        <v>59184</v>
      </c>
      <c r="B2709" s="72">
        <v>39722</v>
      </c>
      <c r="C2709">
        <v>65.349999999999994</v>
      </c>
      <c r="D2709">
        <v>65.349999999999994</v>
      </c>
    </row>
    <row r="2710" spans="1:4" x14ac:dyDescent="0.45">
      <c r="A2710">
        <v>59184</v>
      </c>
      <c r="B2710" s="72">
        <v>39723</v>
      </c>
      <c r="C2710">
        <v>64.58</v>
      </c>
      <c r="D2710">
        <v>64.58</v>
      </c>
    </row>
    <row r="2711" spans="1:4" x14ac:dyDescent="0.45">
      <c r="A2711">
        <v>59184</v>
      </c>
      <c r="B2711" s="72">
        <v>39724</v>
      </c>
      <c r="C2711">
        <v>65.099999999999994</v>
      </c>
      <c r="D2711">
        <v>65.099999999999994</v>
      </c>
    </row>
    <row r="2712" spans="1:4" x14ac:dyDescent="0.45">
      <c r="A2712">
        <v>59184</v>
      </c>
      <c r="B2712" s="72">
        <v>39727</v>
      </c>
      <c r="C2712">
        <v>63.09</v>
      </c>
      <c r="D2712">
        <v>63.09</v>
      </c>
    </row>
    <row r="2713" spans="1:4" x14ac:dyDescent="0.45">
      <c r="A2713">
        <v>59184</v>
      </c>
      <c r="B2713" s="72">
        <v>39728</v>
      </c>
      <c r="C2713">
        <v>62.85</v>
      </c>
      <c r="D2713">
        <v>62.85</v>
      </c>
    </row>
    <row r="2714" spans="1:4" x14ac:dyDescent="0.45">
      <c r="A2714">
        <v>59184</v>
      </c>
      <c r="B2714" s="72">
        <v>39729</v>
      </c>
      <c r="C2714">
        <v>62.92</v>
      </c>
      <c r="D2714">
        <v>62.92</v>
      </c>
    </row>
    <row r="2715" spans="1:4" x14ac:dyDescent="0.45">
      <c r="A2715">
        <v>59184</v>
      </c>
      <c r="B2715" s="72">
        <v>39730</v>
      </c>
      <c r="C2715">
        <v>61.61</v>
      </c>
      <c r="D2715">
        <v>61.61</v>
      </c>
    </row>
    <row r="2716" spans="1:4" x14ac:dyDescent="0.45">
      <c r="A2716">
        <v>59184</v>
      </c>
      <c r="B2716" s="72">
        <v>39731</v>
      </c>
      <c r="C2716">
        <v>58.5</v>
      </c>
      <c r="D2716">
        <v>58.5</v>
      </c>
    </row>
    <row r="2717" spans="1:4" x14ac:dyDescent="0.45">
      <c r="A2717">
        <v>59184</v>
      </c>
      <c r="B2717" s="72">
        <v>39734</v>
      </c>
      <c r="C2717">
        <v>63.93</v>
      </c>
      <c r="D2717">
        <v>63.93</v>
      </c>
    </row>
    <row r="2718" spans="1:4" x14ac:dyDescent="0.45">
      <c r="A2718">
        <v>59184</v>
      </c>
      <c r="B2718" s="72">
        <v>39735</v>
      </c>
      <c r="C2718">
        <v>63.02</v>
      </c>
      <c r="D2718">
        <v>63.02</v>
      </c>
    </row>
    <row r="2719" spans="1:4" x14ac:dyDescent="0.45">
      <c r="A2719">
        <v>59184</v>
      </c>
      <c r="B2719" s="72">
        <v>39736</v>
      </c>
      <c r="C2719">
        <v>59.75</v>
      </c>
      <c r="D2719">
        <v>59.75</v>
      </c>
    </row>
    <row r="2720" spans="1:4" x14ac:dyDescent="0.45">
      <c r="A2720">
        <v>59184</v>
      </c>
      <c r="B2720" s="72">
        <v>39737</v>
      </c>
      <c r="C2720">
        <v>59.95</v>
      </c>
      <c r="D2720">
        <v>59.95</v>
      </c>
    </row>
    <row r="2721" spans="1:14" x14ac:dyDescent="0.45">
      <c r="A2721">
        <v>59184</v>
      </c>
      <c r="B2721" s="72">
        <v>39738</v>
      </c>
      <c r="C2721">
        <v>62.65</v>
      </c>
      <c r="D2721">
        <v>62.65</v>
      </c>
    </row>
    <row r="2722" spans="1:14" x14ac:dyDescent="0.45">
      <c r="A2722">
        <v>59184</v>
      </c>
      <c r="B2722" s="72">
        <v>39741</v>
      </c>
      <c r="C2722">
        <v>63.28</v>
      </c>
      <c r="D2722">
        <v>63.28</v>
      </c>
    </row>
    <row r="2723" spans="1:14" x14ac:dyDescent="0.45">
      <c r="A2723">
        <v>59184</v>
      </c>
      <c r="B2723" s="72">
        <v>39742</v>
      </c>
      <c r="C2723">
        <v>63.07</v>
      </c>
      <c r="D2723">
        <v>63.07</v>
      </c>
    </row>
    <row r="2724" spans="1:14" x14ac:dyDescent="0.45">
      <c r="A2724">
        <v>59184</v>
      </c>
      <c r="B2724" s="72">
        <v>39743</v>
      </c>
      <c r="C2724">
        <v>60.48</v>
      </c>
      <c r="D2724">
        <v>60.48</v>
      </c>
    </row>
    <row r="2725" spans="1:14" x14ac:dyDescent="0.45">
      <c r="A2725">
        <v>59184</v>
      </c>
      <c r="B2725" s="72">
        <v>39744</v>
      </c>
      <c r="C2725">
        <v>58.13</v>
      </c>
      <c r="D2725">
        <v>58.13</v>
      </c>
    </row>
    <row r="2726" spans="1:14" x14ac:dyDescent="0.45">
      <c r="A2726">
        <v>59184</v>
      </c>
      <c r="B2726" s="72">
        <v>39745</v>
      </c>
      <c r="C2726">
        <v>56.93</v>
      </c>
      <c r="D2726">
        <v>56.93</v>
      </c>
    </row>
    <row r="2727" spans="1:14" x14ac:dyDescent="0.45">
      <c r="A2727">
        <v>59184</v>
      </c>
      <c r="B2727" s="72">
        <v>39748</v>
      </c>
      <c r="C2727">
        <v>59.27</v>
      </c>
      <c r="D2727">
        <v>59.27</v>
      </c>
    </row>
    <row r="2728" spans="1:14" x14ac:dyDescent="0.45">
      <c r="A2728">
        <v>59184</v>
      </c>
      <c r="B2728" s="72">
        <v>39749</v>
      </c>
      <c r="C2728">
        <v>60.91</v>
      </c>
      <c r="D2728">
        <v>60.91</v>
      </c>
    </row>
    <row r="2729" spans="1:14" x14ac:dyDescent="0.45">
      <c r="A2729">
        <v>59184</v>
      </c>
      <c r="B2729" s="72">
        <v>39750</v>
      </c>
      <c r="C2729">
        <v>59.83</v>
      </c>
      <c r="D2729">
        <v>59.83</v>
      </c>
    </row>
    <row r="2730" spans="1:14" x14ac:dyDescent="0.45">
      <c r="A2730">
        <v>59184</v>
      </c>
      <c r="B2730" s="72">
        <v>39751</v>
      </c>
      <c r="C2730">
        <v>62</v>
      </c>
      <c r="D2730">
        <v>62</v>
      </c>
    </row>
    <row r="2731" spans="1:14" x14ac:dyDescent="0.45">
      <c r="A2731">
        <v>59184</v>
      </c>
      <c r="B2731" s="72">
        <v>39752</v>
      </c>
      <c r="C2731">
        <v>62.03</v>
      </c>
      <c r="D2731">
        <v>62.03</v>
      </c>
    </row>
    <row r="2732" spans="1:14" x14ac:dyDescent="0.45">
      <c r="A2732">
        <v>59184</v>
      </c>
      <c r="B2732" s="72">
        <v>39755</v>
      </c>
      <c r="C2732">
        <v>63.54</v>
      </c>
      <c r="D2732">
        <v>63.54</v>
      </c>
    </row>
    <row r="2733" spans="1:14" x14ac:dyDescent="0.45">
      <c r="A2733">
        <v>59184</v>
      </c>
      <c r="B2733" s="72">
        <v>39756</v>
      </c>
      <c r="C2733">
        <v>64.599999999999994</v>
      </c>
      <c r="D2733">
        <v>64.599999999999994</v>
      </c>
      <c r="N2733">
        <v>1.5195089872862779</v>
      </c>
    </row>
    <row r="2734" spans="1:14" x14ac:dyDescent="0.45">
      <c r="A2734">
        <v>59184</v>
      </c>
      <c r="B2734" s="72">
        <v>39757</v>
      </c>
      <c r="C2734">
        <v>64</v>
      </c>
      <c r="D2734">
        <v>64</v>
      </c>
    </row>
    <row r="2735" spans="1:14" x14ac:dyDescent="0.45">
      <c r="A2735">
        <v>59184</v>
      </c>
      <c r="B2735" s="72">
        <v>39758</v>
      </c>
      <c r="C2735">
        <v>64.58</v>
      </c>
      <c r="D2735">
        <v>64.58</v>
      </c>
    </row>
    <row r="2736" spans="1:14" x14ac:dyDescent="0.45">
      <c r="A2736">
        <v>59184</v>
      </c>
      <c r="B2736" s="72">
        <v>39759</v>
      </c>
      <c r="C2736">
        <v>65.69</v>
      </c>
      <c r="D2736">
        <v>65.69</v>
      </c>
    </row>
    <row r="2737" spans="1:4" x14ac:dyDescent="0.45">
      <c r="A2737">
        <v>59184</v>
      </c>
      <c r="B2737" s="72">
        <v>39762</v>
      </c>
      <c r="C2737">
        <v>66.59</v>
      </c>
      <c r="D2737">
        <v>66.59</v>
      </c>
    </row>
    <row r="2738" spans="1:4" x14ac:dyDescent="0.45">
      <c r="A2738">
        <v>59184</v>
      </c>
      <c r="B2738" s="72">
        <v>39763</v>
      </c>
      <c r="C2738">
        <v>66.84</v>
      </c>
      <c r="D2738">
        <v>66.84</v>
      </c>
    </row>
    <row r="2739" spans="1:4" x14ac:dyDescent="0.45">
      <c r="A2739">
        <v>59184</v>
      </c>
      <c r="B2739" s="72">
        <v>39764</v>
      </c>
      <c r="C2739">
        <v>66.33</v>
      </c>
      <c r="D2739">
        <v>66.33</v>
      </c>
    </row>
    <row r="2740" spans="1:4" x14ac:dyDescent="0.45">
      <c r="A2740">
        <v>59184</v>
      </c>
      <c r="B2740" s="72">
        <v>39765</v>
      </c>
      <c r="C2740">
        <v>67.930000000000007</v>
      </c>
      <c r="D2740">
        <v>67.930000000000007</v>
      </c>
    </row>
    <row r="2741" spans="1:4" x14ac:dyDescent="0.45">
      <c r="A2741">
        <v>59184</v>
      </c>
      <c r="B2741" s="72">
        <v>39766</v>
      </c>
      <c r="C2741">
        <v>68.5</v>
      </c>
      <c r="D2741">
        <v>68.5</v>
      </c>
    </row>
    <row r="2742" spans="1:4" x14ac:dyDescent="0.45">
      <c r="A2742">
        <v>59184</v>
      </c>
      <c r="B2742" s="72">
        <v>39769</v>
      </c>
      <c r="C2742">
        <v>68.58</v>
      </c>
      <c r="D2742">
        <v>68.58</v>
      </c>
    </row>
    <row r="2743" spans="1:4" x14ac:dyDescent="0.45">
      <c r="A2743">
        <v>59184</v>
      </c>
      <c r="B2743" s="72">
        <v>39770</v>
      </c>
    </row>
  </sheetData>
  <mergeCells count="3">
    <mergeCell ref="A1:F1"/>
    <mergeCell ref="A2:F2"/>
    <mergeCell ref="A3:F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C5D4B-5D54-4133-AB29-A95C217360D7}">
  <sheetPr>
    <pageSetUpPr fitToPage="1"/>
  </sheetPr>
  <dimension ref="A2:O45"/>
  <sheetViews>
    <sheetView showGridLines="0" topLeftCell="A5" zoomScale="160" zoomScaleNormal="160" workbookViewId="0">
      <selection activeCell="I36" sqref="I36"/>
    </sheetView>
  </sheetViews>
  <sheetFormatPr defaultColWidth="10.73046875" defaultRowHeight="14.25" x14ac:dyDescent="0.45"/>
  <cols>
    <col min="1" max="1" width="28.86328125" style="4" bestFit="1" customWidth="1"/>
    <col min="2" max="7" width="11.1328125" style="4" bestFit="1" customWidth="1"/>
    <col min="8" max="12" width="10.73046875" style="4"/>
    <col min="13" max="13" width="12.3984375" style="4" bestFit="1" customWidth="1"/>
    <col min="14" max="16384" width="10.73046875" style="4"/>
  </cols>
  <sheetData>
    <row r="2" spans="1:15" ht="15.4" x14ac:dyDescent="0.45">
      <c r="A2" s="39" t="s">
        <v>102</v>
      </c>
      <c r="B2" s="39"/>
    </row>
    <row r="3" spans="1:15" ht="15.4" x14ac:dyDescent="0.45">
      <c r="A3" s="73" t="s">
        <v>1</v>
      </c>
      <c r="B3" s="73"/>
    </row>
    <row r="4" spans="1:15" ht="15.4" x14ac:dyDescent="0.45">
      <c r="A4" s="1" t="s">
        <v>103</v>
      </c>
      <c r="B4" s="1"/>
    </row>
    <row r="5" spans="1:15" ht="15.4" x14ac:dyDescent="0.45">
      <c r="A5" s="74"/>
      <c r="B5" s="74"/>
    </row>
    <row r="7" spans="1:15" x14ac:dyDescent="0.45">
      <c r="A7" s="75" t="s">
        <v>4</v>
      </c>
      <c r="B7" s="75"/>
      <c r="C7" s="76" t="s">
        <v>68</v>
      </c>
      <c r="D7" s="76" t="s">
        <v>69</v>
      </c>
      <c r="E7" s="76" t="s">
        <v>70</v>
      </c>
      <c r="F7" s="76" t="s">
        <v>104</v>
      </c>
      <c r="G7" s="76" t="s">
        <v>105</v>
      </c>
      <c r="H7" s="76" t="s">
        <v>106</v>
      </c>
    </row>
    <row r="8" spans="1:15" x14ac:dyDescent="0.45">
      <c r="C8" s="77"/>
      <c r="D8" s="77"/>
      <c r="E8" s="77"/>
      <c r="F8" s="77"/>
      <c r="G8" s="77"/>
      <c r="H8" s="77"/>
    </row>
    <row r="9" spans="1:15" x14ac:dyDescent="0.45">
      <c r="A9" s="4" t="s">
        <v>107</v>
      </c>
      <c r="C9" s="77"/>
      <c r="D9" s="77"/>
      <c r="E9" s="77"/>
      <c r="F9" s="77"/>
      <c r="G9" s="77"/>
      <c r="H9" s="77"/>
    </row>
    <row r="10" spans="1:15" x14ac:dyDescent="0.45">
      <c r="A10" s="18" t="s">
        <v>6</v>
      </c>
      <c r="B10" s="18"/>
      <c r="C10" s="78">
        <v>104.4</v>
      </c>
      <c r="D10" s="78">
        <v>106.48800000000001</v>
      </c>
      <c r="E10" s="78">
        <v>108.61776000000002</v>
      </c>
      <c r="F10" s="78">
        <v>110.79011520000002</v>
      </c>
      <c r="G10" s="78">
        <v>113.00591750400002</v>
      </c>
      <c r="H10" s="78">
        <v>115.26603585408003</v>
      </c>
    </row>
    <row r="11" spans="1:15" x14ac:dyDescent="0.45">
      <c r="A11" s="10" t="s">
        <v>7</v>
      </c>
      <c r="B11" s="10"/>
      <c r="C11" s="79">
        <v>24</v>
      </c>
      <c r="D11" s="79">
        <v>25.200000000000003</v>
      </c>
      <c r="E11" s="79">
        <v>26.712000000000003</v>
      </c>
      <c r="F11" s="79">
        <v>28.581840000000007</v>
      </c>
      <c r="G11" s="79">
        <v>30.582568800000008</v>
      </c>
      <c r="H11" s="79">
        <v>32.72334861600001</v>
      </c>
    </row>
    <row r="12" spans="1:15" x14ac:dyDescent="0.45">
      <c r="A12" s="4" t="s">
        <v>8</v>
      </c>
      <c r="C12" s="80">
        <v>128.4</v>
      </c>
      <c r="D12" s="80">
        <v>131.68800000000002</v>
      </c>
      <c r="E12" s="80">
        <v>135.32976000000002</v>
      </c>
      <c r="F12" s="80">
        <v>139.37195520000003</v>
      </c>
      <c r="G12" s="80">
        <v>143.58848630400004</v>
      </c>
      <c r="H12" s="80">
        <v>147.98938447008004</v>
      </c>
    </row>
    <row r="13" spans="1:15" hidden="1" x14ac:dyDescent="0.45">
      <c r="A13" s="10" t="s">
        <v>9</v>
      </c>
      <c r="B13" s="10"/>
      <c r="C13" s="79">
        <v>33.200000000000003</v>
      </c>
      <c r="D13" s="79">
        <v>34.860000000000007</v>
      </c>
      <c r="E13" s="79">
        <v>36.603000000000009</v>
      </c>
      <c r="F13" s="79">
        <v>38.433150000000012</v>
      </c>
      <c r="G13" s="79">
        <v>40.354807500000014</v>
      </c>
      <c r="H13" s="79">
        <v>42.372547875000016</v>
      </c>
    </row>
    <row r="14" spans="1:15" hidden="1" x14ac:dyDescent="0.45">
      <c r="A14" s="75" t="s">
        <v>10</v>
      </c>
      <c r="B14" s="75"/>
      <c r="C14" s="81">
        <v>161.6</v>
      </c>
      <c r="D14" s="81">
        <v>166.54800000000003</v>
      </c>
      <c r="E14" s="81">
        <v>171.93276000000003</v>
      </c>
      <c r="F14" s="81">
        <v>177.80510520000004</v>
      </c>
      <c r="G14" s="81">
        <v>183.94329380400006</v>
      </c>
      <c r="H14" s="81">
        <v>190.36193234508005</v>
      </c>
    </row>
    <row r="15" spans="1:15" x14ac:dyDescent="0.45">
      <c r="C15" s="77"/>
      <c r="D15" s="77"/>
      <c r="E15" s="77"/>
      <c r="F15" s="77"/>
      <c r="G15" s="77"/>
      <c r="H15" s="77"/>
    </row>
    <row r="16" spans="1:15" x14ac:dyDescent="0.45">
      <c r="A16" s="18" t="s">
        <v>11</v>
      </c>
      <c r="B16" s="18"/>
      <c r="C16" s="82">
        <v>18988.7</v>
      </c>
      <c r="D16" s="82">
        <v>19938.135000000002</v>
      </c>
      <c r="E16" s="82">
        <v>20935.041750000004</v>
      </c>
      <c r="F16" s="82">
        <v>22191.144255000007</v>
      </c>
      <c r="G16" s="82">
        <v>23744.524352850007</v>
      </c>
      <c r="H16" s="82">
        <v>25406.64105754951</v>
      </c>
      <c r="J16" s="83"/>
      <c r="K16" s="83"/>
      <c r="L16" s="83"/>
      <c r="M16" s="83"/>
      <c r="N16" s="83"/>
      <c r="O16" s="83"/>
    </row>
    <row r="17" spans="1:13" x14ac:dyDescent="0.45">
      <c r="A17" s="4" t="s">
        <v>12</v>
      </c>
      <c r="C17" s="84">
        <v>2303</v>
      </c>
      <c r="D17" s="84">
        <v>2392.5762</v>
      </c>
      <c r="E17" s="84">
        <v>2512.2050100000006</v>
      </c>
      <c r="F17" s="84">
        <v>2662.9373106000007</v>
      </c>
      <c r="G17" s="84">
        <v>2849.3429223420007</v>
      </c>
      <c r="H17" s="84">
        <v>3048.7969269059413</v>
      </c>
      <c r="J17" s="85"/>
      <c r="K17" s="85"/>
      <c r="M17" s="85"/>
    </row>
    <row r="18" spans="1:13" x14ac:dyDescent="0.45">
      <c r="A18" s="4" t="s">
        <v>13</v>
      </c>
      <c r="C18" s="84">
        <v>16685.7</v>
      </c>
      <c r="D18" s="84">
        <v>17545.558800000003</v>
      </c>
      <c r="E18" s="84">
        <v>18422.836740000002</v>
      </c>
      <c r="F18" s="84">
        <v>19528.206944400004</v>
      </c>
      <c r="G18" s="84">
        <v>20895.181430508004</v>
      </c>
      <c r="H18" s="84">
        <v>22357.844130643571</v>
      </c>
    </row>
    <row r="19" spans="1:13" x14ac:dyDescent="0.45">
      <c r="A19" s="4" t="s">
        <v>108</v>
      </c>
      <c r="C19" s="84">
        <v>10836.6</v>
      </c>
      <c r="D19" s="84">
        <v>11334.430984800001</v>
      </c>
      <c r="E19" s="84">
        <v>11569.541472720002</v>
      </c>
      <c r="F19" s="84">
        <v>12166.072926361203</v>
      </c>
      <c r="G19" s="84">
        <v>12955.012486914962</v>
      </c>
      <c r="H19" s="84">
        <v>13861.863360999014</v>
      </c>
    </row>
    <row r="20" spans="1:13" x14ac:dyDescent="0.45">
      <c r="A20" s="4" t="s">
        <v>15</v>
      </c>
      <c r="C20" s="86">
        <v>0.64945432316294793</v>
      </c>
      <c r="D20" s="86">
        <v>0.64600000000000002</v>
      </c>
      <c r="E20" s="86">
        <v>0.628</v>
      </c>
      <c r="F20" s="86">
        <v>0.623</v>
      </c>
      <c r="G20" s="86">
        <v>0.62</v>
      </c>
      <c r="H20" s="86">
        <v>0.62</v>
      </c>
    </row>
    <row r="21" spans="1:13" x14ac:dyDescent="0.45">
      <c r="A21" s="4" t="s">
        <v>14</v>
      </c>
      <c r="C21" s="84">
        <v>5849.4</v>
      </c>
      <c r="D21" s="84">
        <v>6211.1278152000014</v>
      </c>
      <c r="E21" s="84">
        <v>6853.2952672800002</v>
      </c>
      <c r="F21" s="84">
        <v>7362.1340180388015</v>
      </c>
      <c r="G21" s="84">
        <v>7940.1689435930421</v>
      </c>
      <c r="H21" s="84">
        <v>8495.9807696445569</v>
      </c>
    </row>
    <row r="22" spans="1:13" hidden="1" x14ac:dyDescent="0.45">
      <c r="A22" s="4" t="s">
        <v>15</v>
      </c>
      <c r="C22" s="86">
        <v>0.3505636563045002</v>
      </c>
      <c r="D22" s="86">
        <v>0.35400000000000004</v>
      </c>
      <c r="E22" s="86">
        <v>0.37199999999999994</v>
      </c>
      <c r="F22" s="86">
        <v>0.377</v>
      </c>
      <c r="G22" s="86">
        <v>0.38</v>
      </c>
      <c r="H22" s="86">
        <v>0.38</v>
      </c>
    </row>
    <row r="23" spans="1:13" x14ac:dyDescent="0.45">
      <c r="A23" s="4" t="s">
        <v>109</v>
      </c>
      <c r="C23" s="87">
        <v>2981.7</v>
      </c>
      <c r="D23" s="87">
        <v>3158.2005840000002</v>
      </c>
      <c r="E23" s="87">
        <v>3316.1106132000004</v>
      </c>
      <c r="F23" s="87">
        <v>3515.0772499920008</v>
      </c>
      <c r="G23" s="87">
        <v>3761.1326574914406</v>
      </c>
      <c r="H23" s="87">
        <v>4024.4119435158427</v>
      </c>
    </row>
    <row r="24" spans="1:13" x14ac:dyDescent="0.45">
      <c r="A24" s="4" t="s">
        <v>15</v>
      </c>
      <c r="C24" s="86">
        <v>0.17869792696740322</v>
      </c>
      <c r="D24" s="86">
        <v>0.18</v>
      </c>
      <c r="E24" s="86">
        <v>0.18</v>
      </c>
      <c r="F24" s="86">
        <v>0.18</v>
      </c>
      <c r="G24" s="86">
        <v>0.18</v>
      </c>
      <c r="H24" s="86">
        <v>0.18</v>
      </c>
    </row>
    <row r="25" spans="1:13" x14ac:dyDescent="0.45">
      <c r="A25" s="4" t="s">
        <v>16</v>
      </c>
      <c r="C25" s="88">
        <v>2894</v>
      </c>
      <c r="D25" s="88">
        <v>3052.9272312000012</v>
      </c>
      <c r="E25" s="88">
        <v>3537.1846540799997</v>
      </c>
      <c r="F25" s="88">
        <v>3847.0567680468007</v>
      </c>
      <c r="G25" s="88">
        <v>4179.0362861016019</v>
      </c>
      <c r="H25" s="88">
        <v>4471.5688261287141</v>
      </c>
    </row>
    <row r="26" spans="1:13" x14ac:dyDescent="0.45">
      <c r="A26" s="4" t="s">
        <v>15</v>
      </c>
      <c r="C26" s="86">
        <v>0.17344192931672031</v>
      </c>
      <c r="D26" s="86">
        <v>0.17400000000000004</v>
      </c>
      <c r="E26" s="86">
        <v>0.19199999999999995</v>
      </c>
      <c r="F26" s="86">
        <v>0.19699999999999998</v>
      </c>
      <c r="G26" s="86">
        <v>0.20000000000000004</v>
      </c>
      <c r="H26" s="86">
        <v>0.2</v>
      </c>
    </row>
    <row r="27" spans="1:13" s="89" customFormat="1" x14ac:dyDescent="0.45">
      <c r="A27" s="89" t="s">
        <v>110</v>
      </c>
      <c r="C27" s="90">
        <v>471.3</v>
      </c>
      <c r="D27" s="90">
        <v>500</v>
      </c>
      <c r="E27" s="90">
        <v>500</v>
      </c>
      <c r="F27" s="90">
        <v>500</v>
      </c>
      <c r="G27" s="89">
        <v>500</v>
      </c>
      <c r="H27" s="89">
        <v>500</v>
      </c>
    </row>
    <row r="28" spans="1:13" s="89" customFormat="1" x14ac:dyDescent="0.45">
      <c r="A28" s="89" t="s">
        <v>111</v>
      </c>
      <c r="C28" s="90">
        <v>2422.6999999999998</v>
      </c>
      <c r="D28" s="90">
        <v>2552.9272312000012</v>
      </c>
      <c r="E28" s="90">
        <v>3037.1846540799997</v>
      </c>
      <c r="F28" s="90">
        <v>3347.0567680468007</v>
      </c>
      <c r="G28" s="90">
        <v>3679.0362861016019</v>
      </c>
      <c r="H28" s="89">
        <v>3971.5688261287141</v>
      </c>
    </row>
    <row r="29" spans="1:13" x14ac:dyDescent="0.45">
      <c r="A29" s="4" t="s">
        <v>112</v>
      </c>
      <c r="C29" s="86">
        <v>0.40029718908655632</v>
      </c>
      <c r="D29" s="86">
        <v>0.39500000000000002</v>
      </c>
      <c r="E29" s="86">
        <v>0.39500000000000002</v>
      </c>
      <c r="F29" s="86">
        <v>0.39500000000000002</v>
      </c>
      <c r="G29" s="86">
        <v>0.39500000000000002</v>
      </c>
      <c r="H29" s="86">
        <v>0.39500000000000002</v>
      </c>
    </row>
    <row r="30" spans="1:13" s="89" customFormat="1" x14ac:dyDescent="0.45">
      <c r="A30" s="89" t="s">
        <v>113</v>
      </c>
      <c r="C30" s="89">
        <v>969.8</v>
      </c>
      <c r="D30" s="87">
        <v>1008.4062563240005</v>
      </c>
      <c r="E30" s="87">
        <v>1199.6879383615999</v>
      </c>
      <c r="F30" s="87">
        <v>1322.0874233784864</v>
      </c>
      <c r="G30" s="87">
        <v>1453.2193330101329</v>
      </c>
      <c r="H30" s="87">
        <v>1568.7696863208421</v>
      </c>
    </row>
    <row r="31" spans="1:13" x14ac:dyDescent="0.45">
      <c r="A31" s="4" t="s">
        <v>17</v>
      </c>
      <c r="C31" s="84">
        <v>662.4</v>
      </c>
      <c r="D31" s="88">
        <v>701.82235200000014</v>
      </c>
      <c r="E31" s="88">
        <v>736.9134696000001</v>
      </c>
      <c r="F31" s="88">
        <v>781.12827777600023</v>
      </c>
      <c r="G31" s="88">
        <v>835.80725722032014</v>
      </c>
      <c r="H31" s="88">
        <v>894.31376522574283</v>
      </c>
    </row>
    <row r="32" spans="1:13" hidden="1" x14ac:dyDescent="0.45">
      <c r="A32" s="4" t="s">
        <v>15</v>
      </c>
      <c r="C32" s="86">
        <v>3.9698664125568599E-2</v>
      </c>
      <c r="D32" s="86">
        <v>0.04</v>
      </c>
      <c r="E32" s="86">
        <v>0.04</v>
      </c>
      <c r="F32" s="86">
        <v>0.04</v>
      </c>
      <c r="G32" s="86">
        <v>0.04</v>
      </c>
      <c r="H32" s="86">
        <v>0.04</v>
      </c>
    </row>
    <row r="33" spans="1:9" x14ac:dyDescent="0.45">
      <c r="A33" s="4" t="s">
        <v>114</v>
      </c>
      <c r="C33" s="84">
        <v>1104.5470989056369</v>
      </c>
      <c r="D33" s="84">
        <v>1160.0369454545457</v>
      </c>
      <c r="E33" s="84">
        <v>1218.0387927272729</v>
      </c>
      <c r="F33" s="84">
        <v>1291.1211202909094</v>
      </c>
      <c r="G33" s="84">
        <v>1381.4995987112729</v>
      </c>
      <c r="H33" s="84">
        <v>1478.2045706210627</v>
      </c>
    </row>
    <row r="34" spans="1:9" x14ac:dyDescent="0.45">
      <c r="A34" s="4" t="s">
        <v>18</v>
      </c>
      <c r="C34" s="84">
        <v>2115.3000000000002</v>
      </c>
      <c r="D34" s="84">
        <v>2246.3433268760009</v>
      </c>
      <c r="E34" s="84">
        <v>2574.4101853184002</v>
      </c>
      <c r="F34" s="84">
        <v>2806.0976224443148</v>
      </c>
      <c r="G34" s="84">
        <v>3061.6242103117893</v>
      </c>
      <c r="H34" s="84">
        <v>3297.1129050336149</v>
      </c>
    </row>
    <row r="35" spans="1:9" x14ac:dyDescent="0.45">
      <c r="C35" s="84"/>
      <c r="D35" s="84"/>
      <c r="E35" s="84"/>
      <c r="F35" s="84"/>
      <c r="G35" s="84"/>
      <c r="H35" s="84"/>
    </row>
    <row r="36" spans="1:9" x14ac:dyDescent="0.45">
      <c r="A36" s="4" t="s">
        <v>19</v>
      </c>
      <c r="C36" s="91">
        <v>2.79</v>
      </c>
      <c r="D36" s="91">
        <v>3.0984045887944842</v>
      </c>
      <c r="E36" s="91">
        <v>3.5509106004391726</v>
      </c>
      <c r="F36" s="91">
        <v>3.8704794792335377</v>
      </c>
      <c r="G36" s="91">
        <v>4.2229299452576408</v>
      </c>
      <c r="H36" s="91">
        <v>4.5477419379774</v>
      </c>
    </row>
    <row r="37" spans="1:9" x14ac:dyDescent="0.45">
      <c r="C37" s="91"/>
      <c r="D37" s="91"/>
      <c r="E37" s="91"/>
      <c r="F37" s="91"/>
      <c r="G37" s="91"/>
      <c r="H37" s="91"/>
    </row>
    <row r="38" spans="1:9" x14ac:dyDescent="0.45">
      <c r="A38" s="10" t="s">
        <v>20</v>
      </c>
      <c r="B38" s="10"/>
      <c r="C38" s="92">
        <v>757.1</v>
      </c>
      <c r="D38" s="10">
        <v>725</v>
      </c>
      <c r="E38" s="10">
        <v>725</v>
      </c>
      <c r="F38" s="10">
        <v>725</v>
      </c>
      <c r="G38" s="10">
        <v>725</v>
      </c>
      <c r="H38" s="10">
        <v>725</v>
      </c>
    </row>
    <row r="40" spans="1:9" ht="15" customHeight="1" x14ac:dyDescent="0.45">
      <c r="A40" s="93" t="s">
        <v>115</v>
      </c>
      <c r="B40" s="93"/>
      <c r="C40" s="93"/>
      <c r="D40" s="93"/>
      <c r="E40" s="93"/>
      <c r="F40" s="93"/>
      <c r="G40" s="93"/>
      <c r="H40" s="93"/>
    </row>
    <row r="41" spans="1:9" x14ac:dyDescent="0.45">
      <c r="A41" s="93"/>
      <c r="B41" s="93"/>
      <c r="C41" s="93"/>
      <c r="D41" s="93"/>
      <c r="E41" s="93"/>
      <c r="F41" s="93"/>
      <c r="G41" s="93"/>
      <c r="H41" s="93"/>
    </row>
    <row r="42" spans="1:9" x14ac:dyDescent="0.45">
      <c r="A42" s="94"/>
      <c r="B42" s="94"/>
      <c r="C42" s="94"/>
      <c r="D42" s="94"/>
      <c r="E42" s="94"/>
      <c r="F42" s="94"/>
      <c r="G42" s="94"/>
      <c r="H42" s="94"/>
    </row>
    <row r="43" spans="1:9" x14ac:dyDescent="0.45">
      <c r="A43" s="4" t="s">
        <v>116</v>
      </c>
      <c r="C43" s="77"/>
      <c r="D43" s="77"/>
      <c r="E43" s="77"/>
      <c r="F43" s="77"/>
      <c r="G43" s="95"/>
      <c r="H43" s="95"/>
      <c r="I43" s="96"/>
    </row>
    <row r="44" spans="1:9" x14ac:dyDescent="0.45">
      <c r="C44" s="77"/>
      <c r="D44" s="77"/>
      <c r="E44" s="77"/>
      <c r="F44" s="77"/>
      <c r="G44" s="95"/>
      <c r="H44" s="95"/>
      <c r="I44" s="96"/>
    </row>
    <row r="45" spans="1:9" x14ac:dyDescent="0.45">
      <c r="A45" s="97" t="s">
        <v>117</v>
      </c>
      <c r="C45" s="77"/>
      <c r="D45" s="77"/>
      <c r="E45" s="77"/>
    </row>
  </sheetData>
  <mergeCells count="4">
    <mergeCell ref="A2:B2"/>
    <mergeCell ref="A3:B3"/>
    <mergeCell ref="A4:B4"/>
    <mergeCell ref="A40:H41"/>
  </mergeCells>
  <pageMargins left="0.75" right="0.75" top="1" bottom="1" header="0.5" footer="0.5"/>
  <pageSetup scale="84" orientation="landscape"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A0AC-6E27-4AA8-ADDF-7FDBAA6ACD3C}">
  <dimension ref="A1:J27"/>
  <sheetViews>
    <sheetView zoomScale="145" zoomScaleNormal="145" workbookViewId="0">
      <selection activeCell="I36" sqref="I36"/>
    </sheetView>
  </sheetViews>
  <sheetFormatPr defaultColWidth="8.73046875" defaultRowHeight="14.25" x14ac:dyDescent="0.45"/>
  <cols>
    <col min="1" max="1" width="23.1328125" bestFit="1" customWidth="1"/>
    <col min="2" max="2" width="3.73046875" customWidth="1"/>
    <col min="4" max="4" width="3.73046875" customWidth="1"/>
    <col min="5" max="5" width="0" hidden="1" customWidth="1"/>
    <col min="6" max="6" width="3.73046875" hidden="1" customWidth="1"/>
    <col min="7" max="7" width="0" hidden="1" customWidth="1"/>
  </cols>
  <sheetData>
    <row r="1" spans="1:10" ht="15.4" x14ac:dyDescent="0.45">
      <c r="A1" s="39" t="s">
        <v>118</v>
      </c>
      <c r="B1" s="39"/>
      <c r="C1" s="39"/>
      <c r="D1" s="39"/>
      <c r="E1" s="39"/>
      <c r="F1" s="39"/>
      <c r="G1" s="39"/>
      <c r="H1" s="39"/>
      <c r="I1" s="39"/>
    </row>
    <row r="2" spans="1:10" ht="15.4" x14ac:dyDescent="0.45">
      <c r="A2" s="98" t="s">
        <v>1</v>
      </c>
      <c r="B2" s="98"/>
      <c r="C2" s="98"/>
      <c r="D2" s="98"/>
      <c r="E2" s="98"/>
      <c r="F2" s="98"/>
      <c r="G2" s="98"/>
      <c r="H2" s="98"/>
      <c r="I2" s="98"/>
    </row>
    <row r="3" spans="1:10" ht="15.4" x14ac:dyDescent="0.45">
      <c r="A3" s="99" t="s">
        <v>119</v>
      </c>
      <c r="B3" s="99"/>
      <c r="C3" s="99"/>
      <c r="D3" s="99"/>
      <c r="E3" s="99"/>
      <c r="F3" s="99"/>
      <c r="G3" s="99"/>
      <c r="H3" s="99"/>
      <c r="I3" s="99"/>
      <c r="J3" s="99"/>
    </row>
    <row r="4" spans="1:10" ht="15.4" x14ac:dyDescent="0.45">
      <c r="A4" s="100"/>
      <c r="B4" s="100"/>
      <c r="C4" s="100"/>
      <c r="D4" s="100"/>
      <c r="E4" s="100"/>
      <c r="F4" s="100"/>
      <c r="G4" s="100"/>
      <c r="H4" s="100"/>
      <c r="I4" s="100"/>
      <c r="J4" s="100"/>
    </row>
    <row r="5" spans="1:10" ht="15.4" x14ac:dyDescent="0.45">
      <c r="A5" s="100"/>
      <c r="B5" s="100"/>
      <c r="C5" s="100"/>
      <c r="D5" s="100"/>
      <c r="E5" s="100"/>
      <c r="F5" s="100"/>
      <c r="G5" s="100"/>
      <c r="H5" s="100"/>
      <c r="I5" s="100"/>
      <c r="J5" s="100"/>
    </row>
    <row r="6" spans="1:10" ht="14.65" thickBot="1" x14ac:dyDescent="0.5">
      <c r="A6" s="101" t="s">
        <v>120</v>
      </c>
      <c r="B6" s="101"/>
      <c r="C6" s="101" t="s">
        <v>121</v>
      </c>
      <c r="D6" s="101"/>
      <c r="E6" s="101" t="s">
        <v>122</v>
      </c>
      <c r="F6" s="101"/>
      <c r="G6" s="101" t="s">
        <v>123</v>
      </c>
    </row>
    <row r="7" spans="1:10" x14ac:dyDescent="0.45">
      <c r="A7" s="102" t="s">
        <v>124</v>
      </c>
      <c r="C7">
        <v>0.88780000000000003</v>
      </c>
      <c r="E7">
        <v>10.702999999999999</v>
      </c>
      <c r="G7">
        <v>8.2672000000000008</v>
      </c>
    </row>
    <row r="8" spans="1:10" x14ac:dyDescent="0.45">
      <c r="A8" s="103" t="s">
        <v>125</v>
      </c>
      <c r="C8">
        <v>0.84040000000000004</v>
      </c>
      <c r="E8">
        <v>11.1744</v>
      </c>
      <c r="G8">
        <v>8.2668999999999997</v>
      </c>
    </row>
    <row r="9" spans="1:10" x14ac:dyDescent="0.45">
      <c r="A9" s="103" t="s">
        <v>126</v>
      </c>
      <c r="C9">
        <v>0.80059999999999998</v>
      </c>
      <c r="E9">
        <v>10.979200000000001</v>
      </c>
      <c r="G9">
        <v>8.2670999999999992</v>
      </c>
    </row>
    <row r="10" spans="1:10" x14ac:dyDescent="0.45">
      <c r="A10" s="103" t="s">
        <v>127</v>
      </c>
      <c r="C10">
        <v>0.8296</v>
      </c>
      <c r="E10">
        <v>11.3687</v>
      </c>
      <c r="G10">
        <v>8.2666000000000004</v>
      </c>
    </row>
    <row r="11" spans="1:10" x14ac:dyDescent="0.45">
      <c r="A11" s="103" t="s">
        <v>128</v>
      </c>
      <c r="C11">
        <v>0.81779999999999997</v>
      </c>
      <c r="E11">
        <v>11.423400000000001</v>
      </c>
      <c r="G11">
        <v>8.2654999999999994</v>
      </c>
    </row>
    <row r="12" spans="1:10" x14ac:dyDescent="0.45">
      <c r="A12" s="103" t="s">
        <v>129</v>
      </c>
      <c r="C12">
        <v>0.77159999999999995</v>
      </c>
      <c r="E12">
        <v>11.295</v>
      </c>
      <c r="G12">
        <v>8.2662999999999993</v>
      </c>
    </row>
    <row r="13" spans="1:10" x14ac:dyDescent="0.45">
      <c r="A13" s="103" t="s">
        <v>130</v>
      </c>
      <c r="C13">
        <v>0.7621</v>
      </c>
      <c r="E13">
        <v>11.161899999999999</v>
      </c>
      <c r="G13">
        <v>8.2665000000000006</v>
      </c>
    </row>
    <row r="14" spans="1:10" x14ac:dyDescent="0.45">
      <c r="A14" s="103" t="s">
        <v>131</v>
      </c>
      <c r="C14">
        <v>0.79379999999999995</v>
      </c>
      <c r="E14">
        <v>10.9575</v>
      </c>
      <c r="G14">
        <v>8.2665000000000006</v>
      </c>
    </row>
    <row r="15" spans="1:10" x14ac:dyDescent="0.45">
      <c r="A15" s="103" t="s">
        <v>132</v>
      </c>
      <c r="C15">
        <v>0.81950000000000001</v>
      </c>
      <c r="E15">
        <v>10.7057</v>
      </c>
      <c r="G15">
        <v>8.1301000000000005</v>
      </c>
    </row>
    <row r="16" spans="1:10" x14ac:dyDescent="0.45">
      <c r="A16" s="103" t="s">
        <v>133</v>
      </c>
      <c r="C16">
        <v>0.8407</v>
      </c>
      <c r="E16">
        <v>10.703099999999999</v>
      </c>
      <c r="G16">
        <v>8.0746000000000002</v>
      </c>
    </row>
    <row r="17" spans="1:7" x14ac:dyDescent="0.45">
      <c r="A17" s="103" t="s">
        <v>134</v>
      </c>
      <c r="C17">
        <v>0.83160000000000001</v>
      </c>
      <c r="E17">
        <v>10.579700000000001</v>
      </c>
      <c r="G17">
        <v>8.0469000000000008</v>
      </c>
    </row>
    <row r="18" spans="1:7" x14ac:dyDescent="0.45">
      <c r="A18" s="103" t="s">
        <v>135</v>
      </c>
      <c r="C18">
        <v>0.79620000000000002</v>
      </c>
      <c r="E18">
        <v>11.158799999999999</v>
      </c>
      <c r="G18">
        <v>8.0028000000000006</v>
      </c>
    </row>
    <row r="19" spans="1:7" x14ac:dyDescent="0.45">
      <c r="A19" s="103" t="s">
        <v>136</v>
      </c>
      <c r="C19">
        <v>0.7843</v>
      </c>
      <c r="E19">
        <v>10.9436</v>
      </c>
      <c r="G19">
        <v>7.9570999999999996</v>
      </c>
    </row>
    <row r="20" spans="1:7" x14ac:dyDescent="0.45">
      <c r="A20" s="103" t="s">
        <v>137</v>
      </c>
      <c r="C20">
        <v>0.77580000000000005</v>
      </c>
      <c r="E20">
        <v>10.8803</v>
      </c>
      <c r="G20">
        <v>7.8537999999999997</v>
      </c>
    </row>
    <row r="21" spans="1:7" x14ac:dyDescent="0.45">
      <c r="A21" s="103" t="s">
        <v>138</v>
      </c>
      <c r="C21">
        <v>0.76319999999999999</v>
      </c>
      <c r="E21">
        <v>11.0101</v>
      </c>
      <c r="G21">
        <v>7.7514000000000003</v>
      </c>
    </row>
    <row r="22" spans="1:7" x14ac:dyDescent="0.45">
      <c r="A22" s="103" t="s">
        <v>139</v>
      </c>
      <c r="C22">
        <v>0.74170000000000003</v>
      </c>
      <c r="E22">
        <v>10.8728</v>
      </c>
      <c r="G22">
        <v>7.6691000000000003</v>
      </c>
    </row>
    <row r="23" spans="1:7" x14ac:dyDescent="0.45">
      <c r="A23" s="103" t="s">
        <v>140</v>
      </c>
      <c r="C23">
        <v>0.7278</v>
      </c>
      <c r="E23">
        <v>10.952999999999999</v>
      </c>
      <c r="G23">
        <v>7.5491000000000001</v>
      </c>
    </row>
    <row r="24" spans="1:7" x14ac:dyDescent="0.45">
      <c r="A24" t="s">
        <v>141</v>
      </c>
      <c r="C24">
        <v>0.6905</v>
      </c>
      <c r="E24">
        <v>10.8405</v>
      </c>
      <c r="G24">
        <v>7.4234</v>
      </c>
    </row>
    <row r="25" spans="1:7" x14ac:dyDescent="0.45">
      <c r="A25" s="104" t="s">
        <v>142</v>
      </c>
      <c r="C25">
        <v>0.66810000000000003</v>
      </c>
      <c r="E25">
        <v>10.802099999999999</v>
      </c>
      <c r="G25">
        <v>7.1554000000000002</v>
      </c>
    </row>
    <row r="27" spans="1:7" x14ac:dyDescent="0.45">
      <c r="A27" s="105" t="s">
        <v>143</v>
      </c>
    </row>
  </sheetData>
  <mergeCells count="2">
    <mergeCell ref="A1:I1"/>
    <mergeCell ref="A3:J3"/>
  </mergeCells>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5F04-520B-40D5-B548-D3DC904BE3B7}">
  <dimension ref="A1:E22"/>
  <sheetViews>
    <sheetView zoomScale="145" zoomScaleNormal="145" workbookViewId="0">
      <selection activeCell="I36" sqref="I36"/>
    </sheetView>
  </sheetViews>
  <sheetFormatPr defaultColWidth="10.73046875" defaultRowHeight="14.25" x14ac:dyDescent="0.45"/>
  <cols>
    <col min="1" max="1" width="42.73046875" customWidth="1"/>
    <col min="2" max="2" width="16.86328125" bestFit="1" customWidth="1"/>
    <col min="3" max="3" width="13.265625" customWidth="1"/>
  </cols>
  <sheetData>
    <row r="1" spans="1:5" ht="15.4" x14ac:dyDescent="0.45">
      <c r="A1" s="39" t="s">
        <v>144</v>
      </c>
      <c r="B1" s="39"/>
      <c r="C1" s="39"/>
    </row>
    <row r="2" spans="1:5" ht="15.4" x14ac:dyDescent="0.45">
      <c r="A2" s="106" t="s">
        <v>1</v>
      </c>
      <c r="B2" s="106"/>
      <c r="C2" s="106"/>
    </row>
    <row r="3" spans="1:5" ht="15.4" x14ac:dyDescent="0.45">
      <c r="A3" s="99" t="s">
        <v>145</v>
      </c>
      <c r="B3" s="99"/>
      <c r="C3" s="99"/>
    </row>
    <row r="4" spans="1:5" x14ac:dyDescent="0.45">
      <c r="A4" s="107"/>
      <c r="B4" s="107"/>
      <c r="C4" s="107"/>
    </row>
    <row r="5" spans="1:5" x14ac:dyDescent="0.45">
      <c r="A5" s="108"/>
      <c r="B5" s="109" t="s">
        <v>146</v>
      </c>
      <c r="C5" s="110" t="s">
        <v>147</v>
      </c>
    </row>
    <row r="6" spans="1:5" x14ac:dyDescent="0.45">
      <c r="A6" s="111" t="s">
        <v>148</v>
      </c>
      <c r="B6" s="112">
        <v>4.3799999999999999E-2</v>
      </c>
      <c r="C6" s="112">
        <v>4.4299999999999999E-2</v>
      </c>
    </row>
    <row r="7" spans="1:5" x14ac:dyDescent="0.45">
      <c r="A7" s="111" t="s">
        <v>149</v>
      </c>
      <c r="B7" s="112"/>
      <c r="C7" s="112">
        <v>3.3700000000000001E-2</v>
      </c>
      <c r="D7" s="113"/>
      <c r="E7" s="113"/>
    </row>
    <row r="8" spans="1:5" x14ac:dyDescent="0.45">
      <c r="A8" s="111"/>
      <c r="B8" s="111"/>
      <c r="C8" s="111"/>
    </row>
    <row r="9" spans="1:5" x14ac:dyDescent="0.45">
      <c r="A9" s="114" t="s">
        <v>150</v>
      </c>
      <c r="B9" s="115"/>
      <c r="C9" s="116">
        <v>1.47</v>
      </c>
      <c r="D9" s="117"/>
    </row>
    <row r="10" spans="1:5" x14ac:dyDescent="0.45">
      <c r="A10" s="111"/>
      <c r="B10" s="111"/>
      <c r="C10" s="111"/>
    </row>
    <row r="11" spans="1:5" x14ac:dyDescent="0.45">
      <c r="A11" s="114" t="s">
        <v>151</v>
      </c>
      <c r="B11" s="118"/>
      <c r="C11" s="118"/>
    </row>
    <row r="12" spans="1:5" x14ac:dyDescent="0.45">
      <c r="A12" s="111"/>
      <c r="B12" s="118"/>
      <c r="C12" s="118"/>
    </row>
    <row r="13" spans="1:5" x14ac:dyDescent="0.45">
      <c r="A13" s="115">
        <v>2002</v>
      </c>
      <c r="B13" s="119"/>
      <c r="C13" s="119">
        <v>1.6E-2</v>
      </c>
    </row>
    <row r="14" spans="1:5" x14ac:dyDescent="0.45">
      <c r="A14" s="115">
        <v>2003</v>
      </c>
      <c r="B14" s="120"/>
      <c r="C14" s="119">
        <v>2.3E-2</v>
      </c>
    </row>
    <row r="15" spans="1:5" x14ac:dyDescent="0.45">
      <c r="A15" s="115">
        <v>2004</v>
      </c>
      <c r="B15" s="120"/>
      <c r="C15" s="119">
        <v>2.7E-2</v>
      </c>
    </row>
    <row r="16" spans="1:5" x14ac:dyDescent="0.45">
      <c r="A16" s="115">
        <v>2005</v>
      </c>
      <c r="B16" s="120"/>
      <c r="C16" s="119">
        <v>3.4000000000000002E-2</v>
      </c>
    </row>
    <row r="17" spans="1:3" x14ac:dyDescent="0.45">
      <c r="A17" s="115">
        <v>2006</v>
      </c>
      <c r="B17" s="120"/>
      <c r="C17" s="119">
        <v>3.2000000000000001E-2</v>
      </c>
    </row>
    <row r="18" spans="1:3" x14ac:dyDescent="0.45">
      <c r="A18" s="115">
        <v>2007</v>
      </c>
      <c r="B18" s="120"/>
      <c r="C18" s="119">
        <v>2.8000000000000001E-2</v>
      </c>
    </row>
    <row r="19" spans="1:3" x14ac:dyDescent="0.45">
      <c r="A19" s="111"/>
      <c r="B19" s="111"/>
      <c r="C19" s="111"/>
    </row>
    <row r="20" spans="1:3" ht="14.1" customHeight="1" x14ac:dyDescent="0.45">
      <c r="A20" s="121" t="s">
        <v>152</v>
      </c>
    </row>
    <row r="21" spans="1:3" x14ac:dyDescent="0.45">
      <c r="A21" s="121"/>
      <c r="B21" s="122"/>
      <c r="C21" s="122"/>
    </row>
    <row r="22" spans="1:3" x14ac:dyDescent="0.45">
      <c r="A22" s="121" t="s">
        <v>153</v>
      </c>
    </row>
  </sheetData>
  <mergeCells count="3">
    <mergeCell ref="A1:C1"/>
    <mergeCell ref="A2:C2"/>
    <mergeCell ref="A3:C3"/>
  </mergeCells>
  <pageMargins left="0.75" right="0.75" top="1" bottom="1" header="0.5" footer="0.5"/>
  <pageSetup orientation="portrait" horizontalDpi="4294967292" verticalDpi="429496729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AE03-C228-4B0D-BE19-A004CB8F7808}">
  <dimension ref="B2:B12"/>
  <sheetViews>
    <sheetView showGridLines="0" zoomScale="145" zoomScaleNormal="145" workbookViewId="0">
      <selection activeCell="I36" sqref="I36"/>
    </sheetView>
  </sheetViews>
  <sheetFormatPr defaultColWidth="8.86328125" defaultRowHeight="14.25" x14ac:dyDescent="0.45"/>
  <sheetData>
    <row r="2" spans="2:2" x14ac:dyDescent="0.45">
      <c r="B2" s="123" t="s">
        <v>154</v>
      </c>
    </row>
    <row r="4" spans="2:2" x14ac:dyDescent="0.45">
      <c r="B4" s="123" t="s">
        <v>155</v>
      </c>
    </row>
    <row r="5" spans="2:2" x14ac:dyDescent="0.45">
      <c r="B5" s="124" t="s">
        <v>156</v>
      </c>
    </row>
    <row r="6" spans="2:2" x14ac:dyDescent="0.45">
      <c r="B6" s="124" t="s">
        <v>157</v>
      </c>
    </row>
    <row r="7" spans="2:2" x14ac:dyDescent="0.45">
      <c r="B7" s="124" t="s">
        <v>158</v>
      </c>
    </row>
    <row r="8" spans="2:2" x14ac:dyDescent="0.45">
      <c r="B8" s="124" t="s">
        <v>159</v>
      </c>
    </row>
    <row r="10" spans="2:2" x14ac:dyDescent="0.45">
      <c r="B10" s="123" t="s">
        <v>160</v>
      </c>
    </row>
    <row r="11" spans="2:2" x14ac:dyDescent="0.45">
      <c r="B11" s="123" t="s">
        <v>161</v>
      </c>
    </row>
    <row r="12" spans="2:2" x14ac:dyDescent="0.45">
      <c r="B12" s="123" t="s">
        <v>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5FF9-B998-4812-B6E9-B29B0C32AEC0}">
  <dimension ref="A1:L71"/>
  <sheetViews>
    <sheetView showGridLines="0" zoomScale="102" zoomScaleNormal="175" workbookViewId="0">
      <selection activeCell="I36" sqref="I36"/>
    </sheetView>
  </sheetViews>
  <sheetFormatPr defaultColWidth="8.86328125" defaultRowHeight="14.25" x14ac:dyDescent="0.45"/>
  <cols>
    <col min="1" max="1" width="41.1328125" bestFit="1" customWidth="1"/>
    <col min="2" max="6" width="11.1328125" bestFit="1" customWidth="1"/>
    <col min="7" max="7" width="13.265625" bestFit="1" customWidth="1"/>
    <col min="8" max="8" width="12.3984375" customWidth="1"/>
    <col min="9" max="9" width="10.265625" customWidth="1"/>
    <col min="10" max="10" width="32" customWidth="1"/>
  </cols>
  <sheetData>
    <row r="1" spans="1:10" s="4" customFormat="1" x14ac:dyDescent="0.45">
      <c r="A1" s="125" t="s">
        <v>163</v>
      </c>
      <c r="B1" s="76">
        <v>1</v>
      </c>
      <c r="C1" s="76">
        <v>2</v>
      </c>
      <c r="D1" s="76">
        <v>3</v>
      </c>
      <c r="E1" s="76">
        <v>4</v>
      </c>
      <c r="F1" s="76">
        <v>5</v>
      </c>
    </row>
    <row r="2" spans="1:10" s="4" customFormat="1" x14ac:dyDescent="0.45">
      <c r="A2" s="126" t="s">
        <v>164</v>
      </c>
      <c r="B2" s="127">
        <f>'Exhibit 4'!D18</f>
        <v>17545.558800000003</v>
      </c>
      <c r="C2" s="127">
        <f>'Exhibit 4'!E18</f>
        <v>18422.836740000002</v>
      </c>
      <c r="D2" s="127">
        <f>'Exhibit 4'!F18</f>
        <v>19528.206944400004</v>
      </c>
      <c r="E2" s="127">
        <f>'Exhibit 4'!G18</f>
        <v>20895.181430508004</v>
      </c>
      <c r="F2" s="127">
        <f>'Exhibit 4'!H18</f>
        <v>22357.844130643571</v>
      </c>
    </row>
    <row r="3" spans="1:10" s="4" customFormat="1" x14ac:dyDescent="0.45">
      <c r="A3" s="126" t="s">
        <v>165</v>
      </c>
      <c r="B3" s="127">
        <f>'Exhibit 4'!D25</f>
        <v>3052.9272312000012</v>
      </c>
      <c r="C3" s="127">
        <f>'Exhibit 4'!E25</f>
        <v>3537.1846540799997</v>
      </c>
      <c r="D3" s="127">
        <f>'Exhibit 4'!F25</f>
        <v>3847.0567680468007</v>
      </c>
      <c r="E3" s="127">
        <f>'Exhibit 4'!G25</f>
        <v>4179.0362861016019</v>
      </c>
      <c r="F3" s="127">
        <f>'Exhibit 4'!H25</f>
        <v>4471.5688261287141</v>
      </c>
    </row>
    <row r="4" spans="1:10" s="4" customFormat="1" x14ac:dyDescent="0.45">
      <c r="A4" s="126" t="s">
        <v>166</v>
      </c>
      <c r="B4" s="86">
        <f>'Exhibit 4'!D29</f>
        <v>0.39500000000000002</v>
      </c>
      <c r="C4" s="86">
        <f>'Exhibit 4'!E29</f>
        <v>0.39500000000000002</v>
      </c>
      <c r="D4" s="86">
        <f>'Exhibit 4'!F29</f>
        <v>0.39500000000000002</v>
      </c>
      <c r="E4" s="86">
        <f>'Exhibit 4'!G29</f>
        <v>0.39500000000000002</v>
      </c>
      <c r="F4" s="86">
        <f>'Exhibit 4'!H29</f>
        <v>0.39500000000000002</v>
      </c>
      <c r="G4" s="86"/>
      <c r="H4" s="86"/>
    </row>
    <row r="5" spans="1:10" s="4" customFormat="1" x14ac:dyDescent="0.45">
      <c r="A5" s="126" t="s">
        <v>167</v>
      </c>
      <c r="B5" s="128">
        <f>B3*(1-B4)</f>
        <v>1847.0209748760008</v>
      </c>
      <c r="C5" s="128">
        <f>C3*(1-C4)</f>
        <v>2139.9967157183996</v>
      </c>
      <c r="D5" s="128">
        <f>D3*(1-D4)</f>
        <v>2327.4693446683145</v>
      </c>
      <c r="E5" s="128">
        <f>E3*(1-E4)</f>
        <v>2528.3169530914693</v>
      </c>
      <c r="F5" s="128">
        <f>F3*(1-F4)</f>
        <v>2705.2991398078721</v>
      </c>
    </row>
    <row r="6" spans="1:10" s="4" customFormat="1" x14ac:dyDescent="0.45">
      <c r="A6" s="126" t="s">
        <v>17</v>
      </c>
      <c r="B6" s="87">
        <f>'Exhibit 4'!D31</f>
        <v>701.82235200000014</v>
      </c>
      <c r="C6" s="87">
        <f>'Exhibit 4'!E31</f>
        <v>736.9134696000001</v>
      </c>
      <c r="D6" s="87">
        <f>'Exhibit 4'!F31</f>
        <v>781.12827777600023</v>
      </c>
      <c r="E6" s="87">
        <f>'Exhibit 4'!G31</f>
        <v>835.80725722032014</v>
      </c>
      <c r="F6" s="87">
        <f>'Exhibit 4'!H31</f>
        <v>894.31376522574283</v>
      </c>
    </row>
    <row r="7" spans="1:10" s="4" customFormat="1" x14ac:dyDescent="0.45">
      <c r="A7" s="126" t="s">
        <v>168</v>
      </c>
      <c r="B7" s="128">
        <f>B5+B6</f>
        <v>2548.8433268760009</v>
      </c>
      <c r="C7" s="128">
        <f>C5+C6</f>
        <v>2876.9101853183997</v>
      </c>
      <c r="D7" s="128">
        <f>D5+D6</f>
        <v>3108.5976224443148</v>
      </c>
      <c r="E7" s="128">
        <f>E5+E6</f>
        <v>3364.1242103117893</v>
      </c>
      <c r="F7" s="128">
        <f>F5+F6</f>
        <v>3599.6129050336149</v>
      </c>
    </row>
    <row r="8" spans="1:10" s="4" customFormat="1" x14ac:dyDescent="0.45">
      <c r="A8" s="126" t="s">
        <v>86</v>
      </c>
      <c r="B8" s="90">
        <f>'Exhibit 2 (cont.)'!E33</f>
        <v>996.9067500000001</v>
      </c>
      <c r="C8" s="129">
        <f>'Exhibit 2 (cont.)'!G33</f>
        <v>1046.7520875000002</v>
      </c>
      <c r="D8" s="128">
        <f>D2*$G$8</f>
        <v>1109.5572127500004</v>
      </c>
      <c r="E8" s="128">
        <f>E2*$G$8</f>
        <v>1187.2262176425004</v>
      </c>
      <c r="F8" s="128">
        <f>F2*$G$8</f>
        <v>1270.3320528774757</v>
      </c>
      <c r="G8" s="130">
        <f>C8/C2</f>
        <v>5.6818181818181823E-2</v>
      </c>
      <c r="H8" s="4" t="s">
        <v>169</v>
      </c>
    </row>
    <row r="9" spans="1:10" s="4" customFormat="1" x14ac:dyDescent="0.45">
      <c r="A9" s="126" t="s">
        <v>170</v>
      </c>
      <c r="B9" s="128">
        <f>B2*$G$9</f>
        <v>614.09455800000012</v>
      </c>
      <c r="C9" s="128">
        <f>C2*$G$9</f>
        <v>644.7992859000002</v>
      </c>
      <c r="D9" s="128">
        <f>D2*$G$9</f>
        <v>683.48724305400026</v>
      </c>
      <c r="E9" s="128">
        <f>E2*$G$9</f>
        <v>731.33135006778025</v>
      </c>
      <c r="F9" s="128">
        <f>F2*$G$9</f>
        <v>782.52454457252509</v>
      </c>
      <c r="G9" s="131">
        <v>3.5000000000000003E-2</v>
      </c>
      <c r="H9" s="4" t="s">
        <v>171</v>
      </c>
    </row>
    <row r="10" spans="1:10" s="4" customFormat="1" x14ac:dyDescent="0.45">
      <c r="A10" s="126" t="s">
        <v>172</v>
      </c>
      <c r="B10" s="4">
        <f>'Exhibit 2 (cont.)'!E35</f>
        <v>40</v>
      </c>
      <c r="C10" s="4">
        <f>'Exhibit 2 (cont.)'!G35</f>
        <v>50</v>
      </c>
      <c r="D10" s="128">
        <f>D2*$G$10</f>
        <v>53.000000000000007</v>
      </c>
      <c r="E10" s="128">
        <f>E2*$G$10</f>
        <v>56.71</v>
      </c>
      <c r="F10" s="128">
        <f>F2*$G$10</f>
        <v>60.679700000000018</v>
      </c>
      <c r="G10" s="132">
        <f>I10</f>
        <v>2.7140228568295933E-3</v>
      </c>
      <c r="H10" s="83">
        <f>B10/B2</f>
        <v>2.2797791997368586E-3</v>
      </c>
      <c r="I10" s="83">
        <f>C10/C2</f>
        <v>2.7140228568295933E-3</v>
      </c>
      <c r="J10" s="4" t="s">
        <v>173</v>
      </c>
    </row>
    <row r="11" spans="1:10" s="4" customFormat="1" ht="14.65" thickBot="1" x14ac:dyDescent="0.5">
      <c r="A11" s="133" t="s">
        <v>174</v>
      </c>
      <c r="B11" s="134">
        <f>B7+B8-B9-B10</f>
        <v>2891.6555188760008</v>
      </c>
      <c r="C11" s="134">
        <f>C7+C8-C9-C10</f>
        <v>3228.8629869184001</v>
      </c>
      <c r="D11" s="134">
        <f>D7+D8-D9-D10</f>
        <v>3481.6675921403144</v>
      </c>
      <c r="E11" s="134">
        <f>E7+E8-E9-E10</f>
        <v>3763.3090778865089</v>
      </c>
      <c r="F11" s="134">
        <f>F7+F8-F9-F10</f>
        <v>4026.7407133385655</v>
      </c>
    </row>
    <row r="12" spans="1:10" s="4" customFormat="1" ht="14.65" thickTop="1" x14ac:dyDescent="0.45">
      <c r="A12" s="126" t="s">
        <v>175</v>
      </c>
      <c r="B12" s="128">
        <f>B11/(1+$G$12)^B1</f>
        <v>2667.8379880976713</v>
      </c>
      <c r="C12" s="128">
        <f>C11/(1+$G$12)^C1</f>
        <v>2748.3713476472835</v>
      </c>
      <c r="D12" s="128">
        <f>D11/(1+$G$12)^D1</f>
        <v>2734.1730516441576</v>
      </c>
      <c r="E12" s="128">
        <f>E11/(1+$G$12)^E1</f>
        <v>2726.6003077744417</v>
      </c>
      <c r="F12" s="128">
        <f>F11/(1+$G$12)^F1</f>
        <v>2691.6473211254538</v>
      </c>
      <c r="G12" s="83">
        <f>K27</f>
        <v>8.3894723658959808E-2</v>
      </c>
      <c r="H12" s="4" t="s">
        <v>176</v>
      </c>
    </row>
    <row r="13" spans="1:10" s="4" customFormat="1" x14ac:dyDescent="0.45">
      <c r="A13" s="126" t="s">
        <v>177</v>
      </c>
      <c r="B13" s="128">
        <f>SUM(B12:F12)</f>
        <v>13568.630016289009</v>
      </c>
    </row>
    <row r="14" spans="1:10" s="4" customFormat="1" x14ac:dyDescent="0.45">
      <c r="A14" s="126" t="s">
        <v>90</v>
      </c>
      <c r="B14" s="128">
        <f>(F11*(1+G14))/(G12-G14)</f>
        <v>64281.920202488946</v>
      </c>
      <c r="G14" s="135">
        <v>0.02</v>
      </c>
      <c r="H14" s="4" t="s">
        <v>178</v>
      </c>
    </row>
    <row r="15" spans="1:10" s="4" customFormat="1" x14ac:dyDescent="0.45">
      <c r="A15" s="126" t="s">
        <v>179</v>
      </c>
      <c r="B15" s="128">
        <f>B14/(1+G12)^F1</f>
        <v>42968.810416992404</v>
      </c>
    </row>
    <row r="16" spans="1:10" s="4" customFormat="1" x14ac:dyDescent="0.45">
      <c r="A16" s="136" t="s">
        <v>180</v>
      </c>
      <c r="B16" s="137">
        <f>B13+B15</f>
        <v>56537.440433281416</v>
      </c>
    </row>
    <row r="17" spans="1:12" s="4" customFormat="1" x14ac:dyDescent="0.45">
      <c r="A17" s="136" t="s">
        <v>181</v>
      </c>
      <c r="B17" s="137">
        <f>B16-'Exhibit 1'!I36</f>
        <v>47397.140433281413</v>
      </c>
      <c r="G17" s="4" t="s">
        <v>182</v>
      </c>
      <c r="H17" s="4" t="s">
        <v>183</v>
      </c>
    </row>
    <row r="18" spans="1:12" s="4" customFormat="1" x14ac:dyDescent="0.45">
      <c r="A18" s="136" t="s">
        <v>184</v>
      </c>
      <c r="B18" s="138">
        <f>B17/G18</f>
        <v>65.375366114870914</v>
      </c>
      <c r="G18" s="4">
        <f>'Exhibit 4'!H38</f>
        <v>725</v>
      </c>
    </row>
    <row r="19" spans="1:12" s="4" customFormat="1" x14ac:dyDescent="0.45">
      <c r="B19" s="128"/>
    </row>
    <row r="20" spans="1:12" s="4" customFormat="1" x14ac:dyDescent="0.45">
      <c r="B20" s="128"/>
    </row>
    <row r="22" spans="1:12" x14ac:dyDescent="0.45">
      <c r="A22" t="s">
        <v>185</v>
      </c>
      <c r="J22" s="139" t="s">
        <v>186</v>
      </c>
      <c r="K22" s="140">
        <f>('Exhibit 3'!D2519*'Exhibit 4'!C38)</f>
        <v>39626.614000000001</v>
      </c>
    </row>
    <row r="23" spans="1:12" x14ac:dyDescent="0.45">
      <c r="A23" s="141" t="s">
        <v>4</v>
      </c>
      <c r="B23" s="76" t="s">
        <v>68</v>
      </c>
      <c r="C23" s="76" t="s">
        <v>69</v>
      </c>
      <c r="D23" s="76" t="s">
        <v>70</v>
      </c>
      <c r="E23" s="76" t="s">
        <v>104</v>
      </c>
      <c r="F23" s="76" t="s">
        <v>105</v>
      </c>
      <c r="G23" s="76" t="s">
        <v>106</v>
      </c>
      <c r="J23" s="142" t="s">
        <v>33</v>
      </c>
      <c r="K23" s="143">
        <f>'Exhibit 1'!I36</f>
        <v>9140.2999999999993</v>
      </c>
    </row>
    <row r="24" spans="1:12" x14ac:dyDescent="0.45">
      <c r="A24" s="89" t="s">
        <v>110</v>
      </c>
      <c r="B24" s="90">
        <v>471.3</v>
      </c>
      <c r="C24" s="90">
        <v>500</v>
      </c>
      <c r="D24" s="90">
        <v>500</v>
      </c>
      <c r="E24" s="90">
        <v>500</v>
      </c>
      <c r="F24" s="89">
        <v>500</v>
      </c>
      <c r="G24" s="89">
        <v>500</v>
      </c>
      <c r="J24" s="142" t="s">
        <v>187</v>
      </c>
      <c r="K24" s="144">
        <f>'Exhibit 6'!C7</f>
        <v>3.3700000000000001E-2</v>
      </c>
    </row>
    <row r="25" spans="1:12" x14ac:dyDescent="0.45">
      <c r="A25" s="4" t="s">
        <v>112</v>
      </c>
      <c r="B25" s="86">
        <v>0.40029718908655632</v>
      </c>
      <c r="C25" s="86">
        <v>0.39500000000000002</v>
      </c>
      <c r="D25" s="86">
        <v>0.39500000000000002</v>
      </c>
      <c r="E25" s="86">
        <v>0.39500000000000002</v>
      </c>
      <c r="F25" s="86">
        <v>0.39500000000000002</v>
      </c>
      <c r="G25" s="86">
        <v>0.39500000000000002</v>
      </c>
      <c r="J25" s="142" t="s">
        <v>188</v>
      </c>
      <c r="K25" s="144">
        <f>('Exhibit 1'!J29/'Exhibit 3'!D2519)+(('Exhibit 1'!I28/'Exhibit 1'!G28)-1)</f>
        <v>9.6113355507658371E-2</v>
      </c>
    </row>
    <row r="26" spans="1:12" x14ac:dyDescent="0.45">
      <c r="J26" s="142" t="s">
        <v>189</v>
      </c>
      <c r="K26" s="144">
        <f>B24/'Exhibit 1'!I36</f>
        <v>5.1562858987122963E-2</v>
      </c>
    </row>
    <row r="27" spans="1:12" x14ac:dyDescent="0.45">
      <c r="J27" s="145" t="s">
        <v>190</v>
      </c>
      <c r="K27" s="146">
        <f>(K22/(K23+K22)*K25)+(K23/(K23+K22)*K26*(1-B25))</f>
        <v>8.3894723658959808E-2</v>
      </c>
      <c r="L27" s="147" t="s">
        <v>191</v>
      </c>
    </row>
    <row r="57" spans="1:10" x14ac:dyDescent="0.45">
      <c r="A57" s="4"/>
      <c r="B57" s="4"/>
      <c r="C57" s="4"/>
      <c r="D57" s="4"/>
      <c r="E57" s="4"/>
      <c r="F57" s="4"/>
      <c r="G57" s="4"/>
      <c r="H57" s="4"/>
    </row>
    <row r="58" spans="1:10" x14ac:dyDescent="0.45">
      <c r="A58" s="4"/>
      <c r="B58" s="4"/>
      <c r="C58" s="148"/>
      <c r="D58" s="148"/>
      <c r="E58" s="148"/>
      <c r="F58" s="148"/>
      <c r="G58" s="148"/>
      <c r="H58" s="148"/>
    </row>
    <row r="62" spans="1:10" x14ac:dyDescent="0.45">
      <c r="D62" s="4"/>
      <c r="E62" s="4"/>
      <c r="F62" s="4"/>
      <c r="G62" s="4"/>
      <c r="H62" s="4"/>
      <c r="I62" s="4"/>
      <c r="J62" s="4"/>
    </row>
    <row r="63" spans="1:10" x14ac:dyDescent="0.45">
      <c r="D63" s="4"/>
      <c r="E63" s="4"/>
      <c r="F63" s="4"/>
      <c r="G63" s="4"/>
      <c r="H63" s="4"/>
      <c r="I63" s="4"/>
      <c r="J63" s="4"/>
    </row>
    <row r="64" spans="1:10" x14ac:dyDescent="0.45">
      <c r="D64" s="4"/>
      <c r="E64" s="4"/>
      <c r="F64" s="4"/>
      <c r="G64" s="4"/>
      <c r="H64" s="4"/>
      <c r="I64" s="4"/>
      <c r="J64" s="4"/>
    </row>
    <row r="65" spans="1:10" x14ac:dyDescent="0.45">
      <c r="D65" s="4"/>
      <c r="E65" s="4"/>
      <c r="F65" s="4"/>
      <c r="G65" s="4"/>
      <c r="H65" s="4"/>
      <c r="I65" s="4"/>
      <c r="J65" s="4"/>
    </row>
    <row r="66" spans="1:10" x14ac:dyDescent="0.45">
      <c r="D66" s="4"/>
      <c r="E66" s="149"/>
      <c r="F66" s="4"/>
      <c r="G66" s="149"/>
      <c r="H66" s="4"/>
      <c r="I66" s="4"/>
      <c r="J66" s="4"/>
    </row>
    <row r="67" spans="1:10" x14ac:dyDescent="0.45">
      <c r="D67" s="4"/>
      <c r="E67" s="4"/>
      <c r="F67" s="4"/>
      <c r="G67" s="4"/>
      <c r="H67" s="4"/>
      <c r="I67" s="4"/>
      <c r="J67" s="4"/>
    </row>
    <row r="68" spans="1:10" x14ac:dyDescent="0.45">
      <c r="D68" s="150"/>
      <c r="E68" s="4"/>
      <c r="F68" s="4"/>
      <c r="G68" s="4"/>
      <c r="H68" s="4"/>
      <c r="I68" s="4"/>
      <c r="J68" s="4"/>
    </row>
    <row r="71" spans="1:10" x14ac:dyDescent="0.45">
      <c r="A71" s="15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25C5-24A0-41C3-B6C7-D24D7E433C2E}">
  <dimension ref="A1:I17"/>
  <sheetViews>
    <sheetView showGridLines="0" zoomScale="175" zoomScaleNormal="175" workbookViewId="0">
      <selection activeCell="I36" sqref="I36"/>
    </sheetView>
  </sheetViews>
  <sheetFormatPr defaultColWidth="8.86328125" defaultRowHeight="14.25" x14ac:dyDescent="0.45"/>
  <cols>
    <col min="1" max="1" width="43" bestFit="1" customWidth="1"/>
    <col min="2" max="2" width="17.86328125" bestFit="1" customWidth="1"/>
    <col min="3" max="3" width="10.73046875" bestFit="1" customWidth="1"/>
    <col min="4" max="8" width="9.1328125" bestFit="1" customWidth="1"/>
    <col min="9" max="9" width="11.86328125" bestFit="1" customWidth="1"/>
  </cols>
  <sheetData>
    <row r="1" spans="1:9" x14ac:dyDescent="0.45">
      <c r="A1" s="152" t="s">
        <v>192</v>
      </c>
      <c r="B1" s="153"/>
    </row>
    <row r="2" spans="1:9" x14ac:dyDescent="0.45">
      <c r="A2" s="153" t="s">
        <v>193</v>
      </c>
      <c r="B2" s="154">
        <f>3000</f>
        <v>3000</v>
      </c>
    </row>
    <row r="3" spans="1:9" x14ac:dyDescent="0.45">
      <c r="A3" s="155" t="s">
        <v>194</v>
      </c>
      <c r="B3" s="156">
        <f>'Exhibit 6'!C9</f>
        <v>1.47</v>
      </c>
    </row>
    <row r="4" spans="1:9" x14ac:dyDescent="0.45">
      <c r="A4" s="155" t="s">
        <v>190</v>
      </c>
      <c r="B4" s="157">
        <f>'Question 2'!G12</f>
        <v>8.3894723658959808E-2</v>
      </c>
    </row>
    <row r="5" spans="1:9" x14ac:dyDescent="0.45">
      <c r="A5" s="155" t="s">
        <v>195</v>
      </c>
      <c r="B5" s="158">
        <f>6%</f>
        <v>0.06</v>
      </c>
    </row>
    <row r="6" spans="1:9" x14ac:dyDescent="0.45">
      <c r="A6" s="159" t="s">
        <v>196</v>
      </c>
      <c r="B6" s="157">
        <f>'Exhibit 4'!D26</f>
        <v>0.17400000000000004</v>
      </c>
      <c r="D6" s="160"/>
      <c r="E6" s="160"/>
      <c r="F6" s="160"/>
      <c r="G6" s="160"/>
      <c r="H6" s="160"/>
      <c r="I6" s="160"/>
    </row>
    <row r="7" spans="1:9" x14ac:dyDescent="0.45">
      <c r="A7" s="159" t="s">
        <v>166</v>
      </c>
      <c r="B7" s="157">
        <f>'Question 2'!B4</f>
        <v>0.39500000000000002</v>
      </c>
    </row>
    <row r="8" spans="1:9" x14ac:dyDescent="0.45">
      <c r="A8" s="155" t="s">
        <v>197</v>
      </c>
      <c r="B8" s="161">
        <f>'Question 2'!B17</f>
        <v>47397.140433281413</v>
      </c>
    </row>
    <row r="9" spans="1:9" x14ac:dyDescent="0.45">
      <c r="A9" s="155" t="s">
        <v>198</v>
      </c>
      <c r="B9" s="162">
        <f>'Question 2'!G18</f>
        <v>725</v>
      </c>
    </row>
    <row r="10" spans="1:9" x14ac:dyDescent="0.45">
      <c r="A10" s="163"/>
      <c r="B10" s="164"/>
    </row>
    <row r="12" spans="1:9" x14ac:dyDescent="0.45">
      <c r="A12" s="163" t="s">
        <v>199</v>
      </c>
      <c r="B12" s="165">
        <f>B2*B3</f>
        <v>4410</v>
      </c>
    </row>
    <row r="13" spans="1:9" x14ac:dyDescent="0.45">
      <c r="A13" s="163" t="s">
        <v>165</v>
      </c>
      <c r="B13" s="165">
        <f>B12*B6</f>
        <v>767.34000000000015</v>
      </c>
      <c r="C13" s="160"/>
    </row>
    <row r="14" spans="1:9" x14ac:dyDescent="0.45">
      <c r="A14" s="163" t="s">
        <v>200</v>
      </c>
      <c r="B14" s="165">
        <f>B13*(1-B7)</f>
        <v>464.24070000000006</v>
      </c>
      <c r="C14" s="166"/>
    </row>
    <row r="15" spans="1:9" x14ac:dyDescent="0.45">
      <c r="A15" s="163" t="s">
        <v>201</v>
      </c>
      <c r="B15" s="165">
        <f>B14/(B4-B5)</f>
        <v>19428.586269752635</v>
      </c>
      <c r="C15" t="s">
        <v>202</v>
      </c>
    </row>
    <row r="16" spans="1:9" x14ac:dyDescent="0.45">
      <c r="A16" s="167" t="s">
        <v>197</v>
      </c>
      <c r="B16" s="168">
        <f>B8+B15</f>
        <v>66825.726703034044</v>
      </c>
    </row>
    <row r="17" spans="1:2" x14ac:dyDescent="0.45">
      <c r="A17" s="167" t="s">
        <v>203</v>
      </c>
      <c r="B17" s="168">
        <f>B16/B9</f>
        <v>92.173416142115926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0781-1F67-4AA5-BA61-BCDA7F50F42F}">
  <dimension ref="A1:AK77"/>
  <sheetViews>
    <sheetView showGridLines="0" topLeftCell="D1" zoomScale="160" zoomScaleNormal="160" workbookViewId="0">
      <selection activeCell="I36" sqref="I36"/>
    </sheetView>
  </sheetViews>
  <sheetFormatPr defaultColWidth="8.86328125" defaultRowHeight="14.25" x14ac:dyDescent="0.45"/>
  <cols>
    <col min="1" max="1" width="42.1328125" bestFit="1" customWidth="1"/>
    <col min="2" max="2" width="15.3984375" bestFit="1" customWidth="1"/>
    <col min="3" max="3" width="10.73046875" bestFit="1" customWidth="1"/>
    <col min="4" max="4" width="13" bestFit="1" customWidth="1"/>
    <col min="5" max="5" width="10.265625" bestFit="1" customWidth="1"/>
    <col min="6" max="6" width="13.3984375" bestFit="1" customWidth="1"/>
    <col min="7" max="7" width="6.73046875" bestFit="1" customWidth="1"/>
    <col min="10" max="10" width="9.86328125" customWidth="1"/>
  </cols>
  <sheetData>
    <row r="1" spans="1:37" x14ac:dyDescent="0.45">
      <c r="A1" t="s">
        <v>204</v>
      </c>
    </row>
    <row r="2" spans="1:37" x14ac:dyDescent="0.45">
      <c r="A2" t="s">
        <v>190</v>
      </c>
      <c r="B2" s="113">
        <f>'Question 2'!K27</f>
        <v>8.3894723658959808E-2</v>
      </c>
    </row>
    <row r="3" spans="1:37" x14ac:dyDescent="0.45">
      <c r="A3" t="s">
        <v>205</v>
      </c>
      <c r="B3" s="169">
        <f>'Question 2'!G14</f>
        <v>0.02</v>
      </c>
    </row>
    <row r="4" spans="1:37" x14ac:dyDescent="0.45">
      <c r="A4" t="s">
        <v>166</v>
      </c>
      <c r="B4" s="170">
        <f>'Question 3'!B7</f>
        <v>0.39500000000000002</v>
      </c>
      <c r="K4" s="171" t="s">
        <v>206</v>
      </c>
      <c r="L4" s="171"/>
      <c r="M4" s="171"/>
      <c r="N4" s="171"/>
      <c r="O4" s="171"/>
      <c r="P4" s="171"/>
      <c r="Q4" s="172"/>
    </row>
    <row r="5" spans="1:37" x14ac:dyDescent="0.45">
      <c r="A5" t="s">
        <v>207</v>
      </c>
      <c r="B5" s="170">
        <v>3.5000000000000003E-2</v>
      </c>
      <c r="L5" s="173" t="s">
        <v>208</v>
      </c>
      <c r="M5" s="173"/>
      <c r="N5" s="173"/>
      <c r="O5" s="173"/>
      <c r="P5" s="173"/>
    </row>
    <row r="6" spans="1:37" x14ac:dyDescent="0.45">
      <c r="A6" t="s">
        <v>209</v>
      </c>
      <c r="B6" s="174">
        <f>'Question 3'!B9</f>
        <v>725</v>
      </c>
      <c r="K6" s="175">
        <f>B31</f>
        <v>65.375366114870914</v>
      </c>
      <c r="L6" s="176">
        <v>0.01</v>
      </c>
      <c r="M6" s="177">
        <v>1.4999999999999999E-2</v>
      </c>
      <c r="N6" s="176">
        <v>0.02</v>
      </c>
      <c r="O6" s="177">
        <v>2.5000000000000001E-2</v>
      </c>
      <c r="P6" s="178">
        <v>0.03</v>
      </c>
      <c r="R6" s="40" t="s">
        <v>210</v>
      </c>
    </row>
    <row r="7" spans="1:37" x14ac:dyDescent="0.45">
      <c r="A7" t="s">
        <v>211</v>
      </c>
      <c r="B7">
        <f>'Exhibit 1'!I36</f>
        <v>9140.2999999999993</v>
      </c>
      <c r="J7" s="179" t="s">
        <v>190</v>
      </c>
      <c r="K7" s="180">
        <v>7.3999999999999996E-2</v>
      </c>
      <c r="L7" s="164">
        <f t="dataTable" ref="L7:P11" dt2D="1" dtr="1" r1="B3" r2="B2"/>
        <v>67.970887154239165</v>
      </c>
      <c r="M7" s="164">
        <v>73.498486445203184</v>
      </c>
      <c r="N7" s="164">
        <v>80.049715234493902</v>
      </c>
      <c r="O7" s="164">
        <v>87.937929490986775</v>
      </c>
      <c r="P7" s="181">
        <v>97.618919714864418</v>
      </c>
      <c r="R7" s="40"/>
    </row>
    <row r="8" spans="1:37" x14ac:dyDescent="0.45">
      <c r="A8" t="s">
        <v>212</v>
      </c>
      <c r="B8" s="182">
        <f>'Question 3'!B3</f>
        <v>1.47</v>
      </c>
      <c r="J8" s="179"/>
      <c r="K8" s="180">
        <v>7.9000000000000001E-2</v>
      </c>
      <c r="L8" s="164">
        <v>61.952403568908458</v>
      </c>
      <c r="M8" s="183">
        <v>66.591899733970379</v>
      </c>
      <c r="N8" s="183">
        <v>72.017751181246197</v>
      </c>
      <c r="O8" s="183">
        <v>78.448389933573054</v>
      </c>
      <c r="P8" s="181">
        <v>86.191403941476835</v>
      </c>
      <c r="R8" s="150" t="s">
        <v>213</v>
      </c>
    </row>
    <row r="9" spans="1:37" x14ac:dyDescent="0.45">
      <c r="A9" t="s">
        <v>214</v>
      </c>
      <c r="B9" s="184">
        <f>'Question 3'!B2</f>
        <v>3000</v>
      </c>
      <c r="J9" s="179"/>
      <c r="K9" s="180">
        <v>8.4000000000000005E-2</v>
      </c>
      <c r="L9" s="164">
        <v>56.750189519648515</v>
      </c>
      <c r="M9" s="183">
        <v>60.689205332509431</v>
      </c>
      <c r="N9" s="185">
        <v>65.243692366129892</v>
      </c>
      <c r="O9" s="183">
        <v>70.570126354601257</v>
      </c>
      <c r="P9" s="181">
        <v>76.882937007604369</v>
      </c>
    </row>
    <row r="10" spans="1:37" x14ac:dyDescent="0.45">
      <c r="A10" t="s">
        <v>215</v>
      </c>
      <c r="B10" s="169">
        <f>'Question 3'!B5</f>
        <v>0.06</v>
      </c>
      <c r="J10" s="179"/>
      <c r="K10" s="180">
        <v>8.8999999999999996E-2</v>
      </c>
      <c r="L10" s="164">
        <v>52.20919198407276</v>
      </c>
      <c r="M10" s="183">
        <v>55.586847339002595</v>
      </c>
      <c r="N10" s="183">
        <v>59.454017962762855</v>
      </c>
      <c r="O10" s="183">
        <v>63.925433996485623</v>
      </c>
      <c r="P10" s="181">
        <v>69.154717154568218</v>
      </c>
    </row>
    <row r="11" spans="1:37" x14ac:dyDescent="0.45">
      <c r="A11" t="s">
        <v>216</v>
      </c>
      <c r="B11" s="170">
        <f>'Question 3'!B6</f>
        <v>0.17400000000000004</v>
      </c>
      <c r="J11" s="179"/>
      <c r="K11" s="186">
        <v>9.4E-2</v>
      </c>
      <c r="L11" s="187">
        <v>48.21127708409329</v>
      </c>
      <c r="M11" s="187">
        <v>51.132804715670105</v>
      </c>
      <c r="N11" s="187">
        <v>54.449133378541106</v>
      </c>
      <c r="O11" s="187">
        <v>58.246089383857147</v>
      </c>
      <c r="P11" s="188">
        <v>62.63631976500384</v>
      </c>
    </row>
    <row r="12" spans="1:37" x14ac:dyDescent="0.45">
      <c r="A12" t="s">
        <v>217</v>
      </c>
      <c r="B12" s="169">
        <v>0</v>
      </c>
    </row>
    <row r="14" spans="1:37" x14ac:dyDescent="0.45">
      <c r="A14" s="189"/>
      <c r="B14" s="190">
        <v>1</v>
      </c>
      <c r="C14" s="190">
        <v>2</v>
      </c>
      <c r="D14" s="190">
        <v>3</v>
      </c>
      <c r="E14" s="190">
        <v>4</v>
      </c>
      <c r="F14" s="190">
        <v>5</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37" x14ac:dyDescent="0.45">
      <c r="A15" s="191" t="s">
        <v>164</v>
      </c>
      <c r="B15" s="192">
        <f>'Question 2'!B2</f>
        <v>17545.558800000003</v>
      </c>
      <c r="C15" s="192">
        <f>'Question 2'!C2</f>
        <v>18422.836740000002</v>
      </c>
      <c r="D15" s="192">
        <f>'Question 2'!D2</f>
        <v>19528.206944400004</v>
      </c>
      <c r="E15" s="192">
        <f>'Question 2'!E2</f>
        <v>20895.181430508004</v>
      </c>
      <c r="F15" s="192">
        <f>'Question 2'!F2</f>
        <v>22357.844130643571</v>
      </c>
      <c r="I15" s="4"/>
      <c r="J15" s="171" t="s">
        <v>206</v>
      </c>
      <c r="K15" s="171"/>
      <c r="L15" s="171"/>
      <c r="M15" s="171"/>
      <c r="N15" s="171"/>
      <c r="O15" s="171"/>
      <c r="P15" s="171"/>
      <c r="Q15" s="4"/>
      <c r="R15" s="4"/>
      <c r="S15" s="4"/>
      <c r="AD15" s="4"/>
      <c r="AE15" s="4"/>
      <c r="AF15" s="4"/>
      <c r="AG15" s="4"/>
      <c r="AH15" s="4"/>
      <c r="AI15" s="4"/>
      <c r="AJ15" s="4"/>
      <c r="AK15" s="4"/>
    </row>
    <row r="16" spans="1:37" x14ac:dyDescent="0.45">
      <c r="A16" s="191" t="s">
        <v>165</v>
      </c>
      <c r="B16" s="192">
        <f>'Question 2'!B3</f>
        <v>3052.9272312000012</v>
      </c>
      <c r="C16" s="192">
        <f>'Question 2'!C3</f>
        <v>3537.1846540799997</v>
      </c>
      <c r="D16" s="192">
        <f>'Question 2'!D3</f>
        <v>3847.0567680468007</v>
      </c>
      <c r="E16" s="192">
        <f>'Question 2'!E3</f>
        <v>4179.0362861016019</v>
      </c>
      <c r="F16" s="192">
        <f>'Question 2'!F3</f>
        <v>4471.5688261287141</v>
      </c>
      <c r="I16" s="4"/>
      <c r="J16" s="4"/>
      <c r="K16" s="4"/>
      <c r="L16" s="193" t="s">
        <v>190</v>
      </c>
      <c r="M16" s="193"/>
      <c r="N16" s="193"/>
      <c r="O16" s="193"/>
      <c r="P16" s="193"/>
      <c r="Q16" s="4"/>
      <c r="R16" s="4"/>
      <c r="S16" s="4"/>
      <c r="AD16" s="4"/>
      <c r="AE16" s="4"/>
      <c r="AF16" s="4"/>
      <c r="AG16" s="4"/>
      <c r="AH16" s="4"/>
      <c r="AI16" s="4"/>
      <c r="AJ16" s="4"/>
      <c r="AK16" s="4"/>
    </row>
    <row r="17" spans="1:37" ht="15" customHeight="1" x14ac:dyDescent="0.45">
      <c r="A17" s="191" t="s">
        <v>218</v>
      </c>
      <c r="B17" s="192">
        <f>B16*(1-$B$4)</f>
        <v>1847.0209748760008</v>
      </c>
      <c r="C17" s="192">
        <f t="shared" ref="C17:F17" si="0">C16*(1-$B$4)</f>
        <v>2139.9967157183996</v>
      </c>
      <c r="D17" s="192">
        <f t="shared" si="0"/>
        <v>2327.4693446683145</v>
      </c>
      <c r="E17" s="192">
        <f t="shared" si="0"/>
        <v>2528.3169530914693</v>
      </c>
      <c r="F17" s="192">
        <f t="shared" si="0"/>
        <v>2705.2991398078721</v>
      </c>
      <c r="I17" s="4"/>
      <c r="J17" s="4"/>
      <c r="K17" s="194">
        <f>F43</f>
        <v>71.907424864816306</v>
      </c>
      <c r="L17" s="195">
        <f>M17-0.5%</f>
        <v>7.3894723658959799E-2</v>
      </c>
      <c r="M17" s="196">
        <f>N17-0.5%</f>
        <v>7.8894723658959803E-2</v>
      </c>
      <c r="N17" s="197">
        <f>B2</f>
        <v>8.3894723658959808E-2</v>
      </c>
      <c r="O17" s="196">
        <f>N17+0.5%</f>
        <v>8.8894723658959812E-2</v>
      </c>
      <c r="P17" s="198">
        <f>O17+0.5%</f>
        <v>9.3894723658959817E-2</v>
      </c>
      <c r="Q17" s="4"/>
      <c r="R17" s="150" t="s">
        <v>219</v>
      </c>
      <c r="S17" s="4"/>
      <c r="AD17" s="4"/>
      <c r="AE17" s="4"/>
      <c r="AF17" s="4"/>
      <c r="AG17" s="4"/>
      <c r="AH17" s="4"/>
      <c r="AI17" s="4"/>
      <c r="AJ17" s="4"/>
      <c r="AK17" s="4"/>
    </row>
    <row r="18" spans="1:37" ht="15" customHeight="1" x14ac:dyDescent="0.45">
      <c r="A18" s="191" t="s">
        <v>220</v>
      </c>
      <c r="B18" s="68">
        <f>'Question 2'!B6</f>
        <v>701.82235200000014</v>
      </c>
      <c r="C18" s="68">
        <f>'Question 2'!C6</f>
        <v>736.9134696000001</v>
      </c>
      <c r="D18" s="68">
        <f>'Question 2'!D6</f>
        <v>781.12827777600023</v>
      </c>
      <c r="E18" s="68">
        <f>'Question 2'!E6</f>
        <v>835.80725722032014</v>
      </c>
      <c r="F18" s="68">
        <f>'Question 2'!F6</f>
        <v>894.31376522574283</v>
      </c>
      <c r="I18" s="4"/>
      <c r="J18" s="199" t="s">
        <v>221</v>
      </c>
      <c r="K18" s="200">
        <f>K19-0.5</f>
        <v>10.9</v>
      </c>
      <c r="L18" s="201">
        <f t="dataTable" ref="L18:P22" dt2D="1" dtr="1" r1="B2" r2="F41" ca="1"/>
        <v>68.989062083108294</v>
      </c>
      <c r="M18" s="202">
        <v>70.617789193043507</v>
      </c>
      <c r="N18" s="202">
        <v>70.617789193043507</v>
      </c>
      <c r="O18" s="202">
        <v>68.989062083108294</v>
      </c>
      <c r="P18" s="203">
        <v>65.864784119873761</v>
      </c>
      <c r="Q18" s="4"/>
      <c r="R18" s="150"/>
      <c r="S18" s="4"/>
      <c r="AD18" s="4"/>
      <c r="AE18" s="4"/>
      <c r="AF18" s="4"/>
      <c r="AG18" s="4"/>
      <c r="AH18" s="4"/>
      <c r="AI18" s="4"/>
      <c r="AJ18" s="4"/>
      <c r="AK18" s="4"/>
    </row>
    <row r="19" spans="1:37" x14ac:dyDescent="0.45">
      <c r="A19" s="191" t="s">
        <v>222</v>
      </c>
      <c r="B19" s="192">
        <f>B17+B18</f>
        <v>2548.8433268760009</v>
      </c>
      <c r="C19" s="192">
        <f t="shared" ref="C19:F19" si="1">C17+C18</f>
        <v>2876.9101853183997</v>
      </c>
      <c r="D19" s="192">
        <f t="shared" si="1"/>
        <v>3108.5976224443148</v>
      </c>
      <c r="E19" s="192">
        <f t="shared" si="1"/>
        <v>3364.1242103117893</v>
      </c>
      <c r="F19" s="192">
        <f t="shared" si="1"/>
        <v>3599.6129050336149</v>
      </c>
      <c r="I19" s="4"/>
      <c r="J19" s="199"/>
      <c r="K19" s="204">
        <f>K20-0.5</f>
        <v>11.4</v>
      </c>
      <c r="L19" s="205">
        <v>65.824426207736352</v>
      </c>
      <c r="M19" s="206">
        <v>67.378441064922242</v>
      </c>
      <c r="N19" s="206">
        <v>67.378441064922242</v>
      </c>
      <c r="O19" s="206">
        <v>65.824426207736352</v>
      </c>
      <c r="P19" s="207">
        <v>62.843463747402488</v>
      </c>
      <c r="Q19" s="4"/>
      <c r="R19" s="150" t="s">
        <v>213</v>
      </c>
      <c r="S19" s="4"/>
      <c r="AD19" s="4"/>
      <c r="AE19" s="4"/>
      <c r="AF19" s="4"/>
      <c r="AG19" s="4"/>
      <c r="AH19" s="4"/>
      <c r="AI19" s="4"/>
      <c r="AJ19" s="4"/>
      <c r="AK19" s="4"/>
    </row>
    <row r="20" spans="1:37" x14ac:dyDescent="0.45">
      <c r="A20" s="191" t="s">
        <v>86</v>
      </c>
      <c r="B20" s="65">
        <f>'Question 2'!B8</f>
        <v>996.9067500000001</v>
      </c>
      <c r="C20" s="65">
        <f>'Question 2'!C8</f>
        <v>1046.7520875000002</v>
      </c>
      <c r="D20" s="65">
        <f>'Question 2'!D8</f>
        <v>1109.5572127500004</v>
      </c>
      <c r="E20" s="65">
        <f>'Question 2'!E8</f>
        <v>1187.2262176425004</v>
      </c>
      <c r="F20" s="65">
        <f>'Question 2'!F8</f>
        <v>1270.3320528774757</v>
      </c>
      <c r="I20" s="4"/>
      <c r="J20" s="199"/>
      <c r="K20" s="204">
        <f>F41</f>
        <v>11.9</v>
      </c>
      <c r="L20" s="205">
        <v>65.824426207736352</v>
      </c>
      <c r="M20" s="206">
        <v>67.378441064922242</v>
      </c>
      <c r="N20" s="208">
        <v>67.378441064922242</v>
      </c>
      <c r="O20" s="206">
        <v>65.824426207736352</v>
      </c>
      <c r="P20" s="207">
        <v>62.843463747402488</v>
      </c>
      <c r="Q20" s="4"/>
      <c r="R20" s="4"/>
      <c r="S20" s="4"/>
      <c r="AD20" s="4"/>
      <c r="AE20" s="4"/>
      <c r="AF20" s="4"/>
      <c r="AG20" s="4"/>
      <c r="AH20" s="4"/>
      <c r="AI20" s="4"/>
      <c r="AJ20" s="4"/>
      <c r="AK20" s="4"/>
    </row>
    <row r="21" spans="1:37" x14ac:dyDescent="0.45">
      <c r="A21" s="191" t="s">
        <v>223</v>
      </c>
      <c r="B21" s="192">
        <f>B15*$B$5</f>
        <v>614.09455800000012</v>
      </c>
      <c r="C21" s="192">
        <f t="shared" ref="C21:F21" si="2">C15*$B$5</f>
        <v>644.7992859000002</v>
      </c>
      <c r="D21" s="192">
        <f t="shared" si="2"/>
        <v>683.48724305400026</v>
      </c>
      <c r="E21" s="192">
        <f t="shared" si="2"/>
        <v>731.33135006778025</v>
      </c>
      <c r="F21" s="192">
        <f t="shared" si="2"/>
        <v>782.52454457252509</v>
      </c>
      <c r="I21" s="4"/>
      <c r="J21" s="199"/>
      <c r="K21" s="204">
        <f>K20+0.5</f>
        <v>12.4</v>
      </c>
      <c r="L21" s="205">
        <v>68.989062083108294</v>
      </c>
      <c r="M21" s="206">
        <v>70.617789193043507</v>
      </c>
      <c r="N21" s="206">
        <v>70.617789193043507</v>
      </c>
      <c r="O21" s="206">
        <v>68.989062083108294</v>
      </c>
      <c r="P21" s="207">
        <v>65.864784119873761</v>
      </c>
      <c r="Q21" s="4"/>
      <c r="R21" s="4"/>
      <c r="S21" s="4"/>
      <c r="AD21" s="4"/>
      <c r="AE21" s="4"/>
      <c r="AF21" s="4"/>
      <c r="AG21" s="4"/>
      <c r="AH21" s="4"/>
      <c r="AI21" s="4"/>
      <c r="AJ21" s="4"/>
      <c r="AK21" s="4"/>
    </row>
    <row r="22" spans="1:37" x14ac:dyDescent="0.45">
      <c r="A22" s="191" t="s">
        <v>172</v>
      </c>
      <c r="B22">
        <f>'Question 2'!B10</f>
        <v>40</v>
      </c>
      <c r="C22">
        <f>'Question 2'!C10</f>
        <v>50</v>
      </c>
      <c r="D22">
        <f>'Question 2'!D10</f>
        <v>53.000000000000007</v>
      </c>
      <c r="E22">
        <f>'Question 2'!E10</f>
        <v>56.71</v>
      </c>
      <c r="F22">
        <f>'Question 2'!F10</f>
        <v>60.679700000000018</v>
      </c>
      <c r="I22" s="4"/>
      <c r="J22" s="199"/>
      <c r="K22" s="209">
        <f>K21+0.5</f>
        <v>12.9</v>
      </c>
      <c r="L22" s="210">
        <v>75.318333833852179</v>
      </c>
      <c r="M22" s="211">
        <v>77.096485449286035</v>
      </c>
      <c r="N22" s="211">
        <v>77.096485449286035</v>
      </c>
      <c r="O22" s="211">
        <v>75.318333833852179</v>
      </c>
      <c r="P22" s="212">
        <v>71.907424864816306</v>
      </c>
      <c r="Q22" s="4"/>
      <c r="R22" s="4"/>
      <c r="S22" s="4"/>
      <c r="AD22" s="4"/>
      <c r="AE22" s="4"/>
      <c r="AF22" s="4"/>
      <c r="AG22" s="4"/>
      <c r="AH22" s="4"/>
      <c r="AI22" s="4"/>
      <c r="AJ22" s="4"/>
      <c r="AK22" s="4"/>
    </row>
    <row r="23" spans="1:37" ht="14.65" thickBot="1" x14ac:dyDescent="0.5">
      <c r="A23" s="213" t="s">
        <v>224</v>
      </c>
      <c r="B23" s="214">
        <f>B19+B20-B21-B22</f>
        <v>2891.6555188760008</v>
      </c>
      <c r="C23" s="214">
        <f t="shared" ref="C23:F23" si="3">C19+C20-C21-C22</f>
        <v>3228.8629869184001</v>
      </c>
      <c r="D23" s="214">
        <f t="shared" si="3"/>
        <v>3481.6675921403144</v>
      </c>
      <c r="E23" s="214">
        <f t="shared" si="3"/>
        <v>3763.3090778865089</v>
      </c>
      <c r="F23" s="214">
        <f t="shared" si="3"/>
        <v>4026.7407133385655</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spans="1:37" ht="14.65" thickTop="1" x14ac:dyDescent="0.45">
      <c r="A24" s="191" t="s">
        <v>225</v>
      </c>
      <c r="B24" s="166">
        <f>1/((1+$B$2)^B14)</f>
        <v>0.92259882641023294</v>
      </c>
      <c r="C24" s="166">
        <f t="shared" ref="C24:F24" si="4">1/((1+$B$2)^C14)</f>
        <v>0.85118859449353912</v>
      </c>
      <c r="D24" s="166">
        <f t="shared" si="4"/>
        <v>0.78530559833351488</v>
      </c>
      <c r="E24" s="166">
        <f t="shared" si="4"/>
        <v>0.72452202339588656</v>
      </c>
      <c r="F24" s="166">
        <f t="shared" si="4"/>
        <v>0.66844316849341234</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x14ac:dyDescent="0.45">
      <c r="A25" s="191" t="s">
        <v>226</v>
      </c>
      <c r="B25" s="166">
        <f>B23*B24</f>
        <v>2667.8379880976713</v>
      </c>
      <c r="C25" s="166">
        <f t="shared" ref="C25:F25" si="5">C23*C24</f>
        <v>2748.3713476472835</v>
      </c>
      <c r="D25" s="166">
        <f t="shared" si="5"/>
        <v>2734.1730516441576</v>
      </c>
      <c r="E25" s="166">
        <f t="shared" si="5"/>
        <v>2726.6003077744417</v>
      </c>
      <c r="F25" s="166">
        <f t="shared" si="5"/>
        <v>2691.6473211254543</v>
      </c>
      <c r="R25" s="4"/>
      <c r="S25" s="4"/>
      <c r="T25" s="4"/>
      <c r="U25" s="4"/>
      <c r="V25" s="4"/>
      <c r="W25" s="4"/>
      <c r="X25" s="4"/>
      <c r="Y25" s="4"/>
      <c r="Z25" s="4"/>
      <c r="AA25" s="4"/>
      <c r="AB25" s="4"/>
      <c r="AC25" s="4"/>
      <c r="AD25" s="4"/>
      <c r="AE25" s="4"/>
      <c r="AF25" s="4"/>
      <c r="AG25" s="4"/>
      <c r="AH25" s="4"/>
      <c r="AI25" s="4"/>
      <c r="AJ25" s="4"/>
      <c r="AK25" s="4"/>
    </row>
    <row r="26" spans="1:37" x14ac:dyDescent="0.45">
      <c r="A26" s="126" t="s">
        <v>177</v>
      </c>
      <c r="B26" s="128">
        <f>SUM(B25:F25)</f>
        <v>13568.630016289009</v>
      </c>
      <c r="R26" s="4"/>
      <c r="S26" s="4"/>
      <c r="T26" s="4"/>
      <c r="U26" s="4"/>
      <c r="V26" s="4"/>
      <c r="W26" s="4"/>
      <c r="X26" s="4"/>
      <c r="Y26" s="4"/>
      <c r="Z26" s="4"/>
      <c r="AA26" s="4"/>
      <c r="AB26" s="4"/>
      <c r="AC26" s="4"/>
      <c r="AD26" s="4"/>
      <c r="AE26" s="4"/>
      <c r="AF26" s="4"/>
      <c r="AG26" s="4"/>
      <c r="AH26" s="4"/>
      <c r="AI26" s="4"/>
      <c r="AJ26" s="4"/>
      <c r="AK26" s="4"/>
    </row>
    <row r="27" spans="1:37" x14ac:dyDescent="0.45">
      <c r="A27" s="126" t="s">
        <v>90</v>
      </c>
      <c r="B27" s="128">
        <f>(F25*(1+B3))/(B2-B3)</f>
        <v>42968.810416992404</v>
      </c>
      <c r="R27" s="4"/>
      <c r="S27" s="4"/>
      <c r="T27" s="4"/>
      <c r="U27" s="4"/>
      <c r="V27" s="4"/>
      <c r="W27" s="4"/>
      <c r="X27" s="4"/>
      <c r="Y27" s="4"/>
      <c r="Z27" s="4"/>
      <c r="AA27" s="4"/>
      <c r="AB27" s="4"/>
      <c r="AC27" s="4"/>
      <c r="AD27" s="4"/>
      <c r="AE27" s="4"/>
      <c r="AF27" s="4"/>
      <c r="AG27" s="4"/>
      <c r="AH27" s="4"/>
      <c r="AI27" s="4"/>
      <c r="AJ27" s="4"/>
      <c r="AK27" s="4"/>
    </row>
    <row r="28" spans="1:37" x14ac:dyDescent="0.45">
      <c r="A28" s="126" t="s">
        <v>179</v>
      </c>
      <c r="B28" s="128">
        <f>(F23*(1+B3))/(B2-B3)</f>
        <v>64281.920202488946</v>
      </c>
      <c r="R28" s="4"/>
      <c r="U28" s="4"/>
      <c r="V28" s="4"/>
      <c r="W28" s="4"/>
      <c r="X28" s="4"/>
      <c r="Y28" s="4"/>
      <c r="Z28" s="4"/>
      <c r="AA28" s="4"/>
      <c r="AB28" s="4"/>
      <c r="AC28" s="4"/>
      <c r="AD28" s="4"/>
      <c r="AE28" s="4"/>
      <c r="AF28" s="4"/>
      <c r="AG28" s="4"/>
      <c r="AH28" s="4"/>
      <c r="AI28" s="4"/>
      <c r="AJ28" s="4"/>
      <c r="AK28" s="4"/>
    </row>
    <row r="29" spans="1:37" x14ac:dyDescent="0.45">
      <c r="A29" s="136" t="s">
        <v>180</v>
      </c>
      <c r="B29" s="137">
        <f>B27+B26</f>
        <v>56537.440433281416</v>
      </c>
      <c r="R29" s="4"/>
      <c r="U29" s="4"/>
      <c r="V29" s="4"/>
      <c r="W29" s="4"/>
      <c r="X29" s="4"/>
      <c r="Y29" s="4"/>
      <c r="Z29" s="4"/>
      <c r="AA29" s="4"/>
      <c r="AB29" s="4"/>
      <c r="AC29" s="4"/>
      <c r="AD29" s="4"/>
      <c r="AE29" s="4"/>
      <c r="AF29" s="4"/>
      <c r="AG29" s="4"/>
      <c r="AH29" s="4"/>
      <c r="AI29" s="4"/>
      <c r="AJ29" s="4"/>
      <c r="AK29" s="4"/>
    </row>
    <row r="30" spans="1:37" x14ac:dyDescent="0.45">
      <c r="A30" s="136" t="s">
        <v>181</v>
      </c>
      <c r="B30" s="137">
        <f>B29-'Exhibit 1'!I36</f>
        <v>47397.140433281413</v>
      </c>
    </row>
    <row r="31" spans="1:37" x14ac:dyDescent="0.45">
      <c r="A31" s="136" t="s">
        <v>184</v>
      </c>
      <c r="B31" s="138">
        <f>B30/B6</f>
        <v>65.375366114870914</v>
      </c>
    </row>
    <row r="35" spans="1:9" x14ac:dyDescent="0.45">
      <c r="B35" s="150" t="s">
        <v>227</v>
      </c>
      <c r="C35" s="215">
        <v>0</v>
      </c>
      <c r="D35" s="215">
        <v>1</v>
      </c>
      <c r="E35" s="215">
        <v>2</v>
      </c>
      <c r="F35" s="215">
        <v>3</v>
      </c>
      <c r="G35" s="215">
        <v>4</v>
      </c>
      <c r="H35" s="215">
        <v>5</v>
      </c>
    </row>
    <row r="36" spans="1:9" x14ac:dyDescent="0.45">
      <c r="B36" s="150" t="s">
        <v>228</v>
      </c>
      <c r="C36" s="148">
        <f>'Question 4'!C73+'Question 4'!C66+'Question 4'!C69+'Question 4'!C72</f>
        <v>4660.9470989056372</v>
      </c>
      <c r="D36" s="148">
        <f>'Question 4'!D73+'Question 4'!D66+'Question 4'!D69+'Question 4'!D72</f>
        <v>4914.7865286545475</v>
      </c>
      <c r="E36" s="148">
        <f>'Question 4'!E73+'Question 4'!E66+'Question 4'!E69+'Question 4'!E72</f>
        <v>5492.136916407273</v>
      </c>
      <c r="F36" s="148">
        <f>'Question 4'!F73+'Question 4'!F66+'Question 4'!F69+'Question 4'!F72</f>
        <v>5919.3061661137108</v>
      </c>
      <c r="G36" s="148">
        <f>'Question 4'!G73+'Question 4'!G66+'Question 4'!G69+'Question 4'!G72</f>
        <v>6396.3431420331945</v>
      </c>
      <c r="H36" s="148">
        <f>'Question 4'!H73+'Question 4'!H66+'Question 4'!H69+'Question 4'!H72</f>
        <v>6844.0871619755198</v>
      </c>
      <c r="I36" s="216" t="s">
        <v>229</v>
      </c>
    </row>
    <row r="37" spans="1:9" x14ac:dyDescent="0.45">
      <c r="B37" s="150" t="s">
        <v>230</v>
      </c>
      <c r="C37" s="148">
        <f>C36/(1+'Question 4'!$D$71)^C35</f>
        <v>4660.9470989056372</v>
      </c>
      <c r="D37" s="148">
        <f>D36/(1+$B$2)^D35</f>
        <v>4534.3762833935079</v>
      </c>
      <c r="E37" s="148">
        <f t="shared" ref="E37:H37" si="6">E36/(1+$B$2)^E35</f>
        <v>4674.8443026427867</v>
      </c>
      <c r="F37" s="148">
        <f t="shared" si="6"/>
        <v>4648.464270499192</v>
      </c>
      <c r="G37" s="148">
        <f t="shared" si="6"/>
        <v>4634.2914756002929</v>
      </c>
      <c r="H37" s="148">
        <f t="shared" si="6"/>
        <v>4574.8833079960023</v>
      </c>
      <c r="I37" s="216" t="s">
        <v>231</v>
      </c>
    </row>
    <row r="40" spans="1:9" x14ac:dyDescent="0.45">
      <c r="C40" s="4"/>
      <c r="D40" s="215" t="s">
        <v>232</v>
      </c>
      <c r="E40" s="215" t="s">
        <v>233</v>
      </c>
      <c r="F40" s="215" t="s">
        <v>234</v>
      </c>
    </row>
    <row r="41" spans="1:9" x14ac:dyDescent="0.45">
      <c r="C41" s="217" t="s">
        <v>235</v>
      </c>
      <c r="D41" s="218">
        <v>11</v>
      </c>
      <c r="E41" s="219">
        <v>14</v>
      </c>
      <c r="F41" s="220">
        <v>11.9</v>
      </c>
    </row>
    <row r="42" spans="1:9" x14ac:dyDescent="0.45">
      <c r="C42" s="217" t="s">
        <v>236</v>
      </c>
      <c r="D42" s="221">
        <f>D41*$H$37</f>
        <v>50323.716387956025</v>
      </c>
      <c r="E42" s="222">
        <f t="shared" ref="E42" si="7">E41*$H$37</f>
        <v>64048.366311944032</v>
      </c>
      <c r="F42" s="223">
        <f>F41*$H$37</f>
        <v>54441.111365152428</v>
      </c>
    </row>
    <row r="43" spans="1:9" x14ac:dyDescent="0.45">
      <c r="C43" s="217" t="s">
        <v>237</v>
      </c>
      <c r="D43" s="224">
        <f>D42/'Question 4'!$C$77</f>
        <v>66.469048194368014</v>
      </c>
      <c r="E43" s="225">
        <f>E42/'Question 4'!$C$77</f>
        <v>84.59697042919565</v>
      </c>
      <c r="F43" s="226">
        <f>F42/'Question 4'!$C$77</f>
        <v>71.907424864816306</v>
      </c>
    </row>
    <row r="45" spans="1:9" x14ac:dyDescent="0.45">
      <c r="A45" s="75" t="s">
        <v>4</v>
      </c>
      <c r="B45" s="75"/>
      <c r="C45" s="76" t="s">
        <v>68</v>
      </c>
      <c r="D45" s="76" t="s">
        <v>69</v>
      </c>
      <c r="E45" s="76" t="s">
        <v>70</v>
      </c>
      <c r="F45" s="76" t="s">
        <v>104</v>
      </c>
      <c r="G45" s="76" t="s">
        <v>105</v>
      </c>
      <c r="H45" s="76" t="s">
        <v>106</v>
      </c>
    </row>
    <row r="46" spans="1:9" x14ac:dyDescent="0.45">
      <c r="A46" s="4"/>
      <c r="B46" s="4"/>
      <c r="C46" s="77"/>
      <c r="D46" s="77"/>
      <c r="E46" s="77"/>
      <c r="F46" s="77"/>
      <c r="G46" s="77"/>
      <c r="H46" s="77"/>
    </row>
    <row r="47" spans="1:9" x14ac:dyDescent="0.45">
      <c r="A47" s="4" t="s">
        <v>107</v>
      </c>
      <c r="B47" s="4"/>
      <c r="C47" s="77"/>
      <c r="D47" s="77"/>
      <c r="E47" s="77"/>
      <c r="F47" s="77"/>
      <c r="G47" s="77"/>
      <c r="H47" s="77"/>
    </row>
    <row r="48" spans="1:9" x14ac:dyDescent="0.45">
      <c r="A48" s="18" t="s">
        <v>6</v>
      </c>
      <c r="B48" s="18"/>
      <c r="C48" s="78">
        <v>104.4</v>
      </c>
      <c r="D48" s="78">
        <v>106.48800000000001</v>
      </c>
      <c r="E48" s="78">
        <v>108.61776000000002</v>
      </c>
      <c r="F48" s="78">
        <v>110.79011520000002</v>
      </c>
      <c r="G48" s="78">
        <v>113.00591750400002</v>
      </c>
      <c r="H48" s="78">
        <v>115.26603585408003</v>
      </c>
    </row>
    <row r="49" spans="1:8" x14ac:dyDescent="0.45">
      <c r="A49" s="10" t="s">
        <v>7</v>
      </c>
      <c r="B49" s="10"/>
      <c r="C49" s="79">
        <v>24</v>
      </c>
      <c r="D49" s="79">
        <v>25.200000000000003</v>
      </c>
      <c r="E49" s="79">
        <v>26.712000000000003</v>
      </c>
      <c r="F49" s="79">
        <v>28.581840000000007</v>
      </c>
      <c r="G49" s="79">
        <v>30.582568800000008</v>
      </c>
      <c r="H49" s="79">
        <v>32.72334861600001</v>
      </c>
    </row>
    <row r="50" spans="1:8" x14ac:dyDescent="0.45">
      <c r="A50" s="4" t="s">
        <v>8</v>
      </c>
      <c r="B50" s="4"/>
      <c r="C50" s="80">
        <v>128.4</v>
      </c>
      <c r="D50" s="80">
        <v>131.68800000000002</v>
      </c>
      <c r="E50" s="80">
        <v>135.32976000000002</v>
      </c>
      <c r="F50" s="80">
        <v>139.37195520000003</v>
      </c>
      <c r="G50" s="80">
        <v>143.58848630400004</v>
      </c>
      <c r="H50" s="80">
        <v>147.98938447008004</v>
      </c>
    </row>
    <row r="51" spans="1:8" x14ac:dyDescent="0.45">
      <c r="A51" s="10" t="s">
        <v>9</v>
      </c>
      <c r="B51" s="10"/>
      <c r="C51" s="79">
        <v>33.200000000000003</v>
      </c>
      <c r="D51" s="79">
        <v>34.860000000000007</v>
      </c>
      <c r="E51" s="79">
        <v>36.603000000000009</v>
      </c>
      <c r="F51" s="79">
        <v>38.433150000000012</v>
      </c>
      <c r="G51" s="79">
        <v>40.354807500000014</v>
      </c>
      <c r="H51" s="79">
        <v>42.372547875000016</v>
      </c>
    </row>
    <row r="52" spans="1:8" x14ac:dyDescent="0.45">
      <c r="A52" s="75" t="s">
        <v>10</v>
      </c>
      <c r="B52" s="75"/>
      <c r="C52" s="81">
        <v>161.6</v>
      </c>
      <c r="D52" s="81">
        <v>166.54800000000003</v>
      </c>
      <c r="E52" s="81">
        <v>171.93276000000003</v>
      </c>
      <c r="F52" s="81">
        <v>177.80510520000004</v>
      </c>
      <c r="G52" s="81">
        <v>183.94329380400006</v>
      </c>
      <c r="H52" s="81">
        <v>190.36193234508005</v>
      </c>
    </row>
    <row r="53" spans="1:8" x14ac:dyDescent="0.45">
      <c r="A53" s="4"/>
      <c r="B53" s="4"/>
      <c r="C53" s="77"/>
      <c r="D53" s="77"/>
      <c r="E53" s="77"/>
      <c r="F53" s="77"/>
      <c r="G53" s="77"/>
      <c r="H53" s="77"/>
    </row>
    <row r="54" spans="1:8" x14ac:dyDescent="0.45">
      <c r="A54" s="18" t="s">
        <v>11</v>
      </c>
      <c r="B54" s="18"/>
      <c r="C54" s="82">
        <v>18988.7</v>
      </c>
      <c r="D54" s="82">
        <v>19938.135000000002</v>
      </c>
      <c r="E54" s="82">
        <v>20935.041750000004</v>
      </c>
      <c r="F54" s="82">
        <v>22191.144255000007</v>
      </c>
      <c r="G54" s="82">
        <v>23744.524352850007</v>
      </c>
      <c r="H54" s="82">
        <v>25406.64105754951</v>
      </c>
    </row>
    <row r="55" spans="1:8" x14ac:dyDescent="0.45">
      <c r="A55" s="227" t="s">
        <v>208</v>
      </c>
      <c r="B55" s="4"/>
      <c r="C55" s="228">
        <f>C54/'Exhibit 1'!G15-1</f>
        <v>5.7406809297352757E-2</v>
      </c>
      <c r="D55" s="228">
        <f>D54/C54-1</f>
        <v>5.0000000000000044E-2</v>
      </c>
      <c r="E55" s="228">
        <f>E54/D54-1</f>
        <v>5.0000000000000044E-2</v>
      </c>
      <c r="F55" s="228">
        <f>F54/E54-1</f>
        <v>6.0000000000000053E-2</v>
      </c>
      <c r="G55" s="228">
        <f>G54/F54-1</f>
        <v>7.0000000000000062E-2</v>
      </c>
      <c r="H55" s="228">
        <f>H54/G54-1</f>
        <v>7.0000000000000062E-2</v>
      </c>
    </row>
    <row r="56" spans="1:8" x14ac:dyDescent="0.45">
      <c r="A56" s="4" t="s">
        <v>12</v>
      </c>
      <c r="B56" s="4"/>
      <c r="C56" s="84">
        <v>2303</v>
      </c>
      <c r="D56" s="84">
        <v>2392.5762</v>
      </c>
      <c r="E56" s="84">
        <v>2512.2050100000006</v>
      </c>
      <c r="F56" s="84">
        <v>2662.9373106000007</v>
      </c>
      <c r="G56" s="84">
        <v>2849.3429223420007</v>
      </c>
      <c r="H56" s="84">
        <v>3048.7969269059413</v>
      </c>
    </row>
    <row r="57" spans="1:8" x14ac:dyDescent="0.45">
      <c r="A57" s="4" t="s">
        <v>13</v>
      </c>
      <c r="B57" s="4"/>
      <c r="C57" s="84">
        <v>16685.7</v>
      </c>
      <c r="D57" s="84">
        <v>17545.558800000003</v>
      </c>
      <c r="E57" s="84">
        <v>18422.836740000002</v>
      </c>
      <c r="F57" s="84">
        <v>19528.206944400004</v>
      </c>
      <c r="G57" s="84">
        <v>20895.181430508004</v>
      </c>
      <c r="H57" s="84">
        <v>22357.844130643571</v>
      </c>
    </row>
    <row r="58" spans="1:8" x14ac:dyDescent="0.45">
      <c r="A58" s="4" t="s">
        <v>108</v>
      </c>
      <c r="B58" s="4"/>
      <c r="C58" s="84">
        <v>10836.6</v>
      </c>
      <c r="D58" s="84">
        <v>11334.430984800001</v>
      </c>
      <c r="E58" s="84">
        <v>11569.541472720002</v>
      </c>
      <c r="F58" s="84">
        <v>12166.072926361203</v>
      </c>
      <c r="G58" s="84">
        <v>12955.012486914962</v>
      </c>
      <c r="H58" s="84">
        <v>13861.863360999014</v>
      </c>
    </row>
    <row r="59" spans="1:8" x14ac:dyDescent="0.45">
      <c r="A59" s="4" t="s">
        <v>15</v>
      </c>
      <c r="B59" s="4"/>
      <c r="C59" s="86">
        <v>0.64945432316294793</v>
      </c>
      <c r="D59" s="86">
        <v>0.64600000000000002</v>
      </c>
      <c r="E59" s="86">
        <v>0.628</v>
      </c>
      <c r="F59" s="86">
        <v>0.623</v>
      </c>
      <c r="G59" s="86">
        <v>0.62</v>
      </c>
      <c r="H59" s="86">
        <v>0.62</v>
      </c>
    </row>
    <row r="60" spans="1:8" x14ac:dyDescent="0.45">
      <c r="A60" s="4" t="s">
        <v>14</v>
      </c>
      <c r="B60" s="4"/>
      <c r="C60" s="84">
        <v>5849.4</v>
      </c>
      <c r="D60" s="84">
        <v>6211.1278152000014</v>
      </c>
      <c r="E60" s="84">
        <v>6853.2952672800002</v>
      </c>
      <c r="F60" s="84">
        <v>7362.1340180388015</v>
      </c>
      <c r="G60" s="84">
        <v>7940.1689435930421</v>
      </c>
      <c r="H60" s="84">
        <v>8495.9807696445569</v>
      </c>
    </row>
    <row r="61" spans="1:8" x14ac:dyDescent="0.45">
      <c r="A61" s="4" t="s">
        <v>15</v>
      </c>
      <c r="B61" s="4"/>
      <c r="C61" s="86">
        <v>0.3505636563045002</v>
      </c>
      <c r="D61" s="86">
        <v>0.35400000000000004</v>
      </c>
      <c r="E61" s="86">
        <v>0.37199999999999994</v>
      </c>
      <c r="F61" s="86">
        <v>0.377</v>
      </c>
      <c r="G61" s="86">
        <v>0.38</v>
      </c>
      <c r="H61" s="86">
        <v>0.38</v>
      </c>
    </row>
    <row r="62" spans="1:8" x14ac:dyDescent="0.45">
      <c r="A62" s="4" t="s">
        <v>109</v>
      </c>
      <c r="B62" s="4"/>
      <c r="C62" s="87">
        <v>2981.7</v>
      </c>
      <c r="D62" s="87">
        <v>3158.2005840000002</v>
      </c>
      <c r="E62" s="87">
        <v>3316.1106132000004</v>
      </c>
      <c r="F62" s="87">
        <v>3515.0772499920008</v>
      </c>
      <c r="G62" s="87">
        <v>3761.1326574914406</v>
      </c>
      <c r="H62" s="87">
        <v>4024.4119435158427</v>
      </c>
    </row>
    <row r="63" spans="1:8" x14ac:dyDescent="0.45">
      <c r="A63" s="4" t="s">
        <v>15</v>
      </c>
      <c r="B63" s="4"/>
      <c r="C63" s="86">
        <v>0.17869792696740322</v>
      </c>
      <c r="D63" s="86">
        <v>0.18</v>
      </c>
      <c r="E63" s="86">
        <v>0.18</v>
      </c>
      <c r="F63" s="86">
        <v>0.18</v>
      </c>
      <c r="G63" s="86">
        <v>0.18</v>
      </c>
      <c r="H63" s="86">
        <v>0.18</v>
      </c>
    </row>
    <row r="64" spans="1:8" x14ac:dyDescent="0.45">
      <c r="A64" s="4" t="s">
        <v>16</v>
      </c>
      <c r="B64" s="4"/>
      <c r="C64" s="88">
        <v>2894</v>
      </c>
      <c r="D64" s="88">
        <v>3052.9272312000012</v>
      </c>
      <c r="E64" s="88">
        <v>3537.1846540799997</v>
      </c>
      <c r="F64" s="88">
        <v>3847.0567680468007</v>
      </c>
      <c r="G64" s="88">
        <v>4179.0362861016019</v>
      </c>
      <c r="H64" s="88">
        <v>4471.5688261287141</v>
      </c>
    </row>
    <row r="65" spans="1:8" x14ac:dyDescent="0.45">
      <c r="A65" s="4" t="s">
        <v>15</v>
      </c>
      <c r="B65" s="4"/>
      <c r="C65" s="86">
        <v>0.17344192931672031</v>
      </c>
      <c r="D65" s="86">
        <v>0.17400000000000004</v>
      </c>
      <c r="E65" s="86">
        <v>0.19199999999999995</v>
      </c>
      <c r="F65" s="86">
        <v>0.19699999999999998</v>
      </c>
      <c r="G65" s="86">
        <v>0.20000000000000004</v>
      </c>
      <c r="H65" s="86">
        <v>0.2</v>
      </c>
    </row>
    <row r="66" spans="1:8" x14ac:dyDescent="0.45">
      <c r="A66" s="89" t="s">
        <v>110</v>
      </c>
      <c r="B66" s="89"/>
      <c r="C66" s="90">
        <v>471.3</v>
      </c>
      <c r="D66" s="90">
        <v>500</v>
      </c>
      <c r="E66" s="90">
        <v>500</v>
      </c>
      <c r="F66" s="90">
        <v>500</v>
      </c>
      <c r="G66" s="89">
        <v>500</v>
      </c>
      <c r="H66" s="89">
        <v>500</v>
      </c>
    </row>
    <row r="67" spans="1:8" x14ac:dyDescent="0.45">
      <c r="A67" s="89" t="s">
        <v>111</v>
      </c>
      <c r="B67" s="89"/>
      <c r="C67" s="90">
        <v>2422.6999999999998</v>
      </c>
      <c r="D67" s="90">
        <v>2552.9272312000012</v>
      </c>
      <c r="E67" s="90">
        <v>3037.1846540799997</v>
      </c>
      <c r="F67" s="90">
        <v>3347.0567680468007</v>
      </c>
      <c r="G67" s="90">
        <v>3679.0362861016019</v>
      </c>
      <c r="H67" s="89">
        <v>3971.5688261287141</v>
      </c>
    </row>
    <row r="68" spans="1:8" x14ac:dyDescent="0.45">
      <c r="A68" s="4" t="s">
        <v>112</v>
      </c>
      <c r="B68" s="4"/>
      <c r="C68" s="86">
        <v>0.40029718908655632</v>
      </c>
      <c r="D68" s="86">
        <v>0.39500000000000002</v>
      </c>
      <c r="E68" s="86">
        <v>0.39500000000000002</v>
      </c>
      <c r="F68" s="86">
        <v>0.39500000000000002</v>
      </c>
      <c r="G68" s="86">
        <v>0.39500000000000002</v>
      </c>
      <c r="H68" s="86">
        <v>0.39500000000000002</v>
      </c>
    </row>
    <row r="69" spans="1:8" x14ac:dyDescent="0.45">
      <c r="A69" s="89" t="s">
        <v>113</v>
      </c>
      <c r="B69" s="89"/>
      <c r="C69" s="89">
        <v>969.8</v>
      </c>
      <c r="D69" s="87">
        <v>1008.4062563240005</v>
      </c>
      <c r="E69" s="87">
        <v>1199.6879383615999</v>
      </c>
      <c r="F69" s="87">
        <v>1322.0874233784864</v>
      </c>
      <c r="G69" s="87">
        <v>1453.2193330101329</v>
      </c>
      <c r="H69" s="87">
        <v>1568.7696863208421</v>
      </c>
    </row>
    <row r="70" spans="1:8" x14ac:dyDescent="0.45">
      <c r="A70" s="4" t="s">
        <v>17</v>
      </c>
      <c r="B70" s="4"/>
      <c r="C70" s="84">
        <v>662.4</v>
      </c>
      <c r="D70" s="88">
        <v>701.82235200000014</v>
      </c>
      <c r="E70" s="88">
        <v>736.9134696000001</v>
      </c>
      <c r="F70" s="88">
        <v>781.12827777600023</v>
      </c>
      <c r="G70" s="88">
        <v>835.80725722032014</v>
      </c>
      <c r="H70" s="88">
        <v>894.31376522574283</v>
      </c>
    </row>
    <row r="71" spans="1:8" x14ac:dyDescent="0.45">
      <c r="A71" s="4" t="s">
        <v>15</v>
      </c>
      <c r="B71" s="4"/>
      <c r="C71" s="86">
        <v>3.9698664125568599E-2</v>
      </c>
      <c r="D71" s="86">
        <v>0.04</v>
      </c>
      <c r="E71" s="86">
        <v>0.04</v>
      </c>
      <c r="F71" s="86">
        <v>0.04</v>
      </c>
      <c r="G71" s="86">
        <v>0.04</v>
      </c>
      <c r="H71" s="86">
        <v>0.04</v>
      </c>
    </row>
    <row r="72" spans="1:8" x14ac:dyDescent="0.45">
      <c r="A72" s="4" t="s">
        <v>114</v>
      </c>
      <c r="B72" s="4"/>
      <c r="C72" s="84">
        <v>1104.5470989056369</v>
      </c>
      <c r="D72" s="84">
        <v>1160.0369454545457</v>
      </c>
      <c r="E72" s="84">
        <v>1218.0387927272729</v>
      </c>
      <c r="F72" s="84">
        <v>1291.1211202909094</v>
      </c>
      <c r="G72" s="84">
        <v>1381.4995987112729</v>
      </c>
      <c r="H72" s="84">
        <v>1478.2045706210627</v>
      </c>
    </row>
    <row r="73" spans="1:8" x14ac:dyDescent="0.45">
      <c r="A73" s="4" t="s">
        <v>18</v>
      </c>
      <c r="B73" s="4"/>
      <c r="C73" s="84">
        <v>2115.3000000000002</v>
      </c>
      <c r="D73" s="84">
        <v>2246.3433268760009</v>
      </c>
      <c r="E73" s="84">
        <v>2574.4101853184002</v>
      </c>
      <c r="F73" s="84">
        <v>2806.0976224443148</v>
      </c>
      <c r="G73" s="84">
        <v>3061.6242103117893</v>
      </c>
      <c r="H73" s="84">
        <v>3297.1129050336149</v>
      </c>
    </row>
    <row r="74" spans="1:8" x14ac:dyDescent="0.45">
      <c r="A74" s="4"/>
      <c r="B74" s="4"/>
      <c r="C74" s="84"/>
      <c r="D74" s="84"/>
      <c r="E74" s="84"/>
      <c r="F74" s="84"/>
      <c r="G74" s="84"/>
      <c r="H74" s="84"/>
    </row>
    <row r="75" spans="1:8" x14ac:dyDescent="0.45">
      <c r="A75" s="4" t="s">
        <v>19</v>
      </c>
      <c r="B75" s="4"/>
      <c r="C75" s="91">
        <v>2.79</v>
      </c>
      <c r="D75" s="91">
        <v>3.0984045887944842</v>
      </c>
      <c r="E75" s="91">
        <v>3.5509106004391726</v>
      </c>
      <c r="F75" s="91">
        <v>3.8704794792335377</v>
      </c>
      <c r="G75" s="91">
        <v>4.2229299452576408</v>
      </c>
      <c r="H75" s="91">
        <v>4.5477419379774</v>
      </c>
    </row>
    <row r="76" spans="1:8" x14ac:dyDescent="0.45">
      <c r="A76" s="4"/>
      <c r="B76" s="4"/>
      <c r="C76" s="91"/>
      <c r="D76" s="91"/>
      <c r="E76" s="91"/>
      <c r="F76" s="91"/>
      <c r="G76" s="91"/>
      <c r="H76" s="91"/>
    </row>
    <row r="77" spans="1:8" x14ac:dyDescent="0.45">
      <c r="A77" s="10" t="s">
        <v>20</v>
      </c>
      <c r="B77" s="10"/>
      <c r="C77" s="92">
        <v>757.1</v>
      </c>
      <c r="D77" s="10">
        <v>725</v>
      </c>
      <c r="E77" s="10">
        <v>725</v>
      </c>
      <c r="F77" s="10">
        <v>725</v>
      </c>
      <c r="G77" s="10">
        <v>725</v>
      </c>
      <c r="H77" s="10">
        <v>725</v>
      </c>
    </row>
  </sheetData>
  <mergeCells count="6">
    <mergeCell ref="K4:P4"/>
    <mergeCell ref="L5:P5"/>
    <mergeCell ref="J7:J11"/>
    <mergeCell ref="J15:P15"/>
    <mergeCell ref="L16:P16"/>
    <mergeCell ref="J18:J2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6E08-A1B8-4CF4-887D-0DFC7C4550BF}">
  <dimension ref="B2:B12"/>
  <sheetViews>
    <sheetView showGridLines="0" workbookViewId="0">
      <selection activeCell="I36" sqref="I36"/>
    </sheetView>
  </sheetViews>
  <sheetFormatPr defaultColWidth="8.86328125" defaultRowHeight="14.25" x14ac:dyDescent="0.45"/>
  <sheetData>
    <row r="2" spans="2:2" x14ac:dyDescent="0.45">
      <c r="B2" s="123" t="s">
        <v>238</v>
      </c>
    </row>
    <row r="3" spans="2:2" x14ac:dyDescent="0.45">
      <c r="B3" s="229" t="s">
        <v>239</v>
      </c>
    </row>
    <row r="4" spans="2:2" x14ac:dyDescent="0.45">
      <c r="B4" s="230" t="s">
        <v>240</v>
      </c>
    </row>
    <row r="5" spans="2:2" x14ac:dyDescent="0.45">
      <c r="B5" s="229" t="s">
        <v>241</v>
      </c>
    </row>
    <row r="6" spans="2:2" x14ac:dyDescent="0.45">
      <c r="B6" s="230" t="s">
        <v>242</v>
      </c>
    </row>
    <row r="7" spans="2:2" x14ac:dyDescent="0.45">
      <c r="B7" s="229" t="s">
        <v>243</v>
      </c>
    </row>
    <row r="8" spans="2:2" x14ac:dyDescent="0.45">
      <c r="B8" s="230" t="s">
        <v>244</v>
      </c>
    </row>
    <row r="9" spans="2:2" x14ac:dyDescent="0.45">
      <c r="B9" s="229" t="s">
        <v>245</v>
      </c>
    </row>
    <row r="10" spans="2:2" x14ac:dyDescent="0.45">
      <c r="B10" s="230" t="s">
        <v>246</v>
      </c>
    </row>
    <row r="11" spans="2:2" x14ac:dyDescent="0.45">
      <c r="B11" s="229" t="s">
        <v>247</v>
      </c>
    </row>
    <row r="12" spans="2:2" x14ac:dyDescent="0.45">
      <c r="B12" s="230" t="s">
        <v>248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C03B-0061-4E7A-9157-6C589EDF4D92}">
  <dimension ref="B2:D27"/>
  <sheetViews>
    <sheetView showGridLines="0" workbookViewId="0">
      <selection activeCell="I36" sqref="I36"/>
    </sheetView>
  </sheetViews>
  <sheetFormatPr defaultColWidth="10.73046875" defaultRowHeight="14.25" x14ac:dyDescent="0.45"/>
  <cols>
    <col min="2" max="2" width="17.1328125" customWidth="1"/>
    <col min="3" max="3" width="13.1328125" bestFit="1" customWidth="1"/>
  </cols>
  <sheetData>
    <row r="2" spans="2:4" x14ac:dyDescent="0.45">
      <c r="B2" s="123" t="s">
        <v>249</v>
      </c>
    </row>
    <row r="4" spans="2:4" x14ac:dyDescent="0.45">
      <c r="B4" s="123" t="s">
        <v>250</v>
      </c>
    </row>
    <row r="5" spans="2:4" x14ac:dyDescent="0.45">
      <c r="B5" s="123" t="s">
        <v>251</v>
      </c>
    </row>
    <row r="6" spans="2:4" x14ac:dyDescent="0.45">
      <c r="B6" s="123" t="s">
        <v>252</v>
      </c>
    </row>
    <row r="8" spans="2:4" x14ac:dyDescent="0.45">
      <c r="B8" s="123" t="s">
        <v>253</v>
      </c>
    </row>
    <row r="10" spans="2:4" x14ac:dyDescent="0.45">
      <c r="B10" s="123" t="s">
        <v>254</v>
      </c>
    </row>
    <row r="11" spans="2:4" x14ac:dyDescent="0.45">
      <c r="B11" s="229" t="s">
        <v>255</v>
      </c>
      <c r="C11" s="231">
        <v>13564.67</v>
      </c>
      <c r="D11" s="232"/>
    </row>
    <row r="12" spans="2:4" x14ac:dyDescent="0.45">
      <c r="B12" s="229" t="s">
        <v>256</v>
      </c>
      <c r="C12" s="231">
        <v>64176.18</v>
      </c>
      <c r="D12" s="232"/>
    </row>
    <row r="13" spans="2:4" x14ac:dyDescent="0.45">
      <c r="B13" s="229" t="s">
        <v>257</v>
      </c>
      <c r="C13" s="231">
        <v>42877.3</v>
      </c>
      <c r="D13" s="232"/>
    </row>
    <row r="14" spans="2:4" x14ac:dyDescent="0.45">
      <c r="B14" s="229" t="s">
        <v>258</v>
      </c>
      <c r="C14" s="231">
        <v>56441.98</v>
      </c>
      <c r="D14" s="232"/>
    </row>
    <row r="15" spans="2:4" x14ac:dyDescent="0.45">
      <c r="B15" s="229" t="s">
        <v>259</v>
      </c>
      <c r="C15" s="231">
        <v>47301.68</v>
      </c>
      <c r="D15" s="232"/>
    </row>
    <row r="16" spans="2:4" x14ac:dyDescent="0.45">
      <c r="B16" s="233" t="s">
        <v>184</v>
      </c>
      <c r="C16" s="234">
        <v>65.239999999999995</v>
      </c>
      <c r="D16" s="232"/>
    </row>
    <row r="18" spans="2:2" x14ac:dyDescent="0.45">
      <c r="B18" s="123" t="s">
        <v>260</v>
      </c>
    </row>
    <row r="19" spans="2:2" x14ac:dyDescent="0.45">
      <c r="B19" s="229" t="s">
        <v>165</v>
      </c>
    </row>
    <row r="20" spans="2:2" x14ac:dyDescent="0.45">
      <c r="B20" s="229" t="s">
        <v>112</v>
      </c>
    </row>
    <row r="21" spans="2:2" x14ac:dyDescent="0.45">
      <c r="B21" s="229" t="s">
        <v>261</v>
      </c>
    </row>
    <row r="22" spans="2:2" x14ac:dyDescent="0.45">
      <c r="B22" s="229" t="s">
        <v>220</v>
      </c>
    </row>
    <row r="23" spans="2:2" x14ac:dyDescent="0.45">
      <c r="B23" s="229" t="s">
        <v>168</v>
      </c>
    </row>
    <row r="24" spans="2:2" x14ac:dyDescent="0.45">
      <c r="B24" s="229" t="s">
        <v>262</v>
      </c>
    </row>
    <row r="25" spans="2:2" x14ac:dyDescent="0.45">
      <c r="B25" s="229" t="s">
        <v>223</v>
      </c>
    </row>
    <row r="26" spans="2:2" x14ac:dyDescent="0.45">
      <c r="B26" s="229" t="s">
        <v>263</v>
      </c>
    </row>
    <row r="27" spans="2:2" x14ac:dyDescent="0.45">
      <c r="B27" s="229"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Exhibit 1</vt:lpstr>
      <vt:lpstr>Exhibit 2</vt:lpstr>
      <vt:lpstr>Exhibit 2 (cont.)</vt:lpstr>
      <vt:lpstr>Exhibit 3</vt:lpstr>
      <vt:lpstr>Exhibit 4</vt:lpstr>
      <vt:lpstr>Exhibit 5</vt:lpstr>
      <vt:lpstr>Exhibit 6</vt:lpstr>
      <vt:lpstr>Question 1</vt:lpstr>
      <vt:lpstr>Question 2</vt:lpstr>
      <vt:lpstr>Question 3</vt:lpstr>
      <vt:lpstr>Question 4</vt:lpstr>
      <vt:lpstr>Question 5</vt:lpstr>
      <vt:lpstr>Question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Levan Kvinikadze</dc:creator>
  <cp:lastModifiedBy>Levan Kvinikadze</cp:lastModifiedBy>
  <dcterms:created xsi:type="dcterms:W3CDTF">2026-02-17T04:29:04Z</dcterms:created>
  <dcterms:modified xsi:type="dcterms:W3CDTF">2026-02-17T04:30:17Z</dcterms:modified>
</cp:coreProperties>
</file>