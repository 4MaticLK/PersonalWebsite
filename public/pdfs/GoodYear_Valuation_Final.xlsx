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an\OneDrive\Desktop\Important School Files\"/>
    </mc:Choice>
  </mc:AlternateContent>
  <xr:revisionPtr revIDLastSave="0" documentId="13_ncr:1_{D6CB956D-F496-4E58-897B-2A092DC3E8AB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GT-US-IS" sheetId="9" r:id="rId1"/>
    <sheet name="GT-US-BS" sheetId="8" r:id="rId2"/>
    <sheet name="GT-US-CF" sheetId="7" r:id="rId3"/>
    <sheet name="Beta_Calc" sheetId="10" r:id="rId4"/>
    <sheet name="Calculations" sheetId="17" r:id="rId5"/>
    <sheet name="Forecast" sheetId="16" r:id="rId6"/>
    <sheet name="Ratio_Analysis" sheetId="15" r:id="rId7"/>
    <sheet name="CCC" sheetId="18" r:id="rId8"/>
    <sheet name="DEBT" sheetId="14" r:id="rId9"/>
  </sheets>
  <definedNames>
    <definedName name="_xlnm._FilterDatabase" localSheetId="3" hidden="1">Beta_Calc!$A$3:$G$3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6" l="1"/>
  <c r="A2" i="9"/>
  <c r="Y3" i="14"/>
  <c r="X3" i="14"/>
  <c r="W3" i="14"/>
  <c r="V3" i="14"/>
  <c r="U3" i="14"/>
  <c r="T3" i="14"/>
  <c r="S3" i="14"/>
  <c r="R3" i="14"/>
  <c r="C17" i="18"/>
  <c r="C21" i="18" s="1"/>
  <c r="C16" i="18"/>
  <c r="C20" i="18" s="1"/>
  <c r="C15" i="18"/>
  <c r="C19" i="18" s="1"/>
  <c r="B13" i="18"/>
  <c r="B12" i="18"/>
  <c r="B9" i="18"/>
  <c r="B8" i="18"/>
  <c r="B7" i="18"/>
  <c r="B6" i="18"/>
  <c r="B5" i="18"/>
  <c r="D8" i="18"/>
  <c r="E8" i="18"/>
  <c r="E16" i="18" s="1"/>
  <c r="F8" i="18"/>
  <c r="G8" i="18"/>
  <c r="C8" i="18"/>
  <c r="D7" i="18"/>
  <c r="D15" i="18" s="1"/>
  <c r="D19" i="18" s="1"/>
  <c r="E7" i="18"/>
  <c r="E15" i="18" s="1"/>
  <c r="F7" i="18"/>
  <c r="F15" i="18" s="1"/>
  <c r="G7" i="18"/>
  <c r="G15" i="18" s="1"/>
  <c r="C7" i="18"/>
  <c r="D9" i="18"/>
  <c r="E9" i="18"/>
  <c r="F9" i="18"/>
  <c r="G9" i="18"/>
  <c r="C9" i="18"/>
  <c r="D6" i="18"/>
  <c r="D13" i="18" s="1"/>
  <c r="E6" i="18"/>
  <c r="F6" i="18"/>
  <c r="G6" i="18"/>
  <c r="C6" i="18"/>
  <c r="D5" i="18"/>
  <c r="E5" i="18"/>
  <c r="F5" i="18"/>
  <c r="G5" i="18"/>
  <c r="C5" i="18"/>
  <c r="E17" i="18"/>
  <c r="F17" i="18"/>
  <c r="G17" i="18"/>
  <c r="D17" i="18"/>
  <c r="G16" i="18"/>
  <c r="D16" i="18"/>
  <c r="C13" i="18"/>
  <c r="C12" i="18"/>
  <c r="D10" i="18"/>
  <c r="D12" i="18" s="1"/>
  <c r="B7" i="15"/>
  <c r="D7" i="15"/>
  <c r="E7" i="15"/>
  <c r="F7" i="15"/>
  <c r="C7" i="15"/>
  <c r="C6" i="15"/>
  <c r="D6" i="15"/>
  <c r="E6" i="15"/>
  <c r="F6" i="15"/>
  <c r="B6" i="15"/>
  <c r="B8" i="15"/>
  <c r="B12" i="16"/>
  <c r="B28" i="16"/>
  <c r="B39" i="17"/>
  <c r="B38" i="17"/>
  <c r="B30" i="17"/>
  <c r="B34" i="17" s="1"/>
  <c r="B29" i="17"/>
  <c r="B28" i="17"/>
  <c r="B27" i="17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C4" i="10"/>
  <c r="C5" i="10"/>
  <c r="C6" i="10"/>
  <c r="J3" i="10" s="1"/>
  <c r="B25" i="17" s="1"/>
  <c r="B33" i="17" s="1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19" i="17"/>
  <c r="D19" i="17"/>
  <c r="E19" i="17"/>
  <c r="F19" i="17"/>
  <c r="G19" i="17"/>
  <c r="H19" i="17"/>
  <c r="B19" i="17"/>
  <c r="C13" i="17"/>
  <c r="D13" i="17"/>
  <c r="E13" i="17"/>
  <c r="F13" i="17"/>
  <c r="G13" i="17"/>
  <c r="H13" i="17"/>
  <c r="B19" i="16" s="1"/>
  <c r="B13" i="17"/>
  <c r="C16" i="17"/>
  <c r="D16" i="17"/>
  <c r="E16" i="17"/>
  <c r="F16" i="17"/>
  <c r="G16" i="17"/>
  <c r="H16" i="17"/>
  <c r="B20" i="16" s="1"/>
  <c r="B16" i="17"/>
  <c r="B6" i="16"/>
  <c r="B9" i="17"/>
  <c r="C9" i="17"/>
  <c r="D9" i="17"/>
  <c r="E9" i="17"/>
  <c r="F9" i="17"/>
  <c r="G9" i="17"/>
  <c r="H9" i="17"/>
  <c r="C8" i="17"/>
  <c r="D8" i="17"/>
  <c r="E8" i="17"/>
  <c r="F8" i="17"/>
  <c r="G8" i="17"/>
  <c r="H8" i="17"/>
  <c r="B8" i="17"/>
  <c r="C5" i="17"/>
  <c r="D5" i="17"/>
  <c r="E5" i="17"/>
  <c r="F5" i="17"/>
  <c r="G5" i="17"/>
  <c r="H5" i="17"/>
  <c r="B17" i="16" s="1"/>
  <c r="B5" i="17"/>
  <c r="C3" i="17"/>
  <c r="D3" i="17"/>
  <c r="E3" i="17"/>
  <c r="F3" i="17"/>
  <c r="G3" i="17"/>
  <c r="H3" i="17"/>
  <c r="B16" i="16" s="1"/>
  <c r="B3" i="17"/>
  <c r="B14" i="17" s="1"/>
  <c r="C1" i="17"/>
  <c r="D1" i="17"/>
  <c r="E1" i="17"/>
  <c r="F1" i="17"/>
  <c r="G1" i="17"/>
  <c r="H1" i="17"/>
  <c r="B1" i="17"/>
  <c r="B2" i="16"/>
  <c r="C9" i="15"/>
  <c r="D9" i="15"/>
  <c r="E9" i="15"/>
  <c r="F9" i="15"/>
  <c r="B9" i="15"/>
  <c r="D8" i="15"/>
  <c r="E8" i="15"/>
  <c r="F8" i="15"/>
  <c r="C8" i="15"/>
  <c r="C5" i="15"/>
  <c r="D5" i="15"/>
  <c r="E5" i="15"/>
  <c r="F5" i="15"/>
  <c r="B5" i="15"/>
  <c r="C4" i="15"/>
  <c r="D4" i="15"/>
  <c r="E4" i="15"/>
  <c r="F4" i="15"/>
  <c r="B4" i="15"/>
  <c r="C3" i="15"/>
  <c r="D3" i="15"/>
  <c r="E3" i="15"/>
  <c r="F3" i="15"/>
  <c r="B3" i="15"/>
  <c r="C2" i="15"/>
  <c r="D2" i="15"/>
  <c r="E2" i="15"/>
  <c r="F2" i="15"/>
  <c r="B2" i="15"/>
  <c r="G25" i="14"/>
  <c r="F25" i="14"/>
  <c r="E25" i="14"/>
  <c r="D25" i="14"/>
  <c r="C25" i="14"/>
  <c r="B25" i="14"/>
  <c r="H25" i="14"/>
  <c r="C23" i="18" l="1"/>
  <c r="E10" i="18"/>
  <c r="F16" i="18"/>
  <c r="D21" i="18"/>
  <c r="D20" i="18"/>
  <c r="D23" i="18" s="1"/>
  <c r="E12" i="18"/>
  <c r="E20" i="18" s="1"/>
  <c r="B32" i="17"/>
  <c r="D21" i="17"/>
  <c r="B31" i="17"/>
  <c r="B44" i="17" s="1"/>
  <c r="B10" i="16" s="1"/>
  <c r="E21" i="17"/>
  <c r="D20" i="17"/>
  <c r="D22" i="17" s="1"/>
  <c r="F21" i="17"/>
  <c r="E20" i="17"/>
  <c r="F20" i="17"/>
  <c r="G21" i="17"/>
  <c r="H20" i="17"/>
  <c r="G20" i="17"/>
  <c r="G22" i="17" s="1"/>
  <c r="C20" i="17"/>
  <c r="C21" i="17"/>
  <c r="H21" i="17"/>
  <c r="E17" i="17"/>
  <c r="F17" i="17"/>
  <c r="G17" i="17"/>
  <c r="C17" i="17"/>
  <c r="G14" i="17"/>
  <c r="D17" i="17"/>
  <c r="B17" i="17"/>
  <c r="H17" i="17"/>
  <c r="F14" i="17"/>
  <c r="H14" i="17"/>
  <c r="E14" i="17"/>
  <c r="D14" i="17"/>
  <c r="C14" i="17"/>
  <c r="H10" i="17"/>
  <c r="G10" i="17"/>
  <c r="F10" i="17"/>
  <c r="E10" i="17"/>
  <c r="D10" i="17"/>
  <c r="C10" i="17"/>
  <c r="B10" i="17"/>
  <c r="B6" i="17"/>
  <c r="H4" i="17"/>
  <c r="E4" i="17"/>
  <c r="H6" i="17"/>
  <c r="G6" i="17"/>
  <c r="G4" i="17"/>
  <c r="C6" i="17"/>
  <c r="C4" i="17"/>
  <c r="E6" i="17"/>
  <c r="D6" i="17"/>
  <c r="F6" i="17"/>
  <c r="F4" i="17"/>
  <c r="D4" i="17"/>
  <c r="E13" i="18" l="1"/>
  <c r="F10" i="18"/>
  <c r="C22" i="17"/>
  <c r="H22" i="17"/>
  <c r="E22" i="17"/>
  <c r="F22" i="17"/>
  <c r="B41" i="17"/>
  <c r="B7" i="16" s="1"/>
  <c r="B43" i="17"/>
  <c r="B9" i="16" s="1"/>
  <c r="B42" i="17"/>
  <c r="B8" i="16" s="1"/>
  <c r="B5" i="16"/>
  <c r="B18" i="16" s="1"/>
  <c r="B4" i="16"/>
  <c r="C16" i="16" s="1"/>
  <c r="G10" i="18" l="1"/>
  <c r="F12" i="18"/>
  <c r="F20" i="18" s="1"/>
  <c r="F13" i="18"/>
  <c r="E21" i="18"/>
  <c r="E19" i="18"/>
  <c r="E23" i="18" s="1"/>
  <c r="C19" i="16"/>
  <c r="C21" i="16"/>
  <c r="C20" i="16"/>
  <c r="D16" i="16"/>
  <c r="C17" i="16"/>
  <c r="C18" i="16" s="1"/>
  <c r="F21" i="18" l="1"/>
  <c r="F19" i="18"/>
  <c r="G13" i="18"/>
  <c r="G12" i="18"/>
  <c r="G20" i="18" s="1"/>
  <c r="C22" i="16"/>
  <c r="C23" i="16" s="1"/>
  <c r="D21" i="16"/>
  <c r="D20" i="16"/>
  <c r="D19" i="16"/>
  <c r="E16" i="16"/>
  <c r="D17" i="16"/>
  <c r="D18" i="16" s="1"/>
  <c r="D22" i="16" s="1"/>
  <c r="D23" i="16" s="1"/>
  <c r="F23" i="18" l="1"/>
  <c r="G21" i="18"/>
  <c r="G19" i="18"/>
  <c r="G23" i="18" s="1"/>
  <c r="E21" i="16"/>
  <c r="E19" i="16"/>
  <c r="E20" i="16"/>
  <c r="F16" i="16"/>
  <c r="E17" i="16"/>
  <c r="E18" i="16" s="1"/>
  <c r="E22" i="16" l="1"/>
  <c r="E23" i="16" s="1"/>
  <c r="F19" i="16"/>
  <c r="F21" i="16"/>
  <c r="F20" i="16"/>
  <c r="G16" i="16"/>
  <c r="F17" i="16"/>
  <c r="F18" i="16" s="1"/>
  <c r="F22" i="16" l="1"/>
  <c r="F23" i="16" s="1"/>
  <c r="G17" i="16"/>
  <c r="G18" i="16" s="1"/>
  <c r="G19" i="16"/>
  <c r="G21" i="16"/>
  <c r="G20" i="16"/>
  <c r="G22" i="16" l="1"/>
  <c r="G23" i="16" l="1"/>
  <c r="B24" i="16" s="1"/>
  <c r="B25" i="16"/>
  <c r="B26" i="16" s="1"/>
  <c r="B27" i="16" l="1"/>
  <c r="B29" i="16" s="1"/>
  <c r="B30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levaniko Kvinikadze</author>
  </authors>
  <commentList>
    <comment ref="B24" authorId="0" shapeId="0" xr:uid="{A22B6BC2-83D2-410D-B939-FBBD75106B6E}">
      <text>
        <r>
          <rPr>
            <b/>
            <sz val="9"/>
            <color indexed="81"/>
            <rFont val="Tahoma"/>
            <family val="2"/>
          </rPr>
          <t>Levan Kvinikadze:</t>
        </r>
        <r>
          <rPr>
            <sz val="9"/>
            <color indexed="81"/>
            <rFont val="Tahoma"/>
            <family val="2"/>
          </rPr>
          <t xml:space="preserve">
Use 10-Year Treasury (DGS10) on 2024-12-31</t>
        </r>
      </text>
    </comment>
    <comment ref="B26" authorId="0" shapeId="0" xr:uid="{0B9173A0-3561-4A89-95D9-16B95B29F225}">
      <text>
        <r>
          <rPr>
            <b/>
            <sz val="9"/>
            <color indexed="81"/>
            <rFont val="Tahoma"/>
            <family val="2"/>
          </rPr>
          <t>Levan Kvinikadze:</t>
        </r>
        <r>
          <rPr>
            <sz val="9"/>
            <color indexed="81"/>
            <rFont val="Tahoma"/>
            <family val="2"/>
          </rPr>
          <t xml:space="preserve">
Aswath Demodaran's "Historical Implied Equity Risk Premium." - 2024</t>
        </r>
      </text>
    </comment>
    <comment ref="B38" authorId="0" shapeId="0" xr:uid="{4A597C39-B1D7-46A7-867D-35BA874B3BDD}">
      <text>
        <r>
          <rPr>
            <b/>
            <sz val="9"/>
            <color indexed="81"/>
            <rFont val="Tahoma"/>
            <family val="2"/>
          </rPr>
          <t>Levan Kvinikadze:</t>
        </r>
        <r>
          <rPr>
            <sz val="9"/>
            <color indexed="81"/>
            <rFont val="Tahoma"/>
            <family val="2"/>
          </rPr>
          <t xml:space="preserve">
Revenue growth uses 2018–2024 CAGR to avoid rebound/outlier distortion</t>
        </r>
      </text>
    </comment>
    <comment ref="B40" authorId="0" shapeId="0" xr:uid="{781D690A-A075-443B-9818-155A91CD47C7}">
      <text>
        <r>
          <rPr>
            <b/>
            <sz val="9"/>
            <color indexed="81"/>
            <rFont val="Tahoma"/>
            <family val="2"/>
          </rPr>
          <t>Levan Kvinikadze:</t>
        </r>
        <r>
          <rPr>
            <sz val="9"/>
            <color indexed="81"/>
            <rFont val="Tahoma"/>
            <family val="2"/>
          </rPr>
          <t xml:space="preserve">
Since the tax rates calculated above are not usable for forecasting, I chose 25% as base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levaniko Kvinikadze</author>
  </authors>
  <commentList>
    <comment ref="B11" authorId="0" shapeId="0" xr:uid="{F852E866-3888-4496-9A71-598719A551F6}">
      <text>
        <r>
          <rPr>
            <b/>
            <sz val="9"/>
            <color indexed="81"/>
            <rFont val="Tahoma"/>
            <family val="2"/>
          </rPr>
          <t>Levan Kvinikadze:</t>
        </r>
        <r>
          <rPr>
            <sz val="9"/>
            <color indexed="81"/>
            <rFont val="Tahoma"/>
            <family val="2"/>
          </rPr>
          <t xml:space="preserve">
conservative, inflation-like long-run growth for a mature, cyclical industrial company.</t>
        </r>
      </text>
    </comment>
  </commentList>
</comments>
</file>

<file path=xl/sharedStrings.xml><?xml version="1.0" encoding="utf-8"?>
<sst xmlns="http://schemas.openxmlformats.org/spreadsheetml/2006/main" count="377" uniqueCount="299">
  <si>
    <t>EBIT</t>
  </si>
  <si>
    <t>NOPAT</t>
  </si>
  <si>
    <t>Total Current Assets</t>
  </si>
  <si>
    <t>Total Current Liabilities</t>
  </si>
  <si>
    <t>Free Cash Flow</t>
  </si>
  <si>
    <t>Net Debt</t>
  </si>
  <si>
    <t>Enterprise Value</t>
  </si>
  <si>
    <t>WACC</t>
  </si>
  <si>
    <t>-</t>
  </si>
  <si>
    <t>Goodyear Tire &amp; Rubber Company (GT)</t>
  </si>
  <si>
    <t>$10.70</t>
  </si>
  <si>
    <t>Goodyear Tire &amp; Rubber Company</t>
  </si>
  <si>
    <t xml:space="preserve">GT   382550101   2378200   NASDAQ    Common stock    </t>
  </si>
  <si>
    <t>Source: FactSet Fundamentals</t>
  </si>
  <si>
    <t>DEC '15</t>
  </si>
  <si>
    <t>DEC '16</t>
  </si>
  <si>
    <t>DEC '17</t>
  </si>
  <si>
    <t>DEC '18</t>
  </si>
  <si>
    <t>DEC '19</t>
  </si>
  <si>
    <t>DEC '20</t>
  </si>
  <si>
    <t>DEC '21</t>
  </si>
  <si>
    <t>DEC '22</t>
  </si>
  <si>
    <t>DEC '23</t>
  </si>
  <si>
    <t>DEC '24</t>
  </si>
  <si>
    <t>Restate</t>
  </si>
  <si>
    <t>Assets</t>
  </si>
  <si>
    <t>Cash &amp; Short-Term Investments</t>
  </si>
  <si>
    <t>Cash Only</t>
  </si>
  <si>
    <t>Short-Term Receivables</t>
  </si>
  <si>
    <t>Accounts Receivables, Net</t>
  </si>
  <si>
    <t>Accounts Receivables, Gross</t>
  </si>
  <si>
    <t>Bad Debt/Doubtful Accounts</t>
  </si>
  <si>
    <t>Other Receivables</t>
  </si>
  <si>
    <t>Inventories</t>
  </si>
  <si>
    <t>Finished Goods</t>
  </si>
  <si>
    <t>Work in Progress</t>
  </si>
  <si>
    <t>Raw Materials</t>
  </si>
  <si>
    <t>Other Current Assets</t>
  </si>
  <si>
    <t>Miscellaneous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</si>
  <si>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</si>
  <si>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</si>
  <si>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</si>
  <si>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</si>
  <si>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</si>
  <si>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</si>
  <si>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Leases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</si>
  <si>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</si>
  <si>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</si>
  <si>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</si>
  <si>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</si>
  <si>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</si>
  <si>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</si>
  <si>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Intangible Assets</t>
  </si>
  <si>
    <t>Goodwill</t>
  </si>
  <si>
    <t>Other Intangible Assets</t>
  </si>
  <si>
    <t>Deferred Tax Assets</t>
  </si>
  <si>
    <t>Other Assets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</si>
  <si>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</si>
  <si>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</si>
  <si>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</si>
  <si>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</si>
  <si>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</si>
  <si>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</si>
  <si>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Other Current Liabilities</t>
  </si>
  <si>
    <t>Accrued Payroll</t>
  </si>
  <si>
    <t>Miscellaneous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</si>
  <si>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</si>
  <si>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</si>
  <si>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</si>
  <si>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</si>
  <si>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</si>
  <si>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</si>
  <si>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</si>
  <si>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</si>
  <si>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</si>
  <si>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</si>
  <si>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</si>
  <si>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</si>
  <si>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</si>
  <si>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</si>
  <si>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</si>
  <si>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</si>
  <si>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Unrealized Gain/Loss Marketable Securities</t>
  </si>
  <si>
    <t>Other Appropriated Reserves</t>
  </si>
  <si>
    <t>Total Shareholders' Equity</t>
  </si>
  <si>
    <t>Accumulated Minority Interest</t>
  </si>
  <si>
    <t>Total Equity</t>
  </si>
  <si>
    <t>Total Liabilities &amp; Shareholders' Equity</t>
  </si>
  <si>
    <t>Per Share</t>
  </si>
  <si>
    <t>Book Value per Share</t>
  </si>
  <si>
    <t>Tangible Book Value per Share</t>
  </si>
  <si>
    <t>All figures in millions of U.S. Dollar except per share items.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</si>
  <si>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</si>
  <si>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</si>
  <si>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</si>
  <si>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</si>
  <si>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</si>
  <si>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</si>
  <si>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</si>
  <si>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</si>
  <si>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</si>
  <si>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</si>
  <si>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Other Operating Expense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</si>
  <si>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</si>
  <si>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</si>
  <si>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</si>
  <si>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</si>
  <si>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</si>
  <si>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</si>
  <si>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</si>
  <si>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</si>
  <si>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</si>
  <si>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Exceptional Provisions</t>
  </si>
  <si>
    <t>Restructuring Expense</t>
  </si>
  <si>
    <t>Legal Claim Expense</t>
  </si>
  <si>
    <t>Unrealized Valuation Gain/Loss</t>
  </si>
  <si>
    <t>Investments</t>
  </si>
  <si>
    <t>Hedges/Derivatives</t>
  </si>
  <si>
    <t>Excpl Chrgs - Others</t>
  </si>
  <si>
    <t>Restructuring of Debt</t>
  </si>
  <si>
    <t>Calamitous Events</t>
  </si>
  <si>
    <t>Accelerated Depreciation</t>
  </si>
  <si>
    <t>Other Unusual Expense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</si>
  <si>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</si>
  <si>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</si>
  <si>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</si>
  <si>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</si>
  <si>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</si>
  <si>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</si>
  <si>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</si>
  <si>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</si>
  <si>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</t>
  </si>
  <si>
    <t>Net Income available to Common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</si>
  <si>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</si>
  <si>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</si>
  <si>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</si>
  <si>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</si>
  <si>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</si>
  <si>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</si>
  <si>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</si>
  <si>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</si>
  <si>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</si>
  <si>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</si>
  <si>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$10.71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</si>
  <si>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</si>
  <si>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</si>
  <si>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</si>
  <si>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</si>
  <si>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</si>
  <si>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</si>
  <si>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</si>
  <si>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</si>
  <si>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</si>
  <si>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</si>
  <si>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</si>
  <si>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Other Accruals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</si>
  <si>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</si>
  <si>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</si>
  <si>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</si>
  <si>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</si>
  <si>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</si>
  <si>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</si>
  <si>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</si>
  <si>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</si>
  <si>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</si>
  <si>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</si>
  <si>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</si>
  <si>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</si>
  <si>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</si>
  <si>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</si>
  <si>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</si>
  <si>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</si>
  <si>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</si>
  <si>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</si>
  <si>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</si>
  <si>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Sale of Stock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</si>
  <si>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</si>
  <si>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</si>
  <si>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</si>
  <si>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</si>
  <si>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</si>
  <si>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</si>
  <si>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</si>
  <si>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</si>
  <si>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</si>
  <si>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 per Share</t>
  </si>
  <si>
    <t>Free Cash Flow Yield (%)</t>
  </si>
  <si>
    <t>Price History: GT-US</t>
  </si>
  <si>
    <t>Date</t>
  </si>
  <si>
    <t>Price</t>
  </si>
  <si>
    <t>Change</t>
  </si>
  <si>
    <t>All figures in millions of USD | Source: FactSet Debt Capital Structure</t>
  </si>
  <si>
    <t>Total Debt</t>
  </si>
  <si>
    <t>Current Portion of LTD</t>
  </si>
  <si>
    <t>Long Term Debt</t>
  </si>
  <si>
    <t>Long Term Debt, Less Current Portion</t>
  </si>
  <si>
    <t>Adjustments</t>
  </si>
  <si>
    <t>Other</t>
  </si>
  <si>
    <t>Senior Unsec.</t>
  </si>
  <si>
    <t>Notes/Bonds</t>
  </si>
  <si>
    <t>Unsec. Delayed Drawdown TL</t>
  </si>
  <si>
    <t>Sec. 2nd Lien TL</t>
  </si>
  <si>
    <t>Term Loans</t>
  </si>
  <si>
    <t>Unsec. Rev. Facility</t>
  </si>
  <si>
    <t>Sec. Rev. Facility</t>
  </si>
  <si>
    <t>Asset-Backed Facility</t>
  </si>
  <si>
    <t>Revolving Credit</t>
  </si>
  <si>
    <t>Short Term - Other</t>
  </si>
  <si>
    <t>ST Revolver - Unsec.</t>
  </si>
  <si>
    <t>Short Term Debt</t>
  </si>
  <si>
    <t>Debt Capitalization</t>
  </si>
  <si>
    <t xml:space="preserve">Dec '24 </t>
  </si>
  <si>
    <t xml:space="preserve">Dec '23 </t>
  </si>
  <si>
    <t xml:space="preserve">Dec '22 </t>
  </si>
  <si>
    <t xml:space="preserve">Dec '21 </t>
  </si>
  <si>
    <t xml:space="preserve">Dec '20  </t>
  </si>
  <si>
    <t xml:space="preserve">Dec '19  </t>
  </si>
  <si>
    <t xml:space="preserve">Dec '18  </t>
  </si>
  <si>
    <t xml:space="preserve">Dec '17  </t>
  </si>
  <si>
    <t>Current Ratio</t>
  </si>
  <si>
    <t>Quick Ratio</t>
  </si>
  <si>
    <t>Debt Ratio</t>
  </si>
  <si>
    <t>Earnings Per Share</t>
  </si>
  <si>
    <t>Return on Equity</t>
  </si>
  <si>
    <t>Return on Assets</t>
  </si>
  <si>
    <t>Revenue growth</t>
  </si>
  <si>
    <t>Profit Margin</t>
  </si>
  <si>
    <t>EBIT Margin</t>
  </si>
  <si>
    <t xml:space="preserve">Valuation as of </t>
  </si>
  <si>
    <t>Assumptions:</t>
  </si>
  <si>
    <t>Currency</t>
  </si>
  <si>
    <t>USD</t>
  </si>
  <si>
    <t>Revenue Growth Rate</t>
  </si>
  <si>
    <t>Year</t>
  </si>
  <si>
    <t>Revenue</t>
  </si>
  <si>
    <t>Revenue Growth YOY</t>
  </si>
  <si>
    <t>Average EBIT</t>
  </si>
  <si>
    <t>Tax Rate</t>
  </si>
  <si>
    <t>Tax Rate Assumption</t>
  </si>
  <si>
    <t>Pre-tax Income</t>
  </si>
  <si>
    <t>Income Tax</t>
  </si>
  <si>
    <t>Comments on tax rate</t>
  </si>
  <si>
    <t>Loss</t>
  </si>
  <si>
    <t>Outlier</t>
  </si>
  <si>
    <t>EBIT Rate</t>
  </si>
  <si>
    <t>Years</t>
  </si>
  <si>
    <t>Depreciation %-of sales</t>
  </si>
  <si>
    <t>Median D&amp;A</t>
  </si>
  <si>
    <t>CAPEX</t>
  </si>
  <si>
    <t>CAPEX %-of Sales</t>
  </si>
  <si>
    <t>Median CAPEX</t>
  </si>
  <si>
    <t>NWC</t>
  </si>
  <si>
    <t>Change NWC</t>
  </si>
  <si>
    <t>Change in Sales</t>
  </si>
  <si>
    <t>Change NWC/ Change Sales</t>
  </si>
  <si>
    <t>Final NWC</t>
  </si>
  <si>
    <t>D&amp;A</t>
  </si>
  <si>
    <t>Change in NWC</t>
  </si>
  <si>
    <t>Terminal Grwoth</t>
  </si>
  <si>
    <t>Risk-Free Rate (Rf)</t>
  </si>
  <si>
    <t>Returns</t>
  </si>
  <si>
    <t>Beta</t>
  </si>
  <si>
    <t>MRP</t>
  </si>
  <si>
    <t>Equity Value</t>
  </si>
  <si>
    <t>Weight of Equity</t>
  </si>
  <si>
    <t>Weight of Debt</t>
  </si>
  <si>
    <t>Cost of Equity</t>
  </si>
  <si>
    <t>Cost of Debt</t>
  </si>
  <si>
    <t>Debt Value 2024</t>
  </si>
  <si>
    <t>Debt Value 2023</t>
  </si>
  <si>
    <t>Average Debt</t>
  </si>
  <si>
    <t>Unlevered Free Cash Flows</t>
  </si>
  <si>
    <t>Revenue CAGR (2018–2024)</t>
  </si>
  <si>
    <t>Present Values of FCF</t>
  </si>
  <si>
    <t>Total PV of FCF</t>
  </si>
  <si>
    <t>Terminal Value</t>
  </si>
  <si>
    <t>PV of Terminal Value</t>
  </si>
  <si>
    <t>Diluted Shares</t>
  </si>
  <si>
    <t>Implied Price Per Share</t>
  </si>
  <si>
    <t>Base Year</t>
  </si>
  <si>
    <t>Ratio Analysis:</t>
  </si>
  <si>
    <t>Cash Conversion Cycle</t>
  </si>
  <si>
    <t>Line Item</t>
  </si>
  <si>
    <t>COGS</t>
  </si>
  <si>
    <t>Inventory (end of year)</t>
  </si>
  <si>
    <t>Customer receivables (end of year)</t>
  </si>
  <si>
    <t>Supplier payables (end of year)</t>
  </si>
  <si>
    <t>Days in year</t>
  </si>
  <si>
    <t>Sales per day</t>
  </si>
  <si>
    <t>COGS per day</t>
  </si>
  <si>
    <t>Average Inventory</t>
  </si>
  <si>
    <t>Average customer receivables</t>
  </si>
  <si>
    <t>Average supplier payables</t>
  </si>
  <si>
    <t>Days inventory is held</t>
  </si>
  <si>
    <t>Days to collect from customers</t>
  </si>
  <si>
    <t>Days to pay suppliers</t>
  </si>
  <si>
    <t>Cash conversion cycle</t>
  </si>
  <si>
    <t>Price Per Share as of 05/02/2025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</si>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</sst>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###.0"/>
    <numFmt numFmtId="167" formatCode="#,###.0"/>
    <numFmt numFmtId="168" formatCode="#,0##.0"/>
    <numFmt numFmtId="169" formatCode="#,#0#.0"/>
    <numFmt numFmtId="170" formatCode="##.0"/>
    <numFmt numFmtId="171" formatCode="##.#"/>
    <numFmt numFmtId="172" formatCode="#,###.#"/>
    <numFmt numFmtId="173" formatCode="#00.0"/>
    <numFmt numFmtId="174" formatCode="#0#.0"/>
    <numFmt numFmtId="175" formatCode="##0.0"/>
    <numFmt numFmtId="176" formatCode="0.0"/>
  </numFmts>
  <fonts count="10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8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3" fontId="3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 indent="3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3" fontId="0" fillId="3" borderId="0" xfId="0" applyNumberFormat="1" applyFill="1" applyAlignment="1">
      <alignment horizontal="right"/>
    </xf>
    <xf numFmtId="0" fontId="3" fillId="0" borderId="0" xfId="0" applyFont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3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 indent="3"/>
    </xf>
    <xf numFmtId="0" fontId="0" fillId="0" borderId="0" xfId="0" applyAlignment="1">
      <alignment horizontal="left"/>
    </xf>
    <xf numFmtId="3" fontId="4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left" indent="6"/>
    </xf>
    <xf numFmtId="0" fontId="0" fillId="3" borderId="0" xfId="0" applyFill="1" applyAlignment="1">
      <alignment horizontal="left"/>
    </xf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4" fontId="3" fillId="3" borderId="0" xfId="0" applyNumberFormat="1" applyFont="1" applyFill="1" applyAlignment="1">
      <alignment horizontal="right"/>
    </xf>
    <xf numFmtId="4" fontId="0" fillId="3" borderId="0" xfId="0" applyNumberFormat="1" applyFill="1" applyAlignment="1">
      <alignment horizontal="right"/>
    </xf>
    <xf numFmtId="4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164" fontId="0" fillId="3" borderId="0" xfId="0" applyNumberForma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3" fillId="3" borderId="0" xfId="0" applyNumberFormat="1" applyFont="1" applyFill="1" applyAlignment="1">
      <alignment horizontal="right"/>
    </xf>
    <xf numFmtId="10" fontId="0" fillId="0" borderId="3" xfId="1" applyNumberFormat="1" applyFont="1" applyBorder="1"/>
    <xf numFmtId="43" fontId="0" fillId="0" borderId="0" xfId="3" applyFont="1"/>
    <xf numFmtId="0" fontId="0" fillId="0" borderId="0" xfId="0" applyAlignment="1">
      <alignment horizontal="right"/>
    </xf>
    <xf numFmtId="10" fontId="0" fillId="0" borderId="0" xfId="0" applyNumberFormat="1"/>
    <xf numFmtId="0" fontId="6" fillId="0" borderId="13" xfId="0" applyFont="1" applyBorder="1"/>
    <xf numFmtId="10" fontId="6" fillId="0" borderId="13" xfId="1" applyNumberFormat="1" applyFont="1" applyBorder="1"/>
    <xf numFmtId="166" fontId="4" fillId="0" borderId="0" xfId="0" applyNumberFormat="1" applyFont="1" applyAlignment="1">
      <alignment horizontal="right"/>
    </xf>
    <xf numFmtId="167" fontId="0" fillId="3" borderId="0" xfId="0" applyNumberFormat="1" applyFill="1" applyAlignment="1">
      <alignment horizontal="right"/>
    </xf>
    <xf numFmtId="168" fontId="0" fillId="3" borderId="0" xfId="0" applyNumberFormat="1" applyFill="1" applyAlignment="1">
      <alignment horizontal="right"/>
    </xf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70" fontId="4" fillId="3" borderId="0" xfId="0" applyNumberFormat="1" applyFont="1" applyFill="1" applyAlignment="1">
      <alignment horizontal="right"/>
    </xf>
    <xf numFmtId="171" fontId="4" fillId="3" borderId="0" xfId="0" applyNumberFormat="1" applyFont="1" applyFill="1" applyAlignment="1">
      <alignment horizontal="right"/>
    </xf>
    <xf numFmtId="170" fontId="3" fillId="0" borderId="0" xfId="0" applyNumberFormat="1" applyFont="1" applyAlignment="1">
      <alignment horizontal="right"/>
    </xf>
    <xf numFmtId="171" fontId="3" fillId="0" borderId="0" xfId="0" applyNumberFormat="1" applyFont="1" applyAlignment="1">
      <alignment horizontal="right"/>
    </xf>
    <xf numFmtId="172" fontId="0" fillId="3" borderId="0" xfId="0" applyNumberFormat="1" applyFill="1" applyAlignment="1">
      <alignment horizontal="right"/>
    </xf>
    <xf numFmtId="172" fontId="3" fillId="0" borderId="0" xfId="0" applyNumberFormat="1" applyFont="1" applyAlignment="1">
      <alignment horizontal="right"/>
    </xf>
    <xf numFmtId="166" fontId="0" fillId="3" borderId="0" xfId="0" applyNumberFormat="1" applyFill="1" applyAlignment="1">
      <alignment horizontal="right"/>
    </xf>
    <xf numFmtId="173" fontId="0" fillId="0" borderId="0" xfId="0" applyNumberFormat="1" applyAlignment="1">
      <alignment horizontal="right"/>
    </xf>
    <xf numFmtId="166" fontId="3" fillId="3" borderId="0" xfId="0" applyNumberFormat="1" applyFont="1" applyFill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175" fontId="0" fillId="0" borderId="0" xfId="0" applyNumberFormat="1" applyAlignment="1">
      <alignment horizontal="right"/>
    </xf>
    <xf numFmtId="176" fontId="0" fillId="3" borderId="0" xfId="0" applyNumberFormat="1" applyFill="1" applyAlignment="1">
      <alignment horizontal="right"/>
    </xf>
    <xf numFmtId="173" fontId="0" fillId="3" borderId="0" xfId="0" applyNumberFormat="1" applyFill="1" applyAlignment="1">
      <alignment horizontal="right"/>
    </xf>
    <xf numFmtId="167" fontId="3" fillId="3" borderId="0" xfId="0" applyNumberFormat="1" applyFont="1" applyFill="1" applyAlignment="1">
      <alignment horizontal="right"/>
    </xf>
    <xf numFmtId="169" fontId="3" fillId="3" borderId="0" xfId="0" applyNumberFormat="1" applyFont="1" applyFill="1" applyAlignment="1">
      <alignment horizontal="right"/>
    </xf>
    <xf numFmtId="166" fontId="3" fillId="0" borderId="0" xfId="0" applyNumberFormat="1" applyFont="1" applyAlignment="1">
      <alignment horizontal="right"/>
    </xf>
    <xf numFmtId="175" fontId="3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0" fillId="0" borderId="0" xfId="3" applyNumberFormat="1" applyFont="1"/>
    <xf numFmtId="0" fontId="1" fillId="2" borderId="3" xfId="0" applyFont="1" applyFill="1" applyBorder="1" applyAlignment="1">
      <alignment horizontal="left"/>
    </xf>
    <xf numFmtId="43" fontId="0" fillId="0" borderId="3" xfId="3" applyFont="1" applyBorder="1"/>
    <xf numFmtId="10" fontId="0" fillId="0" borderId="0" xfId="1" applyNumberFormat="1" applyFont="1"/>
    <xf numFmtId="9" fontId="0" fillId="0" borderId="0" xfId="0" applyNumberFormat="1"/>
    <xf numFmtId="43" fontId="0" fillId="0" borderId="0" xfId="0" applyNumberFormat="1"/>
    <xf numFmtId="10" fontId="0" fillId="0" borderId="0" xfId="1" applyNumberFormat="1" applyFont="1" applyBorder="1"/>
    <xf numFmtId="0" fontId="1" fillId="0" borderId="0" xfId="0" applyFont="1" applyAlignment="1">
      <alignment horizontal="center"/>
    </xf>
    <xf numFmtId="0" fontId="0" fillId="0" borderId="5" xfId="0" applyBorder="1"/>
    <xf numFmtId="3" fontId="0" fillId="0" borderId="6" xfId="0" applyNumberFormat="1" applyBorder="1"/>
    <xf numFmtId="3" fontId="0" fillId="0" borderId="7" xfId="0" applyNumberFormat="1" applyBorder="1"/>
    <xf numFmtId="0" fontId="0" fillId="0" borderId="8" xfId="0" applyBorder="1"/>
    <xf numFmtId="10" fontId="0" fillId="0" borderId="9" xfId="1" applyNumberFormat="1" applyFont="1" applyBorder="1"/>
    <xf numFmtId="3" fontId="0" fillId="0" borderId="9" xfId="0" applyNumberFormat="1" applyBorder="1"/>
    <xf numFmtId="0" fontId="0" fillId="0" borderId="10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43" fontId="0" fillId="0" borderId="6" xfId="3" applyFont="1" applyBorder="1"/>
    <xf numFmtId="43" fontId="0" fillId="0" borderId="7" xfId="3" applyFont="1" applyBorder="1"/>
    <xf numFmtId="43" fontId="0" fillId="0" borderId="0" xfId="1" applyNumberFormat="1" applyFont="1" applyBorder="1"/>
    <xf numFmtId="43" fontId="0" fillId="0" borderId="9" xfId="1" applyNumberFormat="1" applyFont="1" applyBorder="1"/>
    <xf numFmtId="14" fontId="0" fillId="0" borderId="0" xfId="0" applyNumberFormat="1"/>
    <xf numFmtId="0" fontId="1" fillId="5" borderId="0" xfId="0" applyFont="1" applyFill="1"/>
    <xf numFmtId="0" fontId="0" fillId="4" borderId="0" xfId="0" applyFill="1"/>
    <xf numFmtId="43" fontId="0" fillId="4" borderId="0" xfId="3" applyFont="1" applyFill="1"/>
    <xf numFmtId="44" fontId="0" fillId="4" borderId="0" xfId="2" applyFont="1" applyFill="1"/>
    <xf numFmtId="0" fontId="0" fillId="0" borderId="14" xfId="0" applyBorder="1"/>
    <xf numFmtId="43" fontId="0" fillId="0" borderId="14" xfId="0" applyNumberFormat="1" applyBorder="1"/>
    <xf numFmtId="0" fontId="0" fillId="0" borderId="4" xfId="0" applyBorder="1"/>
    <xf numFmtId="0" fontId="1" fillId="0" borderId="4" xfId="0" applyFont="1" applyBorder="1"/>
    <xf numFmtId="0" fontId="0" fillId="0" borderId="7" xfId="0" applyBorder="1"/>
    <xf numFmtId="0" fontId="0" fillId="0" borderId="9" xfId="0" applyBorder="1" applyAlignment="1">
      <alignment horizontal="right"/>
    </xf>
    <xf numFmtId="10" fontId="0" fillId="0" borderId="9" xfId="0" applyNumberFormat="1" applyBorder="1"/>
    <xf numFmtId="9" fontId="0" fillId="0" borderId="9" xfId="0" applyNumberFormat="1" applyBorder="1"/>
    <xf numFmtId="165" fontId="0" fillId="0" borderId="12" xfId="3" applyNumberFormat="1" applyFont="1" applyBorder="1"/>
    <xf numFmtId="0" fontId="0" fillId="0" borderId="3" xfId="0" applyFont="1" applyBorder="1" applyAlignment="1">
      <alignment horizontal="left" indent="1"/>
    </xf>
    <xf numFmtId="0" fontId="9" fillId="0" borderId="0" xfId="0" applyFont="1"/>
    <xf numFmtId="10" fontId="0" fillId="0" borderId="7" xfId="1" applyNumberFormat="1" applyFont="1" applyBorder="1"/>
    <xf numFmtId="43" fontId="0" fillId="0" borderId="9" xfId="3" applyFont="1" applyBorder="1"/>
    <xf numFmtId="0" fontId="1" fillId="0" borderId="5" xfId="0" applyFont="1" applyBorder="1"/>
    <xf numFmtId="10" fontId="0" fillId="0" borderId="7" xfId="0" applyNumberFormat="1" applyBorder="1"/>
    <xf numFmtId="0" fontId="1" fillId="0" borderId="8" xfId="0" applyFont="1" applyBorder="1"/>
    <xf numFmtId="0" fontId="1" fillId="0" borderId="10" xfId="0" applyFont="1" applyBorder="1"/>
    <xf numFmtId="10" fontId="0" fillId="4" borderId="12" xfId="1" applyNumberFormat="1" applyFont="1" applyFill="1" applyBorder="1"/>
    <xf numFmtId="8" fontId="0" fillId="3" borderId="0" xfId="0" applyNumberFormat="1" applyFill="1" applyAlignment="1">
      <alignment horizontal="left"/>
    </xf>
    <xf numFmtId="0" fontId="0" fillId="0" borderId="0" xfId="0" applyBorder="1"/>
    <xf numFmtId="43" fontId="0" fillId="0" borderId="0" xfId="3" applyFont="1" applyBorder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</a:t>
            </a:r>
            <a:r>
              <a:rPr lang="en-US" baseline="0"/>
              <a:t> IN MILLIONS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3591207349081363E-2"/>
                  <c:y val="-0.184882618839311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DEBT!$R$2:$Y$2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DEBT!$R$3:$Y$3</c:f>
              <c:numCache>
                <c:formatCode>_(* #,##0_);_(* \(#,##0\);_(* "-"??_);_(@_)</c:formatCode>
                <c:ptCount val="8"/>
                <c:pt idx="0">
                  <c:v>5689</c:v>
                </c:pt>
                <c:pt idx="1">
                  <c:v>5726</c:v>
                </c:pt>
                <c:pt idx="2">
                  <c:v>5414</c:v>
                </c:pt>
                <c:pt idx="3">
                  <c:v>5740</c:v>
                </c:pt>
                <c:pt idx="4">
                  <c:v>7142</c:v>
                </c:pt>
                <c:pt idx="5">
                  <c:v>7635</c:v>
                </c:pt>
                <c:pt idx="6">
                  <c:v>7356</c:v>
                </c:pt>
                <c:pt idx="7">
                  <c:v>7521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8-46AF-A089-B2C35E0AA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038447"/>
        <c:axId val="37039407"/>
      </c:barChart>
      <c:catAx>
        <c:axId val="3703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9407"/>
        <c:crosses val="autoZero"/>
        <c:auto val="1"/>
        <c:lblAlgn val="ctr"/>
        <c:lblOffset val="100"/>
        <c:noMultiLvlLbl val="0"/>
      </c:catAx>
      <c:valAx>
        <c:axId val="3703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3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183355</xdr:colOff>
      <xdr:row>5</xdr:row>
      <xdr:rowOff>138112</xdr:rowOff>
    </xdr:from>
    <xdr:to>
      <xdr:col>17</xdr:col>
      <xdr:colOff>188118</xdr:colOff>
      <xdr:row>20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1C63BC-6DA9-69B2-6575-594348F0D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B1DE-5A18-49C7-B634-C19C8CC9A273}">
  <sheetPr>
    <tabColor rgb="FFFF0000"/>
    <outlinePr summaryBelow="0" summaryRight="0"/>
  </sheetPr>
  <dimension ref="A1:K67"/>
  <sheetViews>
    <sheetView zoomScale="145" zoomScaleNormal="145" workbookViewId="0">
      <selection activeCell="A2" sqref="A2"/>
    </sheetView>
  </sheetViews>
  <sheetFormatPr defaultColWidth="9.140625" defaultRowHeight="15" customHeight="1" outlineLevelRow="3"/>
  <cols>
    <col min="1" max="1" width="50.7109375" customWidth="1"/>
    <col min="2" max="11" width="8" customWidth="1"/>
  </cols>
  <sheetData>
    <row r="1" spans="1:11" ht="15" customHeight="1">
      <c r="A1" s="29" t="s">
        <v>9</v>
      </c>
    </row>
    <row r="2" spans="1:11" ht="15" customHeight="1">
      <c r="A2" s="117">
        <f>Beta_Calc!B4</f>
        <v>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1" ht="15" customHeight="1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</row>
    <row r="5" spans="1:11" ht="15" customHeight="1">
      <c r="A5" s="1" t="s">
        <v>11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 customHeight="1">
      <c r="A6" s="1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 customHeight="1">
      <c r="A7" s="1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>
      <c r="A8" s="1"/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</row>
    <row r="9" spans="1:11" ht="15" customHeight="1">
      <c r="A9" s="1"/>
      <c r="B9" s="1"/>
      <c r="C9" s="1"/>
      <c r="D9" s="1" t="s">
        <v>24</v>
      </c>
      <c r="E9" s="1"/>
      <c r="F9" s="1"/>
      <c r="G9" s="1"/>
      <c r="H9" s="1"/>
      <c r="I9" s="1"/>
      <c r="J9" s="1"/>
      <c r="K9" s="1"/>
    </row>
    <row r="10" spans="1:11" ht="15" customHeight="1">
      <c r="A10" s="2" t="s">
        <v>92</v>
      </c>
      <c r="B10" s="3">
        <v>16443</v>
      </c>
      <c r="C10" s="3">
        <v>15158</v>
      </c>
      <c r="D10" s="3">
        <v>15377</v>
      </c>
      <c r="E10" s="3">
        <v>15475</v>
      </c>
      <c r="F10" s="3">
        <v>14745</v>
      </c>
      <c r="G10" s="3">
        <v>12321</v>
      </c>
      <c r="H10" s="3">
        <v>17478</v>
      </c>
      <c r="I10" s="3">
        <v>20805</v>
      </c>
      <c r="J10" s="3">
        <v>20066</v>
      </c>
      <c r="K10" s="3">
        <v>18878</v>
      </c>
    </row>
    <row r="11" spans="1:11" ht="15" customHeight="1" outlineLevel="1">
      <c r="A11" s="4" t="s">
        <v>93</v>
      </c>
      <c r="B11" s="5">
        <v>11802</v>
      </c>
      <c r="C11" s="5">
        <v>10570</v>
      </c>
      <c r="D11" s="5">
        <v>11234</v>
      </c>
      <c r="E11" s="5">
        <v>11529</v>
      </c>
      <c r="F11" s="5">
        <v>11171</v>
      </c>
      <c r="G11" s="5">
        <v>9846</v>
      </c>
      <c r="H11" s="5">
        <v>13264</v>
      </c>
      <c r="I11" s="5">
        <v>16556</v>
      </c>
      <c r="J11" s="5">
        <v>16138</v>
      </c>
      <c r="K11" s="5">
        <v>14897</v>
      </c>
    </row>
    <row r="12" spans="1:11" ht="15" customHeight="1" outlineLevel="2">
      <c r="A12" s="7" t="s">
        <v>94</v>
      </c>
      <c r="B12" s="8">
        <v>11104</v>
      </c>
      <c r="C12" s="8">
        <v>9843</v>
      </c>
      <c r="D12" s="8">
        <v>10453</v>
      </c>
      <c r="E12" s="8">
        <v>10751</v>
      </c>
      <c r="F12" s="8">
        <v>10376</v>
      </c>
      <c r="G12" s="8">
        <v>8987</v>
      </c>
      <c r="H12" s="8">
        <v>12381</v>
      </c>
      <c r="I12" s="8">
        <v>15592</v>
      </c>
      <c r="J12" s="8">
        <v>15137</v>
      </c>
      <c r="K12" s="8">
        <v>13848</v>
      </c>
    </row>
    <row r="13" spans="1:11" ht="15" customHeight="1" outlineLevel="2">
      <c r="A13" s="9" t="s">
        <v>95</v>
      </c>
      <c r="B13" s="5">
        <v>698</v>
      </c>
      <c r="C13" s="5">
        <v>727</v>
      </c>
      <c r="D13" s="5">
        <v>781</v>
      </c>
      <c r="E13" s="5">
        <v>778</v>
      </c>
      <c r="F13" s="5">
        <v>795</v>
      </c>
      <c r="G13" s="5">
        <v>859</v>
      </c>
      <c r="H13" s="5">
        <v>883</v>
      </c>
      <c r="I13" s="5">
        <v>964</v>
      </c>
      <c r="J13" s="5">
        <v>1001</v>
      </c>
      <c r="K13" s="5">
        <v>1049</v>
      </c>
    </row>
    <row r="14" spans="1:11" ht="15" customHeight="1" outlineLevel="3">
      <c r="A14" s="11" t="s">
        <v>96</v>
      </c>
      <c r="B14" s="8">
        <v>697</v>
      </c>
      <c r="C14" s="8">
        <v>726</v>
      </c>
      <c r="D14" s="8">
        <v>779</v>
      </c>
      <c r="E14" s="8">
        <v>776</v>
      </c>
      <c r="F14" s="8">
        <v>793</v>
      </c>
      <c r="G14" s="8">
        <v>857</v>
      </c>
      <c r="H14" s="8">
        <v>862</v>
      </c>
      <c r="I14" s="8">
        <v>929</v>
      </c>
      <c r="J14" s="8">
        <v>968</v>
      </c>
      <c r="K14" s="8">
        <v>1017</v>
      </c>
    </row>
    <row r="15" spans="1:11" ht="15" customHeight="1" outlineLevel="3">
      <c r="A15" s="10" t="s">
        <v>97</v>
      </c>
      <c r="B15" s="13">
        <v>1</v>
      </c>
      <c r="C15" s="13">
        <v>1</v>
      </c>
      <c r="D15" s="13">
        <v>2</v>
      </c>
      <c r="E15" s="13">
        <v>2</v>
      </c>
      <c r="F15" s="13">
        <v>2</v>
      </c>
      <c r="G15" s="13">
        <v>2</v>
      </c>
      <c r="H15" s="13">
        <v>21</v>
      </c>
      <c r="I15" s="13">
        <v>35</v>
      </c>
      <c r="J15" s="13">
        <v>33</v>
      </c>
      <c r="K15" s="13">
        <v>32</v>
      </c>
    </row>
    <row r="16" spans="1:11" ht="15" customHeight="1">
      <c r="A16" s="2" t="s">
        <v>98</v>
      </c>
      <c r="B16" s="3">
        <v>4641</v>
      </c>
      <c r="C16" s="3">
        <v>4588</v>
      </c>
      <c r="D16" s="3">
        <v>4143</v>
      </c>
      <c r="E16" s="3">
        <v>3946</v>
      </c>
      <c r="F16" s="3">
        <v>3574</v>
      </c>
      <c r="G16" s="3">
        <v>2475</v>
      </c>
      <c r="H16" s="3">
        <v>4214</v>
      </c>
      <c r="I16" s="3">
        <v>4249</v>
      </c>
      <c r="J16" s="3">
        <v>3928</v>
      </c>
      <c r="K16" s="3">
        <v>3981</v>
      </c>
    </row>
    <row r="17" spans="1:11" ht="15" customHeight="1" outlineLevel="1">
      <c r="A17" s="4" t="s">
        <v>99</v>
      </c>
      <c r="B17" s="5">
        <v>2990</v>
      </c>
      <c r="C17" s="5">
        <v>2795</v>
      </c>
      <c r="D17" s="5">
        <v>2740</v>
      </c>
      <c r="E17" s="5">
        <v>2736</v>
      </c>
      <c r="F17" s="5">
        <v>2753</v>
      </c>
      <c r="G17" s="5">
        <v>2582</v>
      </c>
      <c r="H17" s="5">
        <v>3195</v>
      </c>
      <c r="I17" s="5">
        <v>3299</v>
      </c>
      <c r="J17" s="5">
        <v>3477</v>
      </c>
      <c r="K17" s="5">
        <v>3184</v>
      </c>
    </row>
    <row r="18" spans="1:11" ht="15" customHeight="1" outlineLevel="2">
      <c r="A18" s="7" t="s">
        <v>100</v>
      </c>
      <c r="B18" s="8">
        <v>382</v>
      </c>
      <c r="C18" s="8">
        <v>388</v>
      </c>
      <c r="D18" s="8">
        <v>406</v>
      </c>
      <c r="E18" s="8">
        <v>424</v>
      </c>
      <c r="F18" s="8">
        <v>430</v>
      </c>
      <c r="G18" s="8">
        <v>390</v>
      </c>
      <c r="H18" s="8">
        <v>496</v>
      </c>
      <c r="I18" s="8">
        <v>501</v>
      </c>
      <c r="J18" s="8">
        <v>461</v>
      </c>
      <c r="K18" s="8">
        <v>426</v>
      </c>
    </row>
    <row r="19" spans="1:11" ht="15" customHeight="1" outlineLevel="2">
      <c r="A19" s="6" t="s">
        <v>101</v>
      </c>
      <c r="B19" s="13">
        <v>2608</v>
      </c>
      <c r="C19" s="13">
        <v>2407</v>
      </c>
      <c r="D19" s="13">
        <v>2334</v>
      </c>
      <c r="E19" s="13">
        <v>2312</v>
      </c>
      <c r="F19" s="13">
        <v>2323</v>
      </c>
      <c r="G19" s="13">
        <v>2192</v>
      </c>
      <c r="H19" s="13">
        <v>2699</v>
      </c>
      <c r="I19" s="13">
        <v>2798</v>
      </c>
      <c r="J19" s="13">
        <v>3016</v>
      </c>
      <c r="K19" s="13">
        <v>2758</v>
      </c>
    </row>
    <row r="20" spans="1:11" ht="15" customHeight="1" outlineLevel="1">
      <c r="A20" s="15" t="s">
        <v>102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16">
        <v>-202</v>
      </c>
      <c r="K20" s="8">
        <v>24</v>
      </c>
    </row>
    <row r="21" spans="1:11" ht="15" customHeight="1">
      <c r="A21" s="17" t="s">
        <v>103</v>
      </c>
      <c r="B21" s="5">
        <v>1651</v>
      </c>
      <c r="C21" s="5">
        <v>1793</v>
      </c>
      <c r="D21" s="5">
        <v>1403</v>
      </c>
      <c r="E21" s="5">
        <v>1210</v>
      </c>
      <c r="F21" s="5">
        <v>821</v>
      </c>
      <c r="G21" s="5">
        <v>-107</v>
      </c>
      <c r="H21" s="5">
        <v>1019</v>
      </c>
      <c r="I21" s="5">
        <v>950</v>
      </c>
      <c r="J21" s="5">
        <v>653</v>
      </c>
      <c r="K21" s="5">
        <v>773</v>
      </c>
    </row>
    <row r="22" spans="1:11" ht="15" customHeight="1" outlineLevel="1">
      <c r="A22" s="18" t="s">
        <v>104</v>
      </c>
      <c r="B22" s="3">
        <v>155</v>
      </c>
      <c r="C22" s="3">
        <v>82</v>
      </c>
      <c r="D22" s="3">
        <v>54</v>
      </c>
      <c r="E22" s="3">
        <v>-128</v>
      </c>
      <c r="F22" s="3">
        <v>-36</v>
      </c>
      <c r="G22" s="3">
        <v>8</v>
      </c>
      <c r="H22" s="3">
        <v>-52</v>
      </c>
      <c r="I22" s="3">
        <v>-58</v>
      </c>
      <c r="J22" s="3">
        <v>-114</v>
      </c>
      <c r="K22" s="3">
        <v>-42</v>
      </c>
    </row>
    <row r="23" spans="1:11" ht="15" customHeight="1" outlineLevel="2">
      <c r="A23" s="6" t="s">
        <v>105</v>
      </c>
      <c r="B23" s="13">
        <v>22</v>
      </c>
      <c r="C23" s="13">
        <v>15</v>
      </c>
      <c r="D23" s="13">
        <v>13</v>
      </c>
      <c r="E23" s="13">
        <v>54</v>
      </c>
      <c r="F23" s="13">
        <v>26</v>
      </c>
      <c r="G23" s="13">
        <v>14</v>
      </c>
      <c r="H23" s="13">
        <v>72</v>
      </c>
      <c r="I23" s="13">
        <v>34</v>
      </c>
      <c r="J23" s="13">
        <v>84</v>
      </c>
      <c r="K23" s="13">
        <v>54</v>
      </c>
    </row>
    <row r="24" spans="1:11" ht="15" customHeight="1" outlineLevel="2">
      <c r="A24" s="7" t="s">
        <v>106</v>
      </c>
      <c r="B24" s="8">
        <v>133</v>
      </c>
      <c r="C24" s="8">
        <v>67</v>
      </c>
      <c r="D24" s="8">
        <v>41</v>
      </c>
      <c r="E24" s="16">
        <v>-182</v>
      </c>
      <c r="F24" s="16">
        <v>-62</v>
      </c>
      <c r="G24" s="16">
        <v>-6</v>
      </c>
      <c r="H24" s="16">
        <v>-124</v>
      </c>
      <c r="I24" s="16">
        <v>-92</v>
      </c>
      <c r="J24" s="16">
        <v>-198</v>
      </c>
      <c r="K24" s="16">
        <v>-96</v>
      </c>
    </row>
    <row r="25" spans="1:11" ht="15" customHeight="1" outlineLevel="1">
      <c r="A25" s="4" t="s">
        <v>107</v>
      </c>
      <c r="B25" s="5">
        <v>523</v>
      </c>
      <c r="C25" s="5">
        <v>467</v>
      </c>
      <c r="D25" s="5">
        <v>335</v>
      </c>
      <c r="E25" s="5">
        <v>357</v>
      </c>
      <c r="F25" s="5">
        <v>374</v>
      </c>
      <c r="G25" s="5">
        <v>350</v>
      </c>
      <c r="H25" s="5">
        <v>426</v>
      </c>
      <c r="I25" s="5">
        <v>491</v>
      </c>
      <c r="J25" s="5">
        <v>532</v>
      </c>
      <c r="K25" s="5">
        <v>584</v>
      </c>
    </row>
    <row r="26" spans="1:11" ht="15" customHeight="1" outlineLevel="2">
      <c r="A26" s="7" t="s">
        <v>108</v>
      </c>
      <c r="B26" s="8">
        <v>542</v>
      </c>
      <c r="C26" s="8">
        <v>493</v>
      </c>
      <c r="D26" s="8">
        <v>358</v>
      </c>
      <c r="E26" s="8">
        <v>371</v>
      </c>
      <c r="F26" s="8">
        <v>385</v>
      </c>
      <c r="G26" s="8">
        <v>365</v>
      </c>
      <c r="H26" s="8">
        <v>442</v>
      </c>
      <c r="I26" s="8">
        <v>510</v>
      </c>
      <c r="J26" s="8">
        <v>559</v>
      </c>
      <c r="K26" s="8">
        <v>620</v>
      </c>
    </row>
    <row r="27" spans="1:11" ht="15" customHeight="1" outlineLevel="2">
      <c r="A27" s="6" t="s">
        <v>109</v>
      </c>
      <c r="B27" s="13">
        <v>19</v>
      </c>
      <c r="C27" s="13">
        <v>26</v>
      </c>
      <c r="D27" s="13">
        <v>23</v>
      </c>
      <c r="E27" s="13">
        <v>14</v>
      </c>
      <c r="F27" s="13">
        <v>11</v>
      </c>
      <c r="G27" s="13">
        <v>15</v>
      </c>
      <c r="H27" s="13">
        <v>16</v>
      </c>
      <c r="I27" s="13">
        <v>19</v>
      </c>
      <c r="J27" s="13">
        <v>27</v>
      </c>
      <c r="K27" s="13">
        <v>36</v>
      </c>
    </row>
    <row r="28" spans="1:11" ht="15" customHeight="1" outlineLevel="1">
      <c r="A28" s="18" t="s">
        <v>110</v>
      </c>
      <c r="B28" s="3">
        <v>675</v>
      </c>
      <c r="C28" s="3">
        <v>201</v>
      </c>
      <c r="D28" s="3">
        <v>244</v>
      </c>
      <c r="E28" s="3">
        <v>-286</v>
      </c>
      <c r="F28" s="3">
        <v>234</v>
      </c>
      <c r="G28" s="3">
        <v>691</v>
      </c>
      <c r="H28" s="3">
        <v>28</v>
      </c>
      <c r="I28" s="3">
        <v>2</v>
      </c>
      <c r="J28" s="3">
        <v>684</v>
      </c>
      <c r="K28" s="3">
        <v>-8</v>
      </c>
    </row>
    <row r="29" spans="1:11" ht="15" customHeight="1" outlineLevel="2">
      <c r="A29" s="9" t="s">
        <v>111</v>
      </c>
      <c r="B29" s="17"/>
      <c r="C29" s="17"/>
      <c r="D29" s="17"/>
      <c r="E29" s="17"/>
      <c r="F29" s="17"/>
      <c r="G29" s="5">
        <v>330</v>
      </c>
      <c r="H29" s="5">
        <v>0</v>
      </c>
      <c r="I29" s="5">
        <v>0</v>
      </c>
      <c r="J29" s="5">
        <v>230</v>
      </c>
      <c r="K29" s="5">
        <v>125</v>
      </c>
    </row>
    <row r="30" spans="1:11" ht="15" customHeight="1" outlineLevel="3">
      <c r="A30" s="11" t="s">
        <v>53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330</v>
      </c>
      <c r="H30" s="8">
        <v>0</v>
      </c>
      <c r="I30" s="8">
        <v>0</v>
      </c>
      <c r="J30" s="8">
        <v>230</v>
      </c>
      <c r="K30" s="8">
        <v>125</v>
      </c>
    </row>
    <row r="31" spans="1:11" ht="15" customHeight="1" outlineLevel="2">
      <c r="A31" s="6" t="s">
        <v>112</v>
      </c>
      <c r="B31" s="20">
        <v>-25</v>
      </c>
      <c r="C31" s="20">
        <v>-27</v>
      </c>
      <c r="D31" s="19"/>
      <c r="E31" s="19"/>
      <c r="F31" s="19"/>
      <c r="G31" s="19"/>
      <c r="H31" s="19"/>
      <c r="I31" s="19"/>
      <c r="J31" s="19"/>
      <c r="K31" s="19"/>
    </row>
    <row r="32" spans="1:11" ht="15" customHeight="1" outlineLevel="2">
      <c r="A32" s="7" t="s">
        <v>113</v>
      </c>
      <c r="B32" s="8">
        <v>766</v>
      </c>
      <c r="C32" s="8">
        <v>210</v>
      </c>
      <c r="D32" s="8">
        <v>175</v>
      </c>
      <c r="E32" s="16">
        <v>-224</v>
      </c>
      <c r="F32" s="8">
        <v>220</v>
      </c>
      <c r="G32" s="8">
        <v>264</v>
      </c>
      <c r="H32" s="8">
        <v>133</v>
      </c>
      <c r="I32" s="8">
        <v>129</v>
      </c>
      <c r="J32" s="8">
        <v>456</v>
      </c>
      <c r="K32" s="16">
        <v>-60</v>
      </c>
    </row>
    <row r="33" spans="1:11" ht="15" customHeight="1" outlineLevel="2">
      <c r="A33" s="6" t="s">
        <v>114</v>
      </c>
      <c r="B33" s="13">
        <v>4</v>
      </c>
      <c r="C33" s="13">
        <v>10</v>
      </c>
      <c r="D33" s="19"/>
      <c r="E33" s="13">
        <v>9</v>
      </c>
      <c r="F33" s="13">
        <v>11</v>
      </c>
      <c r="G33" s="13">
        <v>10</v>
      </c>
      <c r="H33" s="13">
        <v>0</v>
      </c>
      <c r="I33" s="13">
        <v>14</v>
      </c>
      <c r="J33" s="13">
        <v>6</v>
      </c>
      <c r="K33" s="13">
        <v>3</v>
      </c>
    </row>
    <row r="34" spans="1:11" ht="15" customHeight="1" outlineLevel="2">
      <c r="A34" s="21" t="s">
        <v>115</v>
      </c>
      <c r="B34" s="3">
        <v>78</v>
      </c>
      <c r="C34" s="2"/>
      <c r="D34" s="3">
        <v>-55</v>
      </c>
      <c r="E34" s="3">
        <v>83</v>
      </c>
      <c r="F34" s="3">
        <v>22</v>
      </c>
      <c r="G34" s="3">
        <v>-87</v>
      </c>
      <c r="H34" s="3">
        <v>35</v>
      </c>
      <c r="I34" s="3">
        <v>35</v>
      </c>
      <c r="J34" s="3">
        <v>8</v>
      </c>
      <c r="K34" s="3">
        <v>76</v>
      </c>
    </row>
    <row r="35" spans="1:11" ht="15" customHeight="1" outlineLevel="3">
      <c r="A35" s="10" t="s">
        <v>116</v>
      </c>
      <c r="B35" s="13">
        <v>78</v>
      </c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15" customHeight="1" outlineLevel="3">
      <c r="A36" s="11" t="s">
        <v>117</v>
      </c>
      <c r="B36" s="22"/>
      <c r="C36" s="22"/>
      <c r="D36" s="16">
        <v>-55</v>
      </c>
      <c r="E36" s="8">
        <v>83</v>
      </c>
      <c r="F36" s="8">
        <v>22</v>
      </c>
      <c r="G36" s="16">
        <v>-87</v>
      </c>
      <c r="H36" s="8">
        <v>35</v>
      </c>
      <c r="I36" s="8">
        <v>35</v>
      </c>
      <c r="J36" s="8">
        <v>8</v>
      </c>
      <c r="K36" s="8">
        <v>76</v>
      </c>
    </row>
    <row r="37" spans="1:11" ht="15" customHeight="1" outlineLevel="2">
      <c r="A37" s="9" t="s">
        <v>118</v>
      </c>
      <c r="B37" s="5">
        <v>8</v>
      </c>
      <c r="C37" s="5">
        <v>8</v>
      </c>
      <c r="D37" s="5">
        <v>14</v>
      </c>
      <c r="E37" s="5">
        <v>12</v>
      </c>
      <c r="F37" s="5">
        <v>25</v>
      </c>
      <c r="G37" s="5">
        <v>0</v>
      </c>
      <c r="H37" s="5">
        <v>-70</v>
      </c>
      <c r="I37" s="5">
        <v>-106</v>
      </c>
      <c r="J37" s="17"/>
      <c r="K37" s="17"/>
    </row>
    <row r="38" spans="1:11" ht="15" customHeight="1" outlineLevel="3">
      <c r="A38" s="11" t="s">
        <v>119</v>
      </c>
      <c r="B38" s="22"/>
      <c r="C38" s="16">
        <v>-12</v>
      </c>
      <c r="D38" s="22"/>
      <c r="E38" s="22"/>
      <c r="F38" s="22"/>
      <c r="G38" s="22"/>
      <c r="H38" s="22"/>
      <c r="I38" s="22"/>
      <c r="J38" s="22"/>
      <c r="K38" s="22"/>
    </row>
    <row r="39" spans="1:11" ht="15" customHeight="1" outlineLevel="3">
      <c r="A39" s="10" t="s">
        <v>120</v>
      </c>
      <c r="B39" s="19"/>
      <c r="C39" s="19"/>
      <c r="D39" s="13">
        <v>14</v>
      </c>
      <c r="E39" s="13">
        <v>12</v>
      </c>
      <c r="F39" s="13">
        <v>25</v>
      </c>
      <c r="G39" s="13">
        <v>0</v>
      </c>
      <c r="H39" s="19"/>
      <c r="I39" s="19"/>
      <c r="J39" s="19"/>
      <c r="K39" s="19"/>
    </row>
    <row r="40" spans="1:11" ht="15" customHeight="1" outlineLevel="3">
      <c r="A40" s="11" t="s">
        <v>121</v>
      </c>
      <c r="B40" s="8">
        <v>8</v>
      </c>
      <c r="C40" s="8">
        <v>20</v>
      </c>
      <c r="D40" s="22"/>
      <c r="E40" s="22"/>
      <c r="F40" s="22"/>
      <c r="G40" s="22"/>
      <c r="H40" s="16">
        <v>-1</v>
      </c>
      <c r="I40" s="16">
        <v>-37</v>
      </c>
      <c r="J40" s="22"/>
      <c r="K40" s="22"/>
    </row>
    <row r="41" spans="1:11" ht="15" customHeight="1" outlineLevel="3">
      <c r="A41" s="10" t="s">
        <v>122</v>
      </c>
      <c r="B41" s="19"/>
      <c r="C41" s="19"/>
      <c r="D41" s="19"/>
      <c r="E41" s="19"/>
      <c r="F41" s="19"/>
      <c r="G41" s="19"/>
      <c r="H41" s="20">
        <v>-69</v>
      </c>
      <c r="I41" s="20">
        <v>-69</v>
      </c>
      <c r="J41" s="19"/>
      <c r="K41" s="19"/>
    </row>
    <row r="42" spans="1:11" ht="15" customHeight="1">
      <c r="A42" s="2" t="s">
        <v>123</v>
      </c>
      <c r="B42" s="3">
        <v>608</v>
      </c>
      <c r="C42" s="3">
        <v>1207</v>
      </c>
      <c r="D42" s="3">
        <v>878</v>
      </c>
      <c r="E42" s="3">
        <v>1011</v>
      </c>
      <c r="F42" s="3">
        <v>177</v>
      </c>
      <c r="G42" s="3">
        <v>-1140</v>
      </c>
      <c r="H42" s="3">
        <v>513</v>
      </c>
      <c r="I42" s="3">
        <v>399</v>
      </c>
      <c r="J42" s="3">
        <v>-677</v>
      </c>
      <c r="K42" s="3">
        <v>155</v>
      </c>
    </row>
    <row r="43" spans="1:11" ht="15" customHeight="1" outlineLevel="1">
      <c r="A43" s="4" t="s">
        <v>124</v>
      </c>
      <c r="B43" s="5">
        <v>232</v>
      </c>
      <c r="C43" s="5">
        <v>-77</v>
      </c>
      <c r="D43" s="5">
        <v>513</v>
      </c>
      <c r="E43" s="5">
        <v>303</v>
      </c>
      <c r="F43" s="5">
        <v>474</v>
      </c>
      <c r="G43" s="5">
        <v>110</v>
      </c>
      <c r="H43" s="5">
        <v>-267</v>
      </c>
      <c r="I43" s="5">
        <v>190</v>
      </c>
      <c r="J43" s="5">
        <v>10</v>
      </c>
      <c r="K43" s="5">
        <v>95</v>
      </c>
    </row>
    <row r="44" spans="1:11" ht="15" customHeight="1" outlineLevel="2">
      <c r="A44" s="7" t="s">
        <v>125</v>
      </c>
      <c r="B44" s="16">
        <v>-1</v>
      </c>
      <c r="C44" s="16">
        <v>-23</v>
      </c>
      <c r="D44" s="16">
        <v>-19</v>
      </c>
      <c r="E44" s="16">
        <v>-16</v>
      </c>
      <c r="F44" s="8">
        <v>17</v>
      </c>
      <c r="G44" s="16">
        <v>-8</v>
      </c>
      <c r="H44" s="8">
        <v>38</v>
      </c>
      <c r="I44" s="8">
        <v>12</v>
      </c>
      <c r="J44" s="8">
        <v>63</v>
      </c>
      <c r="K44" s="16">
        <v>-29</v>
      </c>
    </row>
    <row r="45" spans="1:11" ht="15" customHeight="1" outlineLevel="2">
      <c r="A45" s="6" t="s">
        <v>126</v>
      </c>
      <c r="B45" s="13">
        <v>154</v>
      </c>
      <c r="C45" s="13">
        <v>175</v>
      </c>
      <c r="D45" s="13">
        <v>166</v>
      </c>
      <c r="E45" s="13">
        <v>188</v>
      </c>
      <c r="F45" s="13">
        <v>134</v>
      </c>
      <c r="G45" s="13">
        <v>95</v>
      </c>
      <c r="H45" s="13">
        <v>166</v>
      </c>
      <c r="I45" s="13">
        <v>150</v>
      </c>
      <c r="J45" s="13">
        <v>177</v>
      </c>
      <c r="K45" s="13">
        <v>189</v>
      </c>
    </row>
    <row r="46" spans="1:11" ht="15" customHeight="1" outlineLevel="2">
      <c r="A46" s="7" t="s">
        <v>127</v>
      </c>
      <c r="B46" s="8">
        <v>74</v>
      </c>
      <c r="C46" s="8">
        <v>99</v>
      </c>
      <c r="D46" s="8">
        <v>374</v>
      </c>
      <c r="E46" s="8">
        <v>125</v>
      </c>
      <c r="F46" s="8">
        <v>170</v>
      </c>
      <c r="G46" s="8">
        <v>54</v>
      </c>
      <c r="H46" s="16">
        <v>-448</v>
      </c>
      <c r="I46" s="16">
        <v>-18</v>
      </c>
      <c r="J46" s="16">
        <v>-168</v>
      </c>
      <c r="K46" s="16">
        <v>-96</v>
      </c>
    </row>
    <row r="47" spans="1:11" ht="15" customHeight="1" outlineLevel="2">
      <c r="A47" s="6" t="s">
        <v>128</v>
      </c>
      <c r="B47" s="13">
        <v>5</v>
      </c>
      <c r="C47" s="20">
        <v>-328</v>
      </c>
      <c r="D47" s="20">
        <v>-8</v>
      </c>
      <c r="E47" s="13">
        <v>6</v>
      </c>
      <c r="F47" s="13">
        <v>153</v>
      </c>
      <c r="G47" s="20">
        <v>-31</v>
      </c>
      <c r="H47" s="20">
        <v>-23</v>
      </c>
      <c r="I47" s="13">
        <v>46</v>
      </c>
      <c r="J47" s="20">
        <v>-62</v>
      </c>
      <c r="K47" s="13">
        <v>31</v>
      </c>
    </row>
    <row r="48" spans="1:11" ht="15" customHeight="1">
      <c r="A48" s="2" t="s">
        <v>129</v>
      </c>
      <c r="B48" s="3">
        <v>376</v>
      </c>
      <c r="C48" s="3">
        <v>1284</v>
      </c>
      <c r="D48" s="3">
        <v>365</v>
      </c>
      <c r="E48" s="3">
        <v>708</v>
      </c>
      <c r="F48" s="3">
        <v>-297</v>
      </c>
      <c r="G48" s="3">
        <v>-1250</v>
      </c>
      <c r="H48" s="3">
        <v>780</v>
      </c>
      <c r="I48" s="3">
        <v>209</v>
      </c>
      <c r="J48" s="3">
        <v>-687</v>
      </c>
      <c r="K48" s="3">
        <v>60</v>
      </c>
    </row>
    <row r="49" spans="1:11" ht="15" customHeight="1" outlineLevel="1">
      <c r="A49" s="14" t="s">
        <v>130</v>
      </c>
      <c r="B49" s="13">
        <v>69</v>
      </c>
      <c r="C49" s="13">
        <v>20</v>
      </c>
      <c r="D49" s="13">
        <v>19</v>
      </c>
      <c r="E49" s="13">
        <v>15</v>
      </c>
      <c r="F49" s="13">
        <v>14</v>
      </c>
      <c r="G49" s="13">
        <v>4</v>
      </c>
      <c r="H49" s="13">
        <v>16</v>
      </c>
      <c r="I49" s="13">
        <v>7</v>
      </c>
      <c r="J49" s="13">
        <v>2</v>
      </c>
      <c r="K49" s="20">
        <v>-10</v>
      </c>
    </row>
    <row r="50" spans="1:11" ht="15" customHeight="1">
      <c r="A50" s="2" t="s">
        <v>131</v>
      </c>
      <c r="B50" s="3">
        <v>307</v>
      </c>
      <c r="C50" s="3">
        <v>1264</v>
      </c>
      <c r="D50" s="3">
        <v>346</v>
      </c>
      <c r="E50" s="3">
        <v>693</v>
      </c>
      <c r="F50" s="3">
        <v>-311</v>
      </c>
      <c r="G50" s="3">
        <v>-1254</v>
      </c>
      <c r="H50" s="3">
        <v>764</v>
      </c>
      <c r="I50" s="3">
        <v>202</v>
      </c>
      <c r="J50" s="3">
        <v>-689</v>
      </c>
      <c r="K50" s="3">
        <v>70</v>
      </c>
    </row>
    <row r="51" spans="1:11" ht="15" customHeight="1" outlineLevel="1">
      <c r="A51" s="14" t="s">
        <v>132</v>
      </c>
      <c r="B51" s="13">
        <v>307</v>
      </c>
      <c r="C51" s="13">
        <v>1264</v>
      </c>
      <c r="D51" s="13">
        <v>346</v>
      </c>
      <c r="E51" s="13">
        <v>693</v>
      </c>
      <c r="F51" s="20">
        <v>-311</v>
      </c>
      <c r="G51" s="20">
        <v>-1254</v>
      </c>
      <c r="H51" s="13">
        <v>764</v>
      </c>
      <c r="I51" s="13">
        <v>202</v>
      </c>
      <c r="J51" s="20">
        <v>-689</v>
      </c>
      <c r="K51" s="13">
        <v>70</v>
      </c>
    </row>
    <row r="52" spans="1:11" ht="15" customHeight="1">
      <c r="A52" s="2" t="s">
        <v>88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" customHeight="1" outlineLevel="1">
      <c r="A53" s="14" t="s">
        <v>133</v>
      </c>
      <c r="B53" s="23">
        <v>2.8553109999999999</v>
      </c>
      <c r="C53" s="23">
        <v>5.2808270000000004</v>
      </c>
      <c r="D53" s="23">
        <v>2.0426880000000001</v>
      </c>
      <c r="E53" s="23">
        <v>2.061925</v>
      </c>
      <c r="F53" s="24">
        <v>-0.63175999999999999</v>
      </c>
      <c r="G53" s="24">
        <v>-3.2918799999999999</v>
      </c>
      <c r="H53" s="23">
        <v>2.9681820000000001</v>
      </c>
      <c r="I53" s="23">
        <v>0.71118899999999996</v>
      </c>
      <c r="J53" s="24">
        <v>-0.73754399999999998</v>
      </c>
      <c r="K53" s="23">
        <v>0.223611</v>
      </c>
    </row>
    <row r="54" spans="1:11" ht="15" customHeight="1" outlineLevel="1">
      <c r="A54" s="18" t="s">
        <v>134</v>
      </c>
      <c r="B54" s="25">
        <v>1.1399999999999999</v>
      </c>
      <c r="C54" s="25">
        <v>4.8099999999999996</v>
      </c>
      <c r="D54" s="25">
        <v>1.3895999999999999</v>
      </c>
      <c r="E54" s="25">
        <v>2.9239999999999999</v>
      </c>
      <c r="F54" s="25">
        <v>-1.3348</v>
      </c>
      <c r="G54" s="25">
        <v>-5.359</v>
      </c>
      <c r="H54" s="25">
        <v>2.9272</v>
      </c>
      <c r="I54" s="25">
        <v>0.71130000000000004</v>
      </c>
      <c r="J54" s="25">
        <v>-2.4175</v>
      </c>
      <c r="K54" s="25">
        <v>0.24390000000000001</v>
      </c>
    </row>
    <row r="55" spans="1:11" ht="15" customHeight="1" outlineLevel="2">
      <c r="A55" s="6" t="s">
        <v>135</v>
      </c>
      <c r="B55" s="23">
        <v>269</v>
      </c>
      <c r="C55" s="23">
        <v>263</v>
      </c>
      <c r="D55" s="23">
        <v>249</v>
      </c>
      <c r="E55" s="23">
        <v>237</v>
      </c>
      <c r="F55" s="23">
        <v>233</v>
      </c>
      <c r="G55" s="23">
        <v>234</v>
      </c>
      <c r="H55" s="23">
        <v>261</v>
      </c>
      <c r="I55" s="23">
        <v>284</v>
      </c>
      <c r="J55" s="23">
        <v>285</v>
      </c>
      <c r="K55" s="23">
        <v>287</v>
      </c>
    </row>
    <row r="56" spans="1:11" ht="15" customHeight="1" outlineLevel="2">
      <c r="A56" s="7" t="s">
        <v>136</v>
      </c>
      <c r="B56" s="26">
        <v>267</v>
      </c>
      <c r="C56" s="26">
        <v>251.59653399999999</v>
      </c>
      <c r="D56" s="26">
        <v>240.15460200000001</v>
      </c>
      <c r="E56" s="26">
        <v>232.171043</v>
      </c>
      <c r="F56" s="26">
        <v>232.650318</v>
      </c>
      <c r="G56" s="26">
        <v>233.22009800000001</v>
      </c>
      <c r="H56" s="26">
        <v>281.79322300000001</v>
      </c>
      <c r="I56" s="26">
        <v>282.89635199999998</v>
      </c>
      <c r="J56" s="26">
        <v>283.78626300000002</v>
      </c>
      <c r="K56" s="26">
        <v>284.97426300000001</v>
      </c>
    </row>
    <row r="57" spans="1:11" ht="15" customHeight="1" outlineLevel="1">
      <c r="A57" s="4" t="s">
        <v>137</v>
      </c>
      <c r="B57" s="27">
        <v>1.1200000000000001</v>
      </c>
      <c r="C57" s="27">
        <v>4.7519</v>
      </c>
      <c r="D57" s="27">
        <v>1.3675999999999999</v>
      </c>
      <c r="E57" s="27">
        <v>2.8996</v>
      </c>
      <c r="F57" s="27">
        <v>-1.3348</v>
      </c>
      <c r="G57" s="27">
        <v>-5.359</v>
      </c>
      <c r="H57" s="27">
        <v>2.8938999999999999</v>
      </c>
      <c r="I57" s="27">
        <v>0.70630000000000004</v>
      </c>
      <c r="J57" s="27">
        <v>-2.4175</v>
      </c>
      <c r="K57" s="27">
        <v>0.24310000000000001</v>
      </c>
    </row>
    <row r="58" spans="1:11" ht="15" customHeight="1" outlineLevel="2">
      <c r="A58" s="7" t="s">
        <v>138</v>
      </c>
      <c r="B58" s="26">
        <v>273</v>
      </c>
      <c r="C58" s="26">
        <v>266</v>
      </c>
      <c r="D58" s="26">
        <v>253</v>
      </c>
      <c r="E58" s="26">
        <v>239</v>
      </c>
      <c r="F58" s="26">
        <v>233</v>
      </c>
      <c r="G58" s="26">
        <v>234</v>
      </c>
      <c r="H58" s="26">
        <v>264</v>
      </c>
      <c r="I58" s="26">
        <v>286</v>
      </c>
      <c r="J58" s="26">
        <v>285</v>
      </c>
      <c r="K58" s="26">
        <v>288</v>
      </c>
    </row>
    <row r="59" spans="1:11" ht="15" customHeight="1" outlineLevel="2">
      <c r="A59" s="6" t="s">
        <v>136</v>
      </c>
      <c r="B59" s="23">
        <v>267</v>
      </c>
      <c r="C59" s="23">
        <v>251.59653399999999</v>
      </c>
      <c r="D59" s="23">
        <v>240.15460200000001</v>
      </c>
      <c r="E59" s="23">
        <v>232.171043</v>
      </c>
      <c r="F59" s="23">
        <v>232.650318</v>
      </c>
      <c r="G59" s="23">
        <v>233.22009800000001</v>
      </c>
      <c r="H59" s="23">
        <v>281.79322300000001</v>
      </c>
      <c r="I59" s="23">
        <v>282.89635199999998</v>
      </c>
      <c r="J59" s="23">
        <v>283.78626300000002</v>
      </c>
      <c r="K59" s="23">
        <v>284.97426300000001</v>
      </c>
    </row>
    <row r="60" spans="1:11" ht="15" customHeight="1" outlineLevel="1">
      <c r="A60" s="15" t="s">
        <v>139</v>
      </c>
      <c r="B60" s="26">
        <v>92.784999999999997</v>
      </c>
      <c r="C60" s="26">
        <v>85.902000000000001</v>
      </c>
      <c r="D60" s="26">
        <v>92.034999999999997</v>
      </c>
      <c r="E60" s="26">
        <v>87.763000000000005</v>
      </c>
      <c r="F60" s="26">
        <v>89.819000000000003</v>
      </c>
      <c r="G60" s="26">
        <v>79.021000000000001</v>
      </c>
      <c r="H60" s="26">
        <v>72.325000000000003</v>
      </c>
      <c r="I60" s="26">
        <v>88.991</v>
      </c>
      <c r="J60" s="26">
        <v>88.924999999999997</v>
      </c>
      <c r="K60" s="26">
        <v>91.622</v>
      </c>
    </row>
    <row r="61" spans="1:11" ht="15" customHeight="1" outlineLevel="1">
      <c r="A61" s="4" t="s">
        <v>140</v>
      </c>
      <c r="B61" s="27">
        <v>0.25</v>
      </c>
      <c r="C61" s="27">
        <v>0.31</v>
      </c>
      <c r="D61" s="27">
        <v>0.44</v>
      </c>
      <c r="E61" s="27">
        <v>0.57999999999999996</v>
      </c>
      <c r="F61" s="27">
        <v>0.64</v>
      </c>
      <c r="G61" s="27">
        <v>0.16</v>
      </c>
      <c r="H61" s="27">
        <v>0</v>
      </c>
      <c r="I61" s="27">
        <v>0</v>
      </c>
      <c r="J61" s="27">
        <v>0</v>
      </c>
      <c r="K61" s="27">
        <v>0</v>
      </c>
    </row>
    <row r="62" spans="1:11" ht="15" customHeight="1" outlineLevel="2">
      <c r="A62" s="7" t="s">
        <v>141</v>
      </c>
      <c r="B62" s="26">
        <v>22.321428999999998</v>
      </c>
      <c r="C62" s="26">
        <v>6.5237059999999998</v>
      </c>
      <c r="D62" s="26">
        <v>32.17315</v>
      </c>
      <c r="E62" s="26">
        <v>20.002759000000001</v>
      </c>
      <c r="F62" s="22"/>
      <c r="G62" s="22"/>
      <c r="H62" s="26">
        <v>0</v>
      </c>
      <c r="I62" s="26">
        <v>0</v>
      </c>
      <c r="J62" s="22"/>
      <c r="K62" s="26">
        <v>0</v>
      </c>
    </row>
    <row r="63" spans="1:11" ht="15" customHeight="1">
      <c r="A63" s="17" t="s">
        <v>142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 ht="15" customHeight="1" outlineLevel="1">
      <c r="A64" s="18" t="s">
        <v>142</v>
      </c>
      <c r="B64" s="3">
        <v>2349</v>
      </c>
      <c r="C64" s="3">
        <v>2520</v>
      </c>
      <c r="D64" s="3">
        <v>2184</v>
      </c>
      <c r="E64" s="3">
        <v>1988</v>
      </c>
      <c r="F64" s="3">
        <v>1616</v>
      </c>
      <c r="G64" s="3">
        <v>752</v>
      </c>
      <c r="H64" s="3">
        <v>1902</v>
      </c>
      <c r="I64" s="3">
        <v>1914</v>
      </c>
      <c r="J64" s="3">
        <v>1654</v>
      </c>
      <c r="K64" s="3">
        <v>1822</v>
      </c>
    </row>
    <row r="65" spans="1:11" ht="15" customHeight="1" outlineLevel="2">
      <c r="A65" s="6" t="s">
        <v>0</v>
      </c>
      <c r="B65" s="13">
        <v>1651</v>
      </c>
      <c r="C65" s="13">
        <v>1793</v>
      </c>
      <c r="D65" s="13">
        <v>1403</v>
      </c>
      <c r="E65" s="13">
        <v>1210</v>
      </c>
      <c r="F65" s="13">
        <v>821</v>
      </c>
      <c r="G65" s="20">
        <v>-107</v>
      </c>
      <c r="H65" s="13">
        <v>1019</v>
      </c>
      <c r="I65" s="13">
        <v>950</v>
      </c>
      <c r="J65" s="13">
        <v>653</v>
      </c>
      <c r="K65" s="13">
        <v>773</v>
      </c>
    </row>
    <row r="66" spans="1:11" ht="15" customHeight="1" outlineLevel="2">
      <c r="A66" s="7" t="s">
        <v>95</v>
      </c>
      <c r="B66" s="8">
        <v>698</v>
      </c>
      <c r="C66" s="8">
        <v>727</v>
      </c>
      <c r="D66" s="8">
        <v>781</v>
      </c>
      <c r="E66" s="8">
        <v>778</v>
      </c>
      <c r="F66" s="8">
        <v>795</v>
      </c>
      <c r="G66" s="8">
        <v>859</v>
      </c>
      <c r="H66" s="8">
        <v>883</v>
      </c>
      <c r="I66" s="8">
        <v>964</v>
      </c>
      <c r="J66" s="8">
        <v>1001</v>
      </c>
      <c r="K66" s="8">
        <v>1049</v>
      </c>
    </row>
    <row r="67" spans="1:11" ht="15" customHeight="1">
      <c r="A67" s="28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55C0-28B6-43EF-A2CF-B985E79F88AF}">
  <sheetPr>
    <tabColor rgb="FFFF0000"/>
    <outlinePr summaryBelow="0" summaryRight="0"/>
  </sheetPr>
  <dimension ref="A1:L78"/>
  <sheetViews>
    <sheetView zoomScale="145" zoomScaleNormal="145" workbookViewId="0"/>
  </sheetViews>
  <sheetFormatPr defaultColWidth="9.140625" defaultRowHeight="15" customHeight="1" outlineLevelRow="3"/>
  <cols>
    <col min="1" max="1" width="65.85546875" customWidth="1"/>
    <col min="2" max="11" width="8" customWidth="1"/>
  </cols>
  <sheetData>
    <row r="1" spans="1:11" ht="15" customHeight="1">
      <c r="A1" s="29" t="s">
        <v>9</v>
      </c>
    </row>
    <row r="2" spans="1:11" ht="15" customHeight="1">
      <c r="A2" s="31" t="s">
        <v>10</v>
      </c>
    </row>
    <row r="3" spans="1:11" ht="1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1" ht="15" customHeight="1">
      <c r="A5" s="1" t="s">
        <v>11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 customHeight="1">
      <c r="A6" s="1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 customHeight="1">
      <c r="A7" s="1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>
      <c r="A8" s="1"/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</row>
    <row r="9" spans="1:11" ht="15" customHeight="1">
      <c r="A9" s="1"/>
      <c r="B9" s="1"/>
      <c r="C9" s="1"/>
      <c r="D9" s="1" t="s">
        <v>24</v>
      </c>
      <c r="E9" s="1"/>
      <c r="F9" s="1"/>
      <c r="G9" s="1"/>
      <c r="H9" s="1"/>
      <c r="I9" s="1"/>
      <c r="J9" s="1"/>
      <c r="K9" s="1"/>
    </row>
    <row r="10" spans="1:11" ht="15" customHeight="1">
      <c r="A10" s="2" t="s">
        <v>25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" customHeight="1" outlineLevel="1">
      <c r="A11" s="4" t="s">
        <v>26</v>
      </c>
      <c r="B11" s="5">
        <v>1476</v>
      </c>
      <c r="C11" s="5">
        <v>1132</v>
      </c>
      <c r="D11" s="5">
        <v>1110</v>
      </c>
      <c r="E11" s="5">
        <v>873</v>
      </c>
      <c r="F11" s="5">
        <v>974</v>
      </c>
      <c r="G11" s="5">
        <v>1624</v>
      </c>
      <c r="H11" s="5">
        <v>1164</v>
      </c>
      <c r="I11" s="5">
        <v>1301</v>
      </c>
      <c r="J11" s="5">
        <v>985</v>
      </c>
      <c r="K11" s="5">
        <v>864</v>
      </c>
    </row>
    <row r="12" spans="1:11" ht="15" customHeight="1" outlineLevel="2">
      <c r="A12" s="7" t="s">
        <v>27</v>
      </c>
      <c r="B12" s="8">
        <v>1476</v>
      </c>
      <c r="C12" s="8">
        <v>1132</v>
      </c>
      <c r="D12" s="8">
        <v>1110</v>
      </c>
      <c r="E12" s="8">
        <v>873</v>
      </c>
      <c r="F12" s="8">
        <v>974</v>
      </c>
      <c r="G12" s="8">
        <v>1624</v>
      </c>
      <c r="H12" s="8">
        <v>1164</v>
      </c>
      <c r="I12" s="8">
        <v>1301</v>
      </c>
      <c r="J12" s="8">
        <v>985</v>
      </c>
      <c r="K12" s="8">
        <v>864</v>
      </c>
    </row>
    <row r="13" spans="1:11" ht="15" customHeight="1" outlineLevel="1">
      <c r="A13" s="4" t="s">
        <v>28</v>
      </c>
      <c r="B13" s="5">
        <v>2033</v>
      </c>
      <c r="C13" s="5">
        <v>1769</v>
      </c>
      <c r="D13" s="5">
        <v>2025</v>
      </c>
      <c r="E13" s="5">
        <v>2030</v>
      </c>
      <c r="F13" s="5">
        <v>1941</v>
      </c>
      <c r="G13" s="5">
        <v>1691</v>
      </c>
      <c r="H13" s="5">
        <v>2387</v>
      </c>
      <c r="I13" s="5">
        <v>2610</v>
      </c>
      <c r="J13" s="5">
        <v>2731</v>
      </c>
      <c r="K13" s="5">
        <v>2482</v>
      </c>
    </row>
    <row r="14" spans="1:11" ht="15" customHeight="1" outlineLevel="2">
      <c r="A14" s="21" t="s">
        <v>29</v>
      </c>
      <c r="B14" s="3">
        <v>2033</v>
      </c>
      <c r="C14" s="3">
        <v>1769</v>
      </c>
      <c r="D14" s="3">
        <v>2025</v>
      </c>
      <c r="E14" s="3">
        <v>2030</v>
      </c>
      <c r="F14" s="3">
        <v>1938</v>
      </c>
      <c r="G14" s="3">
        <v>1690</v>
      </c>
      <c r="H14" s="3">
        <v>2376</v>
      </c>
      <c r="I14" s="3">
        <v>2604</v>
      </c>
      <c r="J14" s="3">
        <v>2718</v>
      </c>
      <c r="K14" s="3">
        <v>2450</v>
      </c>
    </row>
    <row r="15" spans="1:11" ht="15" customHeight="1" outlineLevel="3">
      <c r="A15" s="10" t="s">
        <v>30</v>
      </c>
      <c r="B15" s="13">
        <v>2138</v>
      </c>
      <c r="C15" s="13">
        <v>1870</v>
      </c>
      <c r="D15" s="13">
        <v>2141</v>
      </c>
      <c r="E15" s="13">
        <v>2143</v>
      </c>
      <c r="F15" s="13">
        <v>2049</v>
      </c>
      <c r="G15" s="13">
        <v>1840</v>
      </c>
      <c r="H15" s="13">
        <v>2499</v>
      </c>
      <c r="I15" s="13">
        <v>2716</v>
      </c>
      <c r="J15" s="13">
        <v>2820</v>
      </c>
      <c r="K15" s="13">
        <v>2534</v>
      </c>
    </row>
    <row r="16" spans="1:11" ht="15" customHeight="1" outlineLevel="3">
      <c r="A16" s="11" t="s">
        <v>31</v>
      </c>
      <c r="B16" s="16">
        <v>-105</v>
      </c>
      <c r="C16" s="16">
        <v>-101</v>
      </c>
      <c r="D16" s="16">
        <v>-116</v>
      </c>
      <c r="E16" s="16">
        <v>-113</v>
      </c>
      <c r="F16" s="16">
        <v>-111</v>
      </c>
      <c r="G16" s="16">
        <v>-150</v>
      </c>
      <c r="H16" s="16">
        <v>-123</v>
      </c>
      <c r="I16" s="16">
        <v>-112</v>
      </c>
      <c r="J16" s="16">
        <v>-102</v>
      </c>
      <c r="K16" s="16">
        <v>-84</v>
      </c>
    </row>
    <row r="17" spans="1:11" ht="15" customHeight="1" outlineLevel="2">
      <c r="A17" s="6" t="s">
        <v>32</v>
      </c>
      <c r="B17" s="13">
        <v>0</v>
      </c>
      <c r="C17" s="13">
        <v>0</v>
      </c>
      <c r="D17" s="13">
        <v>0</v>
      </c>
      <c r="E17" s="13">
        <v>0</v>
      </c>
      <c r="F17" s="13">
        <v>3</v>
      </c>
      <c r="G17" s="13">
        <v>1</v>
      </c>
      <c r="H17" s="13">
        <v>11</v>
      </c>
      <c r="I17" s="13">
        <v>6</v>
      </c>
      <c r="J17" s="13">
        <v>13</v>
      </c>
      <c r="K17" s="13">
        <v>32</v>
      </c>
    </row>
    <row r="18" spans="1:11" ht="15" customHeight="1" outlineLevel="1">
      <c r="A18" s="18" t="s">
        <v>33</v>
      </c>
      <c r="B18" s="3">
        <v>2464</v>
      </c>
      <c r="C18" s="3">
        <v>2627</v>
      </c>
      <c r="D18" s="3">
        <v>2787</v>
      </c>
      <c r="E18" s="3">
        <v>2856</v>
      </c>
      <c r="F18" s="3">
        <v>2851</v>
      </c>
      <c r="G18" s="3">
        <v>2153</v>
      </c>
      <c r="H18" s="3">
        <v>3594</v>
      </c>
      <c r="I18" s="3">
        <v>4571</v>
      </c>
      <c r="J18" s="3">
        <v>3698</v>
      </c>
      <c r="K18" s="3">
        <v>3597</v>
      </c>
    </row>
    <row r="19" spans="1:11" ht="15" customHeight="1" outlineLevel="2">
      <c r="A19" s="6" t="s">
        <v>34</v>
      </c>
      <c r="B19" s="13">
        <v>1907</v>
      </c>
      <c r="C19" s="13">
        <v>2060</v>
      </c>
      <c r="D19" s="13">
        <v>2179</v>
      </c>
      <c r="E19" s="13">
        <v>2135</v>
      </c>
      <c r="F19" s="13">
        <v>2178</v>
      </c>
      <c r="G19" s="13">
        <v>1493</v>
      </c>
      <c r="H19" s="13">
        <v>2445</v>
      </c>
      <c r="I19" s="13">
        <v>3193</v>
      </c>
      <c r="J19" s="13">
        <v>2707</v>
      </c>
      <c r="K19" s="13">
        <v>2629</v>
      </c>
    </row>
    <row r="20" spans="1:11" ht="15" customHeight="1" outlineLevel="2">
      <c r="A20" s="7" t="s">
        <v>35</v>
      </c>
      <c r="B20" s="8">
        <v>138</v>
      </c>
      <c r="C20" s="8">
        <v>131</v>
      </c>
      <c r="D20" s="8">
        <v>142</v>
      </c>
      <c r="E20" s="8">
        <v>152</v>
      </c>
      <c r="F20" s="8">
        <v>143</v>
      </c>
      <c r="G20" s="8">
        <v>143</v>
      </c>
      <c r="H20" s="8">
        <v>191</v>
      </c>
      <c r="I20" s="8">
        <v>187</v>
      </c>
      <c r="J20" s="8">
        <v>206</v>
      </c>
      <c r="K20" s="8">
        <v>213</v>
      </c>
    </row>
    <row r="21" spans="1:11" ht="15" customHeight="1" outlineLevel="2">
      <c r="A21" s="6" t="s">
        <v>36</v>
      </c>
      <c r="B21" s="13">
        <v>419</v>
      </c>
      <c r="C21" s="13">
        <v>436</v>
      </c>
      <c r="D21" s="13">
        <v>466</v>
      </c>
      <c r="E21" s="13">
        <v>569</v>
      </c>
      <c r="F21" s="13">
        <v>530</v>
      </c>
      <c r="G21" s="13">
        <v>517</v>
      </c>
      <c r="H21" s="13">
        <v>958</v>
      </c>
      <c r="I21" s="13">
        <v>1191</v>
      </c>
      <c r="J21" s="13">
        <v>785</v>
      </c>
      <c r="K21" s="13">
        <v>755</v>
      </c>
    </row>
    <row r="22" spans="1:11" ht="15" customHeight="1" outlineLevel="1">
      <c r="A22" s="18" t="s">
        <v>37</v>
      </c>
      <c r="B22" s="3">
        <v>168</v>
      </c>
      <c r="C22" s="3">
        <v>190</v>
      </c>
      <c r="D22" s="3">
        <v>157</v>
      </c>
      <c r="E22" s="3">
        <v>166</v>
      </c>
      <c r="F22" s="3">
        <v>168</v>
      </c>
      <c r="G22" s="3">
        <v>152</v>
      </c>
      <c r="H22" s="3">
        <v>186</v>
      </c>
      <c r="I22" s="3">
        <v>183</v>
      </c>
      <c r="J22" s="3">
        <v>236</v>
      </c>
      <c r="K22" s="3">
        <v>689</v>
      </c>
    </row>
    <row r="23" spans="1:11" ht="15" customHeight="1" outlineLevel="2">
      <c r="A23" s="6" t="s">
        <v>38</v>
      </c>
      <c r="B23" s="13">
        <v>168</v>
      </c>
      <c r="C23" s="13">
        <v>190</v>
      </c>
      <c r="D23" s="13">
        <v>157</v>
      </c>
      <c r="E23" s="13">
        <v>166</v>
      </c>
      <c r="F23" s="13">
        <v>168</v>
      </c>
      <c r="G23" s="13">
        <v>152</v>
      </c>
      <c r="H23" s="13">
        <v>186</v>
      </c>
      <c r="I23" s="13">
        <v>183</v>
      </c>
      <c r="J23" s="13">
        <v>236</v>
      </c>
      <c r="K23" s="13">
        <v>689</v>
      </c>
    </row>
    <row r="24" spans="1:11" ht="15" customHeight="1" outlineLevel="1">
      <c r="A24" s="15" t="s">
        <v>2</v>
      </c>
      <c r="B24" s="8">
        <v>6141</v>
      </c>
      <c r="C24" s="8">
        <v>5718</v>
      </c>
      <c r="D24" s="8">
        <v>6079</v>
      </c>
      <c r="E24" s="8">
        <v>5925</v>
      </c>
      <c r="F24" s="8">
        <v>5934</v>
      </c>
      <c r="G24" s="8">
        <v>5620</v>
      </c>
      <c r="H24" s="8">
        <v>7331</v>
      </c>
      <c r="I24" s="8">
        <v>8665</v>
      </c>
      <c r="J24" s="8">
        <v>7650</v>
      </c>
      <c r="K24" s="8">
        <v>7632</v>
      </c>
    </row>
    <row r="25" spans="1:11" ht="15" customHeight="1" outlineLevel="1">
      <c r="A25" s="4" t="s">
        <v>39</v>
      </c>
      <c r="B25" s="5">
        <v>6777</v>
      </c>
      <c r="C25" s="5">
        <v>7040</v>
      </c>
      <c r="D25" s="5">
        <v>7451</v>
      </c>
      <c r="E25" s="5">
        <v>7259</v>
      </c>
      <c r="F25" s="5">
        <v>8063</v>
      </c>
      <c r="G25" s="5">
        <v>7924</v>
      </c>
      <c r="H25" s="5">
        <v>9326</v>
      </c>
      <c r="I25" s="5">
        <v>9270</v>
      </c>
      <c r="J25" s="5">
        <v>9477</v>
      </c>
      <c r="K25" s="5">
        <v>9033</v>
      </c>
    </row>
    <row r="26" spans="1:11" ht="15" customHeight="1" outlineLevel="2">
      <c r="A26" s="21" t="s">
        <v>40</v>
      </c>
      <c r="B26" s="3">
        <v>15414</v>
      </c>
      <c r="C26" s="3">
        <v>16165</v>
      </c>
      <c r="D26" s="3">
        <v>17529</v>
      </c>
      <c r="E26" s="3">
        <v>17420</v>
      </c>
      <c r="F26" s="3">
        <v>18551</v>
      </c>
      <c r="G26" s="3">
        <v>18915</v>
      </c>
      <c r="H26" s="3">
        <v>20456</v>
      </c>
      <c r="I26" s="3">
        <v>20647</v>
      </c>
      <c r="J26" s="3">
        <v>21949</v>
      </c>
      <c r="K26" s="3">
        <v>21245</v>
      </c>
    </row>
    <row r="27" spans="1:11" ht="15" customHeight="1" outlineLevel="3">
      <c r="A27" s="10" t="s">
        <v>41</v>
      </c>
      <c r="B27" s="13">
        <v>2262</v>
      </c>
      <c r="C27" s="13">
        <v>2323</v>
      </c>
      <c r="D27" s="13">
        <v>2619</v>
      </c>
      <c r="E27" s="13">
        <v>2593</v>
      </c>
      <c r="F27" s="13">
        <v>2658</v>
      </c>
      <c r="G27" s="13">
        <v>2699</v>
      </c>
      <c r="H27" s="13">
        <v>2913</v>
      </c>
      <c r="I27" s="13">
        <v>2857</v>
      </c>
      <c r="J27" s="13">
        <v>3058</v>
      </c>
      <c r="K27" s="13">
        <v>2902</v>
      </c>
    </row>
    <row r="28" spans="1:11" ht="15" customHeight="1" outlineLevel="3">
      <c r="A28" s="11" t="s">
        <v>42</v>
      </c>
      <c r="B28" s="8">
        <v>387</v>
      </c>
      <c r="C28" s="8">
        <v>397</v>
      </c>
      <c r="D28" s="8">
        <v>433</v>
      </c>
      <c r="E28" s="8">
        <v>427</v>
      </c>
      <c r="F28" s="8">
        <v>426</v>
      </c>
      <c r="G28" s="8">
        <v>437</v>
      </c>
      <c r="H28" s="8">
        <v>553</v>
      </c>
      <c r="I28" s="8">
        <v>450</v>
      </c>
      <c r="J28" s="8">
        <v>462</v>
      </c>
      <c r="K28" s="8">
        <v>445</v>
      </c>
    </row>
    <row r="29" spans="1:11" ht="15" customHeight="1" outlineLevel="3">
      <c r="A29" s="10" t="s">
        <v>43</v>
      </c>
      <c r="B29" s="13">
        <v>11787</v>
      </c>
      <c r="C29" s="13">
        <v>12278</v>
      </c>
      <c r="D29" s="13">
        <v>13502</v>
      </c>
      <c r="E29" s="13">
        <v>13483</v>
      </c>
      <c r="F29" s="13">
        <v>13654</v>
      </c>
      <c r="G29" s="13">
        <v>13922</v>
      </c>
      <c r="H29" s="13">
        <v>14924</v>
      </c>
      <c r="I29" s="13">
        <v>14889</v>
      </c>
      <c r="J29" s="13">
        <v>15733</v>
      </c>
      <c r="K29" s="13">
        <v>15303</v>
      </c>
    </row>
    <row r="30" spans="1:11" ht="15" customHeight="1" outlineLevel="3">
      <c r="A30" s="11" t="s">
        <v>44</v>
      </c>
      <c r="B30" s="8">
        <v>783</v>
      </c>
      <c r="C30" s="8">
        <v>887</v>
      </c>
      <c r="D30" s="8">
        <v>721</v>
      </c>
      <c r="E30" s="8">
        <v>655</v>
      </c>
      <c r="F30" s="8">
        <v>682</v>
      </c>
      <c r="G30" s="8">
        <v>737</v>
      </c>
      <c r="H30" s="8">
        <v>785</v>
      </c>
      <c r="I30" s="8">
        <v>1173</v>
      </c>
      <c r="J30" s="8">
        <v>1340</v>
      </c>
      <c r="K30" s="8">
        <v>1300</v>
      </c>
    </row>
    <row r="31" spans="1:11" ht="15" customHeight="1" outlineLevel="3">
      <c r="A31" s="10" t="s">
        <v>45</v>
      </c>
      <c r="B31" s="13">
        <v>195</v>
      </c>
      <c r="C31" s="13">
        <v>280</v>
      </c>
      <c r="D31" s="19"/>
      <c r="E31" s="19"/>
      <c r="F31" s="19"/>
      <c r="G31" s="19"/>
      <c r="H31" s="19"/>
      <c r="I31" s="19"/>
      <c r="J31" s="19"/>
      <c r="K31" s="19"/>
    </row>
    <row r="32" spans="1:11" ht="15" customHeight="1" outlineLevel="3">
      <c r="A32" s="11" t="s">
        <v>46</v>
      </c>
      <c r="B32" s="22"/>
      <c r="C32" s="22"/>
      <c r="D32" s="8">
        <v>254</v>
      </c>
      <c r="E32" s="8">
        <v>262</v>
      </c>
      <c r="F32" s="8">
        <v>276</v>
      </c>
      <c r="G32" s="8">
        <v>269</v>
      </c>
      <c r="H32" s="8">
        <v>300</v>
      </c>
      <c r="I32" s="8">
        <v>302</v>
      </c>
      <c r="J32" s="8">
        <v>371</v>
      </c>
      <c r="K32" s="8">
        <v>344</v>
      </c>
    </row>
    <row r="33" spans="1:11" ht="15" customHeight="1" outlineLevel="3">
      <c r="A33" s="10" t="s">
        <v>47</v>
      </c>
      <c r="B33" s="19"/>
      <c r="C33" s="19"/>
      <c r="D33" s="19"/>
      <c r="E33" s="19"/>
      <c r="F33" s="13">
        <v>855</v>
      </c>
      <c r="G33" s="13">
        <v>851</v>
      </c>
      <c r="H33" s="13">
        <v>981</v>
      </c>
      <c r="I33" s="13">
        <v>976</v>
      </c>
      <c r="J33" s="13">
        <v>985</v>
      </c>
      <c r="K33" s="13">
        <v>951</v>
      </c>
    </row>
    <row r="34" spans="1:11" ht="15" customHeight="1" outlineLevel="2">
      <c r="A34" s="7" t="s">
        <v>48</v>
      </c>
      <c r="B34" s="8">
        <v>8637</v>
      </c>
      <c r="C34" s="8">
        <v>9125</v>
      </c>
      <c r="D34" s="8">
        <v>10078</v>
      </c>
      <c r="E34" s="8">
        <v>10161</v>
      </c>
      <c r="F34" s="8">
        <v>10488</v>
      </c>
      <c r="G34" s="8">
        <v>10991</v>
      </c>
      <c r="H34" s="8">
        <v>11130</v>
      </c>
      <c r="I34" s="22"/>
      <c r="J34" s="8">
        <v>12472</v>
      </c>
      <c r="K34" s="8">
        <v>12212</v>
      </c>
    </row>
    <row r="35" spans="1:11" ht="15" customHeight="1" outlineLevel="1">
      <c r="A35" s="4" t="s">
        <v>49</v>
      </c>
      <c r="B35" s="5">
        <v>0</v>
      </c>
      <c r="C35" s="5">
        <v>0</v>
      </c>
      <c r="D35" s="5">
        <v>0</v>
      </c>
      <c r="E35" s="5">
        <v>2</v>
      </c>
      <c r="F35" s="5">
        <v>263</v>
      </c>
      <c r="G35" s="5">
        <v>77</v>
      </c>
      <c r="H35" s="5">
        <v>86</v>
      </c>
      <c r="I35" s="5">
        <v>70</v>
      </c>
      <c r="J35" s="5">
        <v>22</v>
      </c>
      <c r="K35" s="5">
        <v>110</v>
      </c>
    </row>
    <row r="36" spans="1:11" ht="15" customHeight="1" outlineLevel="2">
      <c r="A36" s="7" t="s">
        <v>50</v>
      </c>
      <c r="B36" s="22"/>
      <c r="C36" s="22"/>
      <c r="D36" s="8">
        <v>0</v>
      </c>
      <c r="E36" s="8">
        <v>0</v>
      </c>
      <c r="F36" s="8">
        <v>262</v>
      </c>
      <c r="G36" s="8">
        <v>77</v>
      </c>
      <c r="H36" s="8">
        <v>72</v>
      </c>
      <c r="I36" s="8">
        <v>60</v>
      </c>
      <c r="J36" s="8">
        <v>0</v>
      </c>
      <c r="K36" s="8">
        <v>0</v>
      </c>
    </row>
    <row r="37" spans="1:11" ht="15" customHeight="1" outlineLevel="2">
      <c r="A37" s="6" t="s">
        <v>51</v>
      </c>
      <c r="B37" s="13">
        <v>0</v>
      </c>
      <c r="C37" s="13">
        <v>0</v>
      </c>
      <c r="D37" s="13">
        <v>0</v>
      </c>
      <c r="E37" s="13">
        <v>2</v>
      </c>
      <c r="F37" s="13">
        <v>1</v>
      </c>
      <c r="G37" s="13">
        <v>0</v>
      </c>
      <c r="H37" s="13">
        <v>14</v>
      </c>
      <c r="I37" s="13">
        <v>10</v>
      </c>
      <c r="J37" s="13">
        <v>22</v>
      </c>
      <c r="K37" s="13">
        <v>110</v>
      </c>
    </row>
    <row r="38" spans="1:11" ht="15" customHeight="1" outlineLevel="1">
      <c r="A38" s="18" t="s">
        <v>52</v>
      </c>
      <c r="B38" s="3">
        <v>693</v>
      </c>
      <c r="C38" s="3">
        <v>671</v>
      </c>
      <c r="D38" s="3">
        <v>734</v>
      </c>
      <c r="E38" s="3">
        <v>705</v>
      </c>
      <c r="F38" s="3">
        <v>702</v>
      </c>
      <c r="G38" s="3">
        <v>543</v>
      </c>
      <c r="H38" s="3">
        <v>2043</v>
      </c>
      <c r="I38" s="3">
        <v>2018</v>
      </c>
      <c r="J38" s="3">
        <v>1750</v>
      </c>
      <c r="K38" s="3">
        <v>1561</v>
      </c>
    </row>
    <row r="39" spans="1:11" ht="15" customHeight="1" outlineLevel="2">
      <c r="A39" s="6" t="s">
        <v>53</v>
      </c>
      <c r="B39" s="13">
        <v>555</v>
      </c>
      <c r="C39" s="13">
        <v>535</v>
      </c>
      <c r="D39" s="13">
        <v>595</v>
      </c>
      <c r="E39" s="13">
        <v>569</v>
      </c>
      <c r="F39" s="13">
        <v>565</v>
      </c>
      <c r="G39" s="13">
        <v>408</v>
      </c>
      <c r="H39" s="13">
        <v>1004</v>
      </c>
      <c r="I39" s="13">
        <v>1014</v>
      </c>
      <c r="J39" s="13">
        <v>781</v>
      </c>
      <c r="K39" s="13">
        <v>756</v>
      </c>
    </row>
    <row r="40" spans="1:11" ht="15" customHeight="1" outlineLevel="2">
      <c r="A40" s="7" t="s">
        <v>54</v>
      </c>
      <c r="B40" s="8">
        <v>138</v>
      </c>
      <c r="C40" s="8">
        <v>136</v>
      </c>
      <c r="D40" s="8">
        <v>139</v>
      </c>
      <c r="E40" s="8">
        <v>136</v>
      </c>
      <c r="F40" s="8">
        <v>137</v>
      </c>
      <c r="G40" s="8">
        <v>135</v>
      </c>
      <c r="H40" s="8">
        <v>1039</v>
      </c>
      <c r="I40" s="8">
        <v>1004</v>
      </c>
      <c r="J40" s="8">
        <v>969</v>
      </c>
      <c r="K40" s="8">
        <v>805</v>
      </c>
    </row>
    <row r="41" spans="1:11" ht="15" customHeight="1" outlineLevel="1">
      <c r="A41" s="14" t="s">
        <v>55</v>
      </c>
      <c r="B41" s="13">
        <v>2141</v>
      </c>
      <c r="C41" s="13">
        <v>2414</v>
      </c>
      <c r="D41" s="13">
        <v>2008</v>
      </c>
      <c r="E41" s="13">
        <v>1847</v>
      </c>
      <c r="F41" s="13">
        <v>1527</v>
      </c>
      <c r="G41" s="13">
        <v>1467</v>
      </c>
      <c r="H41" s="13">
        <v>1596</v>
      </c>
      <c r="I41" s="13">
        <v>1443</v>
      </c>
      <c r="J41" s="13">
        <v>1630</v>
      </c>
      <c r="K41" s="13">
        <v>1686</v>
      </c>
    </row>
    <row r="42" spans="1:11" ht="15" customHeight="1" outlineLevel="1">
      <c r="A42" s="18" t="s">
        <v>56</v>
      </c>
      <c r="B42" s="3">
        <v>687</v>
      </c>
      <c r="C42" s="3">
        <v>668</v>
      </c>
      <c r="D42" s="3">
        <v>792</v>
      </c>
      <c r="E42" s="3">
        <v>1134</v>
      </c>
      <c r="F42" s="3">
        <v>696</v>
      </c>
      <c r="G42" s="3">
        <v>875</v>
      </c>
      <c r="H42" s="3">
        <v>1020</v>
      </c>
      <c r="I42" s="3">
        <v>965</v>
      </c>
      <c r="J42" s="3">
        <v>1053</v>
      </c>
      <c r="K42" s="3">
        <v>942</v>
      </c>
    </row>
    <row r="43" spans="1:11" ht="15" customHeight="1" outlineLevel="2">
      <c r="A43" s="6" t="s">
        <v>57</v>
      </c>
      <c r="B43" s="13">
        <v>687</v>
      </c>
      <c r="C43" s="13">
        <v>668</v>
      </c>
      <c r="D43" s="13">
        <v>792</v>
      </c>
      <c r="E43" s="13">
        <v>1134</v>
      </c>
      <c r="F43" s="13">
        <v>696</v>
      </c>
      <c r="G43" s="13">
        <v>875</v>
      </c>
      <c r="H43" s="13">
        <v>1020</v>
      </c>
      <c r="I43" s="13">
        <v>965</v>
      </c>
      <c r="J43" s="13">
        <v>1053</v>
      </c>
      <c r="K43" s="13">
        <v>942</v>
      </c>
    </row>
    <row r="44" spans="1:11" ht="15" customHeight="1" outlineLevel="1">
      <c r="A44" s="15" t="s">
        <v>58</v>
      </c>
      <c r="B44" s="8">
        <v>16439</v>
      </c>
      <c r="C44" s="8">
        <v>16511</v>
      </c>
      <c r="D44" s="8">
        <v>17064</v>
      </c>
      <c r="E44" s="8">
        <v>16872</v>
      </c>
      <c r="F44" s="8">
        <v>17185</v>
      </c>
      <c r="G44" s="8">
        <v>16506</v>
      </c>
      <c r="H44" s="8">
        <v>21402</v>
      </c>
      <c r="I44" s="8">
        <v>22431</v>
      </c>
      <c r="J44" s="8">
        <v>21582</v>
      </c>
      <c r="K44" s="8">
        <v>20964</v>
      </c>
    </row>
    <row r="45" spans="1:11" ht="15" customHeight="1">
      <c r="A45" s="17" t="s">
        <v>59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ht="15" customHeight="1" outlineLevel="1">
      <c r="A46" s="18" t="s">
        <v>60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" customHeight="1" outlineLevel="2">
      <c r="A47" s="6" t="s">
        <v>61</v>
      </c>
      <c r="B47" s="13">
        <v>636</v>
      </c>
      <c r="C47" s="13">
        <v>681</v>
      </c>
      <c r="D47" s="13">
        <v>653</v>
      </c>
      <c r="E47" s="13">
        <v>653</v>
      </c>
      <c r="F47" s="13">
        <v>1109</v>
      </c>
      <c r="G47" s="13">
        <v>756</v>
      </c>
      <c r="H47" s="13">
        <v>953</v>
      </c>
      <c r="I47" s="13">
        <v>822</v>
      </c>
      <c r="J47" s="13">
        <v>993</v>
      </c>
      <c r="K47" s="13">
        <v>1590</v>
      </c>
    </row>
    <row r="48" spans="1:11" ht="15" customHeight="1" outlineLevel="2">
      <c r="A48" s="7" t="s">
        <v>62</v>
      </c>
      <c r="B48" s="8">
        <v>2769</v>
      </c>
      <c r="C48" s="8">
        <v>2589</v>
      </c>
      <c r="D48" s="8">
        <v>2807</v>
      </c>
      <c r="E48" s="8">
        <v>2920</v>
      </c>
      <c r="F48" s="8">
        <v>2908</v>
      </c>
      <c r="G48" s="8">
        <v>2945</v>
      </c>
      <c r="H48" s="8">
        <v>4148</v>
      </c>
      <c r="I48" s="8">
        <v>4803</v>
      </c>
      <c r="J48" s="8">
        <v>4326</v>
      </c>
      <c r="K48" s="8">
        <v>4052</v>
      </c>
    </row>
    <row r="49" spans="1:12" ht="15" customHeight="1" outlineLevel="2">
      <c r="A49" s="9" t="s">
        <v>63</v>
      </c>
      <c r="B49" s="5">
        <v>1552</v>
      </c>
      <c r="C49" s="5">
        <v>1547</v>
      </c>
      <c r="D49" s="5">
        <v>1565</v>
      </c>
      <c r="E49" s="5">
        <v>1208</v>
      </c>
      <c r="F49" s="5">
        <v>1270</v>
      </c>
      <c r="G49" s="5">
        <v>1405</v>
      </c>
      <c r="H49" s="5">
        <v>1511</v>
      </c>
      <c r="I49" s="5">
        <v>1515</v>
      </c>
      <c r="J49" s="5">
        <v>1828</v>
      </c>
      <c r="K49" s="5">
        <v>1695</v>
      </c>
    </row>
    <row r="50" spans="1:12" ht="15" customHeight="1" outlineLevel="3">
      <c r="A50" s="11" t="s">
        <v>64</v>
      </c>
      <c r="B50" s="8">
        <v>666</v>
      </c>
      <c r="C50" s="8">
        <v>584</v>
      </c>
      <c r="D50" s="8">
        <v>539</v>
      </c>
      <c r="E50" s="8">
        <v>471</v>
      </c>
      <c r="F50" s="8">
        <v>536</v>
      </c>
      <c r="G50" s="8">
        <v>540</v>
      </c>
      <c r="H50" s="8">
        <v>689</v>
      </c>
      <c r="I50" s="8">
        <v>643</v>
      </c>
      <c r="J50" s="8">
        <v>700</v>
      </c>
      <c r="K50" s="8">
        <v>637</v>
      </c>
    </row>
    <row r="51" spans="1:12" ht="15" customHeight="1" outlineLevel="3">
      <c r="A51" s="10" t="s">
        <v>65</v>
      </c>
      <c r="B51" s="13">
        <v>886</v>
      </c>
      <c r="C51" s="13">
        <v>963</v>
      </c>
      <c r="D51" s="13">
        <v>1026</v>
      </c>
      <c r="E51" s="13">
        <v>737</v>
      </c>
      <c r="F51" s="13">
        <v>734</v>
      </c>
      <c r="G51" s="13">
        <v>865</v>
      </c>
      <c r="H51" s="13">
        <v>822</v>
      </c>
      <c r="I51" s="13">
        <v>872</v>
      </c>
      <c r="J51" s="13">
        <v>1128</v>
      </c>
      <c r="K51" s="13">
        <v>1058</v>
      </c>
    </row>
    <row r="52" spans="1:12" ht="15" customHeight="1" outlineLevel="2">
      <c r="A52" s="7" t="s">
        <v>3</v>
      </c>
      <c r="B52" s="8">
        <v>4957</v>
      </c>
      <c r="C52" s="8">
        <v>4817</v>
      </c>
      <c r="D52" s="8">
        <v>5025</v>
      </c>
      <c r="E52" s="8">
        <v>4781</v>
      </c>
      <c r="F52" s="8">
        <v>5287</v>
      </c>
      <c r="G52" s="8">
        <v>5106</v>
      </c>
      <c r="H52" s="8">
        <v>6612</v>
      </c>
      <c r="I52" s="8">
        <v>7140</v>
      </c>
      <c r="J52" s="8">
        <v>7147</v>
      </c>
      <c r="K52" s="8">
        <v>7337</v>
      </c>
    </row>
    <row r="53" spans="1:12" ht="15" customHeight="1" outlineLevel="1">
      <c r="A53" s="4" t="s">
        <v>66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2" ht="15" customHeight="1" outlineLevel="2">
      <c r="A54" s="21" t="s">
        <v>67</v>
      </c>
      <c r="B54" s="3">
        <v>5120</v>
      </c>
      <c r="C54" s="3">
        <v>4798</v>
      </c>
      <c r="D54" s="3">
        <v>5076</v>
      </c>
      <c r="E54" s="3">
        <v>5110</v>
      </c>
      <c r="F54" s="3">
        <v>5421</v>
      </c>
      <c r="G54" s="3">
        <v>6116</v>
      </c>
      <c r="H54" s="3">
        <v>7467</v>
      </c>
      <c r="I54" s="3">
        <v>8088</v>
      </c>
      <c r="J54" s="3">
        <v>7656</v>
      </c>
      <c r="K54" s="3">
        <v>7196</v>
      </c>
      <c r="L54" s="12"/>
    </row>
    <row r="55" spans="1:12" ht="15" customHeight="1" outlineLevel="3">
      <c r="A55" s="10" t="s">
        <v>68</v>
      </c>
      <c r="B55" s="13">
        <v>5072</v>
      </c>
      <c r="C55" s="13">
        <v>4765</v>
      </c>
      <c r="D55" s="13">
        <v>5076</v>
      </c>
      <c r="E55" s="13">
        <v>5078</v>
      </c>
      <c r="F55" s="13">
        <v>4510</v>
      </c>
      <c r="G55" s="13">
        <v>5200</v>
      </c>
      <c r="H55" s="13">
        <v>6411</v>
      </c>
      <c r="I55" s="13">
        <v>7020</v>
      </c>
      <c r="J55" s="13">
        <v>6573</v>
      </c>
      <c r="K55" s="13">
        <v>6141</v>
      </c>
    </row>
    <row r="56" spans="1:12" ht="15" customHeight="1" outlineLevel="3">
      <c r="A56" s="11" t="s">
        <v>69</v>
      </c>
      <c r="B56" s="8">
        <v>48</v>
      </c>
      <c r="C56" s="8">
        <v>33</v>
      </c>
      <c r="D56" s="8">
        <v>0</v>
      </c>
      <c r="E56" s="8">
        <v>32</v>
      </c>
      <c r="F56" s="8">
        <v>911</v>
      </c>
      <c r="G56" s="8">
        <v>916</v>
      </c>
      <c r="H56" s="8">
        <v>1056</v>
      </c>
      <c r="I56" s="8">
        <v>1068</v>
      </c>
      <c r="J56" s="8">
        <v>1083</v>
      </c>
      <c r="K56" s="8">
        <v>1055</v>
      </c>
    </row>
    <row r="57" spans="1:12" ht="15" customHeight="1" outlineLevel="2">
      <c r="A57" s="6" t="s">
        <v>70</v>
      </c>
      <c r="B57" s="13">
        <v>0</v>
      </c>
      <c r="C57" s="13">
        <v>0</v>
      </c>
      <c r="D57" s="13">
        <v>1515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</row>
    <row r="58" spans="1:12" ht="15" customHeight="1" outlineLevel="2">
      <c r="A58" s="7" t="s">
        <v>71</v>
      </c>
      <c r="B58" s="8">
        <v>91</v>
      </c>
      <c r="C58" s="8">
        <v>85</v>
      </c>
      <c r="D58" s="8">
        <v>100</v>
      </c>
      <c r="E58" s="8">
        <v>95</v>
      </c>
      <c r="F58" s="8">
        <v>90</v>
      </c>
      <c r="G58" s="8">
        <v>84</v>
      </c>
      <c r="H58" s="8">
        <v>135</v>
      </c>
      <c r="I58" s="8">
        <v>134</v>
      </c>
      <c r="J58" s="8">
        <v>83</v>
      </c>
      <c r="K58" s="8">
        <v>108</v>
      </c>
    </row>
    <row r="59" spans="1:12" ht="15" customHeight="1" outlineLevel="2">
      <c r="A59" s="9" t="s">
        <v>72</v>
      </c>
      <c r="B59" s="5">
        <v>2129</v>
      </c>
      <c r="C59" s="5">
        <v>2086</v>
      </c>
      <c r="D59" s="5">
        <v>498</v>
      </c>
      <c r="E59" s="5">
        <v>1816</v>
      </c>
      <c r="F59" s="5">
        <v>1842</v>
      </c>
      <c r="G59" s="5">
        <v>1941</v>
      </c>
      <c r="H59" s="5">
        <v>2004</v>
      </c>
      <c r="I59" s="5">
        <v>1603</v>
      </c>
      <c r="J59" s="5">
        <v>1859</v>
      </c>
      <c r="K59" s="5">
        <v>1417</v>
      </c>
    </row>
    <row r="60" spans="1:12" ht="15" customHeight="1" outlineLevel="3">
      <c r="A60" s="11" t="s">
        <v>73</v>
      </c>
      <c r="B60" s="8">
        <v>2129</v>
      </c>
      <c r="C60" s="8">
        <v>2086</v>
      </c>
      <c r="D60" s="8">
        <v>498</v>
      </c>
      <c r="E60" s="8">
        <v>1777</v>
      </c>
      <c r="F60" s="8">
        <v>1811</v>
      </c>
      <c r="G60" s="8">
        <v>1914</v>
      </c>
      <c r="H60" s="8">
        <v>1983</v>
      </c>
      <c r="I60" s="8">
        <v>1588</v>
      </c>
      <c r="J60" s="8">
        <v>1849</v>
      </c>
      <c r="K60" s="8">
        <v>1411</v>
      </c>
    </row>
    <row r="61" spans="1:12" ht="15" customHeight="1" outlineLevel="3">
      <c r="A61" s="10" t="s">
        <v>74</v>
      </c>
      <c r="B61" s="13">
        <v>0</v>
      </c>
      <c r="C61" s="13">
        <v>0</v>
      </c>
      <c r="D61" s="19"/>
      <c r="E61" s="13">
        <v>39</v>
      </c>
      <c r="F61" s="13">
        <v>31</v>
      </c>
      <c r="G61" s="13">
        <v>27</v>
      </c>
      <c r="H61" s="13">
        <v>21</v>
      </c>
      <c r="I61" s="13">
        <v>15</v>
      </c>
      <c r="J61" s="13">
        <v>10</v>
      </c>
      <c r="K61" s="13">
        <v>6</v>
      </c>
    </row>
    <row r="62" spans="1:12" ht="15" customHeight="1" outlineLevel="2">
      <c r="A62" s="7" t="s">
        <v>75</v>
      </c>
      <c r="B62" s="8">
        <v>12297</v>
      </c>
      <c r="C62" s="8">
        <v>11786</v>
      </c>
      <c r="D62" s="8">
        <v>12214</v>
      </c>
      <c r="E62" s="8">
        <v>11802</v>
      </c>
      <c r="F62" s="8">
        <v>12640</v>
      </c>
      <c r="G62" s="8">
        <v>13247</v>
      </c>
      <c r="H62" s="8">
        <v>16218</v>
      </c>
      <c r="I62" s="8">
        <v>16965</v>
      </c>
      <c r="J62" s="8">
        <v>16745</v>
      </c>
      <c r="K62" s="8">
        <v>16058</v>
      </c>
    </row>
    <row r="63" spans="1:12" ht="15" customHeight="1" outlineLevel="1">
      <c r="A63" s="4" t="s">
        <v>76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 ht="15" customHeight="1" outlineLevel="2">
      <c r="A64" s="21" t="s">
        <v>77</v>
      </c>
      <c r="B64" s="3">
        <v>3920</v>
      </c>
      <c r="C64" s="3">
        <v>4507</v>
      </c>
      <c r="D64" s="3">
        <v>4603</v>
      </c>
      <c r="E64" s="3">
        <v>4864</v>
      </c>
      <c r="F64" s="3">
        <v>4351</v>
      </c>
      <c r="G64" s="3">
        <v>3078</v>
      </c>
      <c r="H64" s="3">
        <v>4999</v>
      </c>
      <c r="I64" s="3">
        <v>5300</v>
      </c>
      <c r="J64" s="3">
        <v>4668</v>
      </c>
      <c r="K64" s="3">
        <v>4756</v>
      </c>
    </row>
    <row r="65" spans="1:11" ht="15" customHeight="1" outlineLevel="3">
      <c r="A65" s="10" t="s">
        <v>78</v>
      </c>
      <c r="B65" s="13">
        <v>267</v>
      </c>
      <c r="C65" s="13">
        <v>252</v>
      </c>
      <c r="D65" s="13">
        <v>240</v>
      </c>
      <c r="E65" s="13">
        <v>232</v>
      </c>
      <c r="F65" s="13">
        <v>233</v>
      </c>
      <c r="G65" s="13">
        <v>233</v>
      </c>
      <c r="H65" s="13">
        <v>282</v>
      </c>
      <c r="I65" s="13">
        <v>283</v>
      </c>
      <c r="J65" s="13">
        <v>284</v>
      </c>
      <c r="K65" s="13">
        <v>285</v>
      </c>
    </row>
    <row r="66" spans="1:11" ht="15" customHeight="1" outlineLevel="3">
      <c r="A66" s="11" t="s">
        <v>79</v>
      </c>
      <c r="B66" s="8">
        <v>3093</v>
      </c>
      <c r="C66" s="8">
        <v>2645</v>
      </c>
      <c r="D66" s="8">
        <v>2295</v>
      </c>
      <c r="E66" s="8">
        <v>2111</v>
      </c>
      <c r="F66" s="8">
        <v>2141</v>
      </c>
      <c r="G66" s="8">
        <v>2171</v>
      </c>
      <c r="H66" s="8">
        <v>3107</v>
      </c>
      <c r="I66" s="8">
        <v>3117</v>
      </c>
      <c r="J66" s="8">
        <v>3133</v>
      </c>
      <c r="K66" s="8">
        <v>3159</v>
      </c>
    </row>
    <row r="67" spans="1:11" ht="15" customHeight="1" outlineLevel="3">
      <c r="A67" s="10" t="s">
        <v>80</v>
      </c>
      <c r="B67" s="13">
        <v>4570</v>
      </c>
      <c r="C67" s="13">
        <v>5808</v>
      </c>
      <c r="D67" s="13">
        <v>6044</v>
      </c>
      <c r="E67" s="13">
        <v>6597</v>
      </c>
      <c r="F67" s="13">
        <v>6113</v>
      </c>
      <c r="G67" s="13">
        <v>4809</v>
      </c>
      <c r="H67" s="13">
        <v>5573</v>
      </c>
      <c r="I67" s="13">
        <v>5775</v>
      </c>
      <c r="J67" s="13">
        <v>5086</v>
      </c>
      <c r="K67" s="13">
        <v>5156</v>
      </c>
    </row>
    <row r="68" spans="1:11" ht="15" customHeight="1" outlineLevel="3">
      <c r="A68" s="11" t="s">
        <v>81</v>
      </c>
      <c r="B68" s="16">
        <v>-946</v>
      </c>
      <c r="C68" s="16">
        <v>-1155</v>
      </c>
      <c r="D68" s="16">
        <v>-915</v>
      </c>
      <c r="E68" s="16">
        <v>-1160</v>
      </c>
      <c r="F68" s="16">
        <v>-1156</v>
      </c>
      <c r="G68" s="16">
        <v>-1284</v>
      </c>
      <c r="H68" s="16">
        <v>-1402</v>
      </c>
      <c r="I68" s="16">
        <v>-1663</v>
      </c>
      <c r="J68" s="16">
        <v>-1613</v>
      </c>
      <c r="K68" s="16">
        <v>-1705</v>
      </c>
    </row>
    <row r="69" spans="1:11" ht="15" customHeight="1" outlineLevel="3">
      <c r="A69" s="10" t="s">
        <v>82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1</v>
      </c>
      <c r="K69" s="13">
        <v>1</v>
      </c>
    </row>
    <row r="70" spans="1:11" ht="15" customHeight="1" outlineLevel="3">
      <c r="A70" s="11" t="s">
        <v>83</v>
      </c>
      <c r="B70" s="16">
        <v>-3064</v>
      </c>
      <c r="C70" s="16">
        <v>-3043</v>
      </c>
      <c r="D70" s="16">
        <v>-3061</v>
      </c>
      <c r="E70" s="16">
        <v>-2916</v>
      </c>
      <c r="F70" s="16">
        <v>-2980</v>
      </c>
      <c r="G70" s="16">
        <v>-2851</v>
      </c>
      <c r="H70" s="16">
        <v>-2561</v>
      </c>
      <c r="I70" s="16">
        <v>-2212</v>
      </c>
      <c r="J70" s="16">
        <v>-2223</v>
      </c>
      <c r="K70" s="16">
        <v>-2140</v>
      </c>
    </row>
    <row r="71" spans="1:11" ht="15" customHeight="1" outlineLevel="2">
      <c r="A71" s="6" t="s">
        <v>84</v>
      </c>
      <c r="B71" s="13">
        <v>3920</v>
      </c>
      <c r="C71" s="13">
        <v>4507</v>
      </c>
      <c r="D71" s="13">
        <v>4603</v>
      </c>
      <c r="E71" s="13">
        <v>4864</v>
      </c>
      <c r="F71" s="13">
        <v>4351</v>
      </c>
      <c r="G71" s="13">
        <v>3078</v>
      </c>
      <c r="H71" s="13">
        <v>4999</v>
      </c>
      <c r="I71" s="13">
        <v>5300</v>
      </c>
      <c r="J71" s="13">
        <v>4668</v>
      </c>
      <c r="K71" s="13">
        <v>4756</v>
      </c>
    </row>
    <row r="72" spans="1:11" ht="15" customHeight="1" outlineLevel="2">
      <c r="A72" s="7" t="s">
        <v>85</v>
      </c>
      <c r="B72" s="8">
        <v>222</v>
      </c>
      <c r="C72" s="8">
        <v>218</v>
      </c>
      <c r="D72" s="8">
        <v>247</v>
      </c>
      <c r="E72" s="8">
        <v>206</v>
      </c>
      <c r="F72" s="8">
        <v>194</v>
      </c>
      <c r="G72" s="8">
        <v>181</v>
      </c>
      <c r="H72" s="8">
        <v>185</v>
      </c>
      <c r="I72" s="8">
        <v>166</v>
      </c>
      <c r="J72" s="8">
        <v>169</v>
      </c>
      <c r="K72" s="8">
        <v>150</v>
      </c>
    </row>
    <row r="73" spans="1:11" ht="15" customHeight="1" outlineLevel="2">
      <c r="A73" s="6" t="s">
        <v>86</v>
      </c>
      <c r="B73" s="13">
        <v>4142</v>
      </c>
      <c r="C73" s="13">
        <v>4725</v>
      </c>
      <c r="D73" s="13">
        <v>4850</v>
      </c>
      <c r="E73" s="13">
        <v>5070</v>
      </c>
      <c r="F73" s="13">
        <v>4545</v>
      </c>
      <c r="G73" s="13">
        <v>3259</v>
      </c>
      <c r="H73" s="13">
        <v>5184</v>
      </c>
      <c r="I73" s="13">
        <v>5466</v>
      </c>
      <c r="J73" s="13">
        <v>4837</v>
      </c>
      <c r="K73" s="13">
        <v>4906</v>
      </c>
    </row>
    <row r="74" spans="1:11" ht="15" customHeight="1" outlineLevel="1">
      <c r="A74" s="15" t="s">
        <v>87</v>
      </c>
      <c r="B74" s="8">
        <v>16439</v>
      </c>
      <c r="C74" s="8">
        <v>16511</v>
      </c>
      <c r="D74" s="8">
        <v>17064</v>
      </c>
      <c r="E74" s="8">
        <v>16872</v>
      </c>
      <c r="F74" s="8">
        <v>17185</v>
      </c>
      <c r="G74" s="8">
        <v>16506</v>
      </c>
      <c r="H74" s="8">
        <v>21402</v>
      </c>
      <c r="I74" s="8">
        <v>22431</v>
      </c>
      <c r="J74" s="8">
        <v>21582</v>
      </c>
      <c r="K74" s="8">
        <v>20964</v>
      </c>
    </row>
    <row r="75" spans="1:11" ht="15" customHeight="1">
      <c r="A75" s="17" t="s">
        <v>88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1" ht="15" customHeight="1" outlineLevel="1">
      <c r="A76" s="15" t="s">
        <v>89</v>
      </c>
      <c r="B76" s="26">
        <v>14.681649999999999</v>
      </c>
      <c r="C76" s="26">
        <v>17.913599999999999</v>
      </c>
      <c r="D76" s="26">
        <v>19.166820000000001</v>
      </c>
      <c r="E76" s="26">
        <v>20.95007</v>
      </c>
      <c r="F76" s="26">
        <v>18.701889999999999</v>
      </c>
      <c r="G76" s="26">
        <v>13.19783</v>
      </c>
      <c r="H76" s="26">
        <v>17.73996</v>
      </c>
      <c r="I76" s="26">
        <v>18.734780000000001</v>
      </c>
      <c r="J76" s="26">
        <v>16.449000000000002</v>
      </c>
      <c r="K76" s="26">
        <v>16.689229999999998</v>
      </c>
    </row>
    <row r="77" spans="1:11" ht="15" customHeight="1" outlineLevel="1">
      <c r="A77" s="14" t="s">
        <v>90</v>
      </c>
      <c r="B77" s="23">
        <v>12.086142000000001</v>
      </c>
      <c r="C77" s="23">
        <v>15.246632999999999</v>
      </c>
      <c r="D77" s="23">
        <v>16.110455000000002</v>
      </c>
      <c r="E77" s="23">
        <v>17.913516999999999</v>
      </c>
      <c r="F77" s="23">
        <v>15.684483</v>
      </c>
      <c r="G77" s="23">
        <v>10.869560999999999</v>
      </c>
      <c r="H77" s="23">
        <v>10.489960999999999</v>
      </c>
      <c r="I77" s="23">
        <v>11.601421999999999</v>
      </c>
      <c r="J77" s="23">
        <v>10.282386000000001</v>
      </c>
      <c r="K77" s="23">
        <v>11.211539</v>
      </c>
    </row>
    <row r="78" spans="1:11" ht="15" customHeight="1">
      <c r="A78" s="28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181F-F147-499E-8C1A-985BF59B1CAC}">
  <sheetPr>
    <tabColor rgb="FFFF0000"/>
    <outlinePr summaryBelow="0" summaryRight="0"/>
  </sheetPr>
  <dimension ref="A1:K60"/>
  <sheetViews>
    <sheetView zoomScale="145" zoomScaleNormal="145" workbookViewId="0"/>
  </sheetViews>
  <sheetFormatPr defaultColWidth="9.140625" defaultRowHeight="15" customHeight="1" outlineLevelRow="3"/>
  <cols>
    <col min="1" max="1" width="50.7109375" customWidth="1"/>
    <col min="2" max="11" width="8" customWidth="1"/>
  </cols>
  <sheetData>
    <row r="1" spans="1:11" ht="15" customHeight="1">
      <c r="A1" s="29" t="s">
        <v>9</v>
      </c>
    </row>
    <row r="2" spans="1:11" ht="15" customHeight="1">
      <c r="A2" s="31" t="s">
        <v>143</v>
      </c>
    </row>
    <row r="3" spans="1:11" ht="1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1" ht="15" customHeight="1">
      <c r="A5" s="1" t="s">
        <v>11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 customHeight="1">
      <c r="A6" s="1" t="s">
        <v>12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 customHeight="1">
      <c r="A7" s="1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 customHeight="1">
      <c r="A8" s="1"/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</row>
    <row r="9" spans="1:11" ht="15" customHeight="1">
      <c r="A9" s="1"/>
      <c r="B9" s="1"/>
      <c r="C9" s="1"/>
      <c r="D9" s="1" t="s">
        <v>24</v>
      </c>
      <c r="E9" s="1"/>
      <c r="F9" s="1"/>
      <c r="G9" s="1"/>
      <c r="H9" s="1"/>
      <c r="I9" s="1"/>
      <c r="J9" s="1"/>
      <c r="K9" s="1"/>
    </row>
    <row r="10" spans="1:11" ht="15" customHeight="1">
      <c r="A10" s="2" t="s">
        <v>144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" customHeight="1" outlineLevel="1">
      <c r="A11" s="14" t="s">
        <v>145</v>
      </c>
      <c r="B11" s="36">
        <v>376</v>
      </c>
      <c r="C11" s="36">
        <v>1284</v>
      </c>
      <c r="D11" s="36">
        <v>365</v>
      </c>
      <c r="E11" s="36">
        <v>708</v>
      </c>
      <c r="F11" s="35">
        <v>-297</v>
      </c>
      <c r="G11" s="35">
        <v>-1250</v>
      </c>
      <c r="H11" s="36">
        <v>780</v>
      </c>
      <c r="I11" s="36">
        <v>209</v>
      </c>
      <c r="J11" s="35">
        <v>-687</v>
      </c>
      <c r="K11" s="36">
        <v>60</v>
      </c>
    </row>
    <row r="12" spans="1:11" ht="15" customHeight="1" outlineLevel="1">
      <c r="A12" s="18" t="s">
        <v>146</v>
      </c>
      <c r="B12" s="37">
        <v>698</v>
      </c>
      <c r="C12" s="37">
        <v>727</v>
      </c>
      <c r="D12" s="37">
        <v>781</v>
      </c>
      <c r="E12" s="37">
        <v>778</v>
      </c>
      <c r="F12" s="37">
        <v>795</v>
      </c>
      <c r="G12" s="37">
        <v>859</v>
      </c>
      <c r="H12" s="37">
        <v>883</v>
      </c>
      <c r="I12" s="37">
        <v>964</v>
      </c>
      <c r="J12" s="37">
        <v>1001</v>
      </c>
      <c r="K12" s="37">
        <v>1049</v>
      </c>
    </row>
    <row r="13" spans="1:11" ht="15" customHeight="1" outlineLevel="2">
      <c r="A13" s="6" t="s">
        <v>147</v>
      </c>
      <c r="B13" s="36">
        <v>697</v>
      </c>
      <c r="C13" s="36">
        <v>726</v>
      </c>
      <c r="D13" s="36">
        <v>777</v>
      </c>
      <c r="E13" s="36">
        <v>776</v>
      </c>
      <c r="F13" s="36">
        <v>793</v>
      </c>
      <c r="G13" s="36">
        <v>857</v>
      </c>
      <c r="H13" s="36">
        <v>862</v>
      </c>
      <c r="I13" s="36">
        <v>928</v>
      </c>
      <c r="J13" s="36">
        <v>968</v>
      </c>
      <c r="K13" s="36">
        <v>1017</v>
      </c>
    </row>
    <row r="14" spans="1:11" ht="15" customHeight="1" outlineLevel="2">
      <c r="A14" s="7" t="s">
        <v>148</v>
      </c>
      <c r="B14" s="32">
        <v>1</v>
      </c>
      <c r="C14" s="32">
        <v>1</v>
      </c>
      <c r="D14" s="32">
        <v>2</v>
      </c>
      <c r="E14" s="32">
        <v>2</v>
      </c>
      <c r="F14" s="32">
        <v>2</v>
      </c>
      <c r="G14" s="32">
        <v>2</v>
      </c>
      <c r="H14" s="32">
        <v>21</v>
      </c>
      <c r="I14" s="32">
        <v>35</v>
      </c>
      <c r="J14" s="32">
        <v>33</v>
      </c>
      <c r="K14" s="32">
        <v>32</v>
      </c>
    </row>
    <row r="15" spans="1:11" ht="15" customHeight="1" outlineLevel="1">
      <c r="A15" s="4" t="s">
        <v>149</v>
      </c>
      <c r="B15" s="34">
        <v>79</v>
      </c>
      <c r="C15" s="34">
        <v>-229</v>
      </c>
      <c r="D15" s="34">
        <v>366</v>
      </c>
      <c r="E15" s="34">
        <v>131</v>
      </c>
      <c r="F15" s="34">
        <v>323</v>
      </c>
      <c r="G15" s="34">
        <v>23</v>
      </c>
      <c r="H15" s="34">
        <v>-471</v>
      </c>
      <c r="I15" s="34">
        <v>28</v>
      </c>
      <c r="J15" s="34">
        <v>-230</v>
      </c>
      <c r="K15" s="34">
        <v>-65</v>
      </c>
    </row>
    <row r="16" spans="1:11" ht="15" customHeight="1" outlineLevel="2">
      <c r="A16" s="7" t="s">
        <v>150</v>
      </c>
      <c r="B16" s="32">
        <v>79</v>
      </c>
      <c r="C16" s="33">
        <v>-229</v>
      </c>
      <c r="D16" s="32">
        <v>366</v>
      </c>
      <c r="E16" s="32">
        <v>131</v>
      </c>
      <c r="F16" s="32">
        <v>323</v>
      </c>
      <c r="G16" s="32">
        <v>23</v>
      </c>
      <c r="H16" s="33">
        <v>-471</v>
      </c>
      <c r="I16" s="32">
        <v>28</v>
      </c>
      <c r="J16" s="33">
        <v>-230</v>
      </c>
      <c r="K16" s="33">
        <v>-65</v>
      </c>
    </row>
    <row r="17" spans="1:11" ht="15" customHeight="1" outlineLevel="1">
      <c r="A17" s="14" t="s">
        <v>151</v>
      </c>
      <c r="B17" s="36">
        <v>449</v>
      </c>
      <c r="C17" s="36">
        <v>50</v>
      </c>
      <c r="D17" s="35">
        <v>-83</v>
      </c>
      <c r="E17" s="35">
        <v>-440</v>
      </c>
      <c r="F17" s="36">
        <v>97</v>
      </c>
      <c r="G17" s="36">
        <v>296</v>
      </c>
      <c r="H17" s="35">
        <v>-17</v>
      </c>
      <c r="I17" s="36">
        <v>13</v>
      </c>
      <c r="J17" s="36">
        <v>554</v>
      </c>
      <c r="K17" s="35">
        <v>-164</v>
      </c>
    </row>
    <row r="18" spans="1:11" ht="15" customHeight="1" outlineLevel="1">
      <c r="A18" s="15" t="s">
        <v>152</v>
      </c>
      <c r="B18" s="32">
        <v>1602</v>
      </c>
      <c r="C18" s="32">
        <v>1832</v>
      </c>
      <c r="D18" s="32">
        <v>1429</v>
      </c>
      <c r="E18" s="32">
        <v>1177</v>
      </c>
      <c r="F18" s="32">
        <v>918</v>
      </c>
      <c r="G18" s="33">
        <v>-72</v>
      </c>
      <c r="H18" s="32">
        <v>1175</v>
      </c>
      <c r="I18" s="32">
        <v>1214</v>
      </c>
      <c r="J18" s="32">
        <v>638</v>
      </c>
      <c r="K18" s="32">
        <v>880</v>
      </c>
    </row>
    <row r="19" spans="1:11" ht="15" customHeight="1" outlineLevel="1">
      <c r="A19" s="4" t="s">
        <v>153</v>
      </c>
      <c r="B19" s="34">
        <v>85</v>
      </c>
      <c r="C19" s="34">
        <v>-328</v>
      </c>
      <c r="D19" s="34">
        <v>-271</v>
      </c>
      <c r="E19" s="34">
        <v>-261</v>
      </c>
      <c r="F19" s="34">
        <v>289</v>
      </c>
      <c r="G19" s="34">
        <v>1187</v>
      </c>
      <c r="H19" s="34">
        <v>-113</v>
      </c>
      <c r="I19" s="34">
        <v>-693</v>
      </c>
      <c r="J19" s="34">
        <v>394</v>
      </c>
      <c r="K19" s="34">
        <v>-182</v>
      </c>
    </row>
    <row r="20" spans="1:11" ht="15" customHeight="1" outlineLevel="2">
      <c r="A20" s="7" t="s">
        <v>154</v>
      </c>
      <c r="B20" s="33">
        <v>-31</v>
      </c>
      <c r="C20" s="32">
        <v>211</v>
      </c>
      <c r="D20" s="33">
        <v>-147</v>
      </c>
      <c r="E20" s="33">
        <v>-172</v>
      </c>
      <c r="F20" s="32">
        <v>71</v>
      </c>
      <c r="G20" s="32">
        <v>132</v>
      </c>
      <c r="H20" s="33">
        <v>-300</v>
      </c>
      <c r="I20" s="33">
        <v>-333</v>
      </c>
      <c r="J20" s="33">
        <v>-59</v>
      </c>
      <c r="K20" s="32">
        <v>127</v>
      </c>
    </row>
    <row r="21" spans="1:11" ht="15" customHeight="1" outlineLevel="2">
      <c r="A21" s="6" t="s">
        <v>33</v>
      </c>
      <c r="B21" s="35">
        <v>-89</v>
      </c>
      <c r="C21" s="35">
        <v>-172</v>
      </c>
      <c r="D21" s="35">
        <v>-44</v>
      </c>
      <c r="E21" s="35">
        <v>-171</v>
      </c>
      <c r="F21" s="36">
        <v>6</v>
      </c>
      <c r="G21" s="36">
        <v>713</v>
      </c>
      <c r="H21" s="35">
        <v>-982</v>
      </c>
      <c r="I21" s="35">
        <v>-1042</v>
      </c>
      <c r="J21" s="36">
        <v>908</v>
      </c>
      <c r="K21" s="35">
        <v>-122</v>
      </c>
    </row>
    <row r="22" spans="1:11" ht="15" customHeight="1" outlineLevel="2">
      <c r="A22" s="7" t="s">
        <v>62</v>
      </c>
      <c r="B22" s="32">
        <v>78</v>
      </c>
      <c r="C22" s="33">
        <v>-156</v>
      </c>
      <c r="D22" s="32">
        <v>85</v>
      </c>
      <c r="E22" s="32">
        <v>223</v>
      </c>
      <c r="F22" s="32">
        <v>5</v>
      </c>
      <c r="G22" s="32">
        <v>26</v>
      </c>
      <c r="H22" s="32">
        <v>923</v>
      </c>
      <c r="I22" s="32">
        <v>686</v>
      </c>
      <c r="J22" s="33">
        <v>-550</v>
      </c>
      <c r="K22" s="33">
        <v>-87</v>
      </c>
    </row>
    <row r="23" spans="1:11" ht="15" customHeight="1" outlineLevel="2">
      <c r="A23" s="6" t="s">
        <v>155</v>
      </c>
      <c r="B23" s="36">
        <v>66</v>
      </c>
      <c r="C23" s="35">
        <v>-50</v>
      </c>
      <c r="D23" s="35">
        <v>-65</v>
      </c>
      <c r="E23" s="35">
        <v>-26</v>
      </c>
      <c r="F23" s="36">
        <v>184</v>
      </c>
      <c r="G23" s="36">
        <v>95</v>
      </c>
      <c r="H23" s="36">
        <v>64</v>
      </c>
      <c r="I23" s="35">
        <v>-107</v>
      </c>
      <c r="J23" s="36">
        <v>48</v>
      </c>
      <c r="K23" s="36">
        <v>24</v>
      </c>
    </row>
    <row r="24" spans="1:11" ht="15" customHeight="1" outlineLevel="2">
      <c r="A24" s="7" t="s">
        <v>156</v>
      </c>
      <c r="B24" s="32">
        <v>61</v>
      </c>
      <c r="C24" s="33">
        <v>-161</v>
      </c>
      <c r="D24" s="33">
        <v>-100</v>
      </c>
      <c r="E24" s="33">
        <v>-115</v>
      </c>
      <c r="F24" s="32">
        <v>23</v>
      </c>
      <c r="G24" s="32">
        <v>221</v>
      </c>
      <c r="H24" s="32">
        <v>182</v>
      </c>
      <c r="I24" s="32">
        <v>103</v>
      </c>
      <c r="J24" s="32">
        <v>47</v>
      </c>
      <c r="K24" s="33">
        <v>-124</v>
      </c>
    </row>
    <row r="25" spans="1:11" ht="15" customHeight="1" outlineLevel="1">
      <c r="A25" s="14" t="s">
        <v>157</v>
      </c>
      <c r="B25" s="36">
        <v>1687</v>
      </c>
      <c r="C25" s="36">
        <v>1504</v>
      </c>
      <c r="D25" s="36">
        <v>1158</v>
      </c>
      <c r="E25" s="36">
        <v>916</v>
      </c>
      <c r="F25" s="36">
        <v>1207</v>
      </c>
      <c r="G25" s="36">
        <v>1115</v>
      </c>
      <c r="H25" s="36">
        <v>1062</v>
      </c>
      <c r="I25" s="36">
        <v>521</v>
      </c>
      <c r="J25" s="36">
        <v>1032</v>
      </c>
      <c r="K25" s="36">
        <v>698</v>
      </c>
    </row>
    <row r="26" spans="1:11" ht="15" customHeight="1">
      <c r="A26" s="2" t="s">
        <v>158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" customHeight="1" outlineLevel="1">
      <c r="A27" s="4" t="s">
        <v>159</v>
      </c>
      <c r="B27" s="34">
        <v>-983</v>
      </c>
      <c r="C27" s="34">
        <v>-996</v>
      </c>
      <c r="D27" s="34">
        <v>-881</v>
      </c>
      <c r="E27" s="34">
        <v>-811</v>
      </c>
      <c r="F27" s="34">
        <v>-770</v>
      </c>
      <c r="G27" s="34">
        <v>-647</v>
      </c>
      <c r="H27" s="34">
        <v>-981</v>
      </c>
      <c r="I27" s="34">
        <v>-1061</v>
      </c>
      <c r="J27" s="34">
        <v>-1050</v>
      </c>
      <c r="K27" s="34">
        <v>-1188</v>
      </c>
    </row>
    <row r="28" spans="1:11" ht="15" customHeight="1" outlineLevel="2">
      <c r="A28" s="7" t="s">
        <v>160</v>
      </c>
      <c r="B28" s="33">
        <v>-983</v>
      </c>
      <c r="C28" s="33">
        <v>-996</v>
      </c>
      <c r="D28" s="33">
        <v>-881</v>
      </c>
      <c r="E28" s="33">
        <v>-811</v>
      </c>
      <c r="F28" s="33">
        <v>-770</v>
      </c>
      <c r="G28" s="33">
        <v>-647</v>
      </c>
      <c r="H28" s="33">
        <v>-981</v>
      </c>
      <c r="I28" s="33">
        <v>-1061</v>
      </c>
      <c r="J28" s="33">
        <v>-1050</v>
      </c>
      <c r="K28" s="33">
        <v>-1188</v>
      </c>
    </row>
    <row r="29" spans="1:11" ht="15" customHeight="1" outlineLevel="1">
      <c r="A29" s="14" t="s">
        <v>161</v>
      </c>
      <c r="B29" s="35">
        <v>-320</v>
      </c>
      <c r="C29" s="35">
        <v>-11</v>
      </c>
      <c r="D29" s="35">
        <v>-7</v>
      </c>
      <c r="E29" s="35">
        <v>-31</v>
      </c>
      <c r="F29" s="35">
        <v>-26</v>
      </c>
      <c r="G29" s="35">
        <v>-10</v>
      </c>
      <c r="H29" s="35">
        <v>-1869</v>
      </c>
      <c r="I29" s="35">
        <v>-9</v>
      </c>
      <c r="J29" s="35">
        <v>-3</v>
      </c>
      <c r="K29" s="35">
        <v>-8</v>
      </c>
    </row>
    <row r="30" spans="1:11" ht="15" customHeight="1" outlineLevel="1">
      <c r="A30" s="15" t="s">
        <v>162</v>
      </c>
      <c r="B30" s="32">
        <v>62</v>
      </c>
      <c r="C30" s="32">
        <v>35</v>
      </c>
      <c r="D30" s="32">
        <v>12</v>
      </c>
      <c r="E30" s="32">
        <v>2</v>
      </c>
      <c r="F30" s="32">
        <v>12</v>
      </c>
      <c r="G30" s="32">
        <v>0</v>
      </c>
      <c r="H30" s="32">
        <v>14</v>
      </c>
      <c r="I30" s="32">
        <v>52</v>
      </c>
      <c r="J30" s="32">
        <v>16</v>
      </c>
      <c r="K30" s="32">
        <v>115</v>
      </c>
    </row>
    <row r="31" spans="1:11" ht="15" customHeight="1" outlineLevel="1">
      <c r="A31" s="4" t="s">
        <v>163</v>
      </c>
      <c r="B31" s="34">
        <v>-14</v>
      </c>
      <c r="C31" s="34">
        <v>-6</v>
      </c>
      <c r="D31" s="34">
        <v>0</v>
      </c>
      <c r="E31" s="34">
        <v>0</v>
      </c>
      <c r="F31" s="34">
        <v>-7</v>
      </c>
      <c r="G31" s="34">
        <v>0</v>
      </c>
      <c r="H31" s="34">
        <v>7</v>
      </c>
      <c r="I31" s="34">
        <v>32</v>
      </c>
      <c r="J31" s="34">
        <v>-8</v>
      </c>
      <c r="K31" s="34">
        <v>6</v>
      </c>
    </row>
    <row r="32" spans="1:11" ht="15" customHeight="1" outlineLevel="2">
      <c r="A32" s="7" t="s">
        <v>164</v>
      </c>
      <c r="B32" s="32">
        <v>83</v>
      </c>
      <c r="C32" s="32">
        <v>72</v>
      </c>
      <c r="D32" s="32">
        <v>83</v>
      </c>
      <c r="E32" s="32">
        <v>68</v>
      </c>
      <c r="F32" s="32">
        <v>113</v>
      </c>
      <c r="G32" s="32">
        <v>96</v>
      </c>
      <c r="H32" s="32">
        <v>118</v>
      </c>
      <c r="I32" s="32">
        <v>75</v>
      </c>
      <c r="J32" s="32">
        <v>108</v>
      </c>
      <c r="K32" s="32">
        <v>0</v>
      </c>
    </row>
    <row r="33" spans="1:11" ht="15" customHeight="1" outlineLevel="2">
      <c r="A33" s="6" t="s">
        <v>165</v>
      </c>
      <c r="B33" s="36">
        <v>69</v>
      </c>
      <c r="C33" s="36">
        <v>66</v>
      </c>
      <c r="D33" s="36">
        <v>83</v>
      </c>
      <c r="E33" s="36">
        <v>68</v>
      </c>
      <c r="F33" s="36">
        <v>106</v>
      </c>
      <c r="G33" s="36">
        <v>96</v>
      </c>
      <c r="H33" s="36">
        <v>125</v>
      </c>
      <c r="I33" s="36">
        <v>107</v>
      </c>
      <c r="J33" s="36">
        <v>100</v>
      </c>
      <c r="K33" s="36">
        <v>6</v>
      </c>
    </row>
    <row r="34" spans="1:11" ht="15" customHeight="1" outlineLevel="1">
      <c r="A34" s="18" t="s">
        <v>151</v>
      </c>
      <c r="B34" s="37">
        <v>-7</v>
      </c>
      <c r="C34" s="37">
        <v>-6</v>
      </c>
      <c r="D34" s="37">
        <v>-10</v>
      </c>
      <c r="E34" s="37">
        <v>-58</v>
      </c>
      <c r="F34" s="37">
        <v>-35</v>
      </c>
      <c r="G34" s="37">
        <v>-20</v>
      </c>
      <c r="H34" s="37">
        <v>23</v>
      </c>
      <c r="I34" s="37">
        <v>63</v>
      </c>
      <c r="J34" s="37">
        <v>7</v>
      </c>
      <c r="K34" s="37">
        <v>62</v>
      </c>
    </row>
    <row r="35" spans="1:11" ht="15" customHeight="1" outlineLevel="2">
      <c r="A35" s="6" t="s">
        <v>166</v>
      </c>
      <c r="B35" s="35">
        <v>-7</v>
      </c>
      <c r="C35" s="35">
        <v>-6</v>
      </c>
      <c r="D35" s="35">
        <v>-10</v>
      </c>
      <c r="E35" s="35">
        <v>-58</v>
      </c>
      <c r="F35" s="35">
        <v>-35</v>
      </c>
      <c r="G35" s="35">
        <v>-20</v>
      </c>
      <c r="H35" s="19"/>
      <c r="I35" s="35">
        <v>-45</v>
      </c>
      <c r="J35" s="35">
        <v>-92</v>
      </c>
      <c r="K35" s="35">
        <v>-16</v>
      </c>
    </row>
    <row r="36" spans="1:11" ht="15" customHeight="1" outlineLevel="2">
      <c r="A36" s="7" t="s">
        <v>167</v>
      </c>
      <c r="B36" s="32">
        <v>0</v>
      </c>
      <c r="C36" s="32">
        <v>0</v>
      </c>
      <c r="D36" s="22"/>
      <c r="E36" s="32">
        <v>0</v>
      </c>
      <c r="F36" s="32">
        <v>0</v>
      </c>
      <c r="G36" s="32">
        <v>0</v>
      </c>
      <c r="H36" s="32">
        <v>23</v>
      </c>
      <c r="I36" s="32">
        <v>108</v>
      </c>
      <c r="J36" s="32">
        <v>99</v>
      </c>
      <c r="K36" s="32">
        <v>78</v>
      </c>
    </row>
    <row r="37" spans="1:11" ht="15" customHeight="1" outlineLevel="1">
      <c r="A37" s="14" t="s">
        <v>168</v>
      </c>
      <c r="B37" s="35">
        <v>-1262</v>
      </c>
      <c r="C37" s="35">
        <v>-984</v>
      </c>
      <c r="D37" s="35">
        <v>-886</v>
      </c>
      <c r="E37" s="35">
        <v>-898</v>
      </c>
      <c r="F37" s="35">
        <v>-826</v>
      </c>
      <c r="G37" s="35">
        <v>-677</v>
      </c>
      <c r="H37" s="35">
        <v>-2806</v>
      </c>
      <c r="I37" s="35">
        <v>-923</v>
      </c>
      <c r="J37" s="35">
        <v>-1038</v>
      </c>
      <c r="K37" s="35">
        <v>-1013</v>
      </c>
    </row>
    <row r="38" spans="1:11" ht="15" customHeight="1">
      <c r="A38" s="2" t="s">
        <v>169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" customHeight="1" outlineLevel="1">
      <c r="A39" s="4" t="s">
        <v>170</v>
      </c>
      <c r="B39" s="5">
        <v>-68</v>
      </c>
      <c r="C39" s="5">
        <v>-82</v>
      </c>
      <c r="D39" s="5">
        <v>-110</v>
      </c>
      <c r="E39" s="5">
        <v>-138</v>
      </c>
      <c r="F39" s="5">
        <v>-148</v>
      </c>
      <c r="G39" s="5">
        <v>-37</v>
      </c>
      <c r="H39" s="5">
        <v>0</v>
      </c>
      <c r="I39" s="5">
        <v>0</v>
      </c>
      <c r="J39" s="5">
        <v>0</v>
      </c>
      <c r="K39" s="5">
        <v>0</v>
      </c>
    </row>
    <row r="40" spans="1:11" ht="15" customHeight="1" outlineLevel="2">
      <c r="A40" s="7" t="s">
        <v>171</v>
      </c>
      <c r="B40" s="16">
        <v>-68</v>
      </c>
      <c r="C40" s="16">
        <v>-82</v>
      </c>
      <c r="D40" s="16">
        <v>-110</v>
      </c>
      <c r="E40" s="16">
        <v>-138</v>
      </c>
      <c r="F40" s="16">
        <v>-148</v>
      </c>
      <c r="G40" s="16">
        <v>-37</v>
      </c>
      <c r="H40" s="8">
        <v>0</v>
      </c>
      <c r="I40" s="8">
        <v>0</v>
      </c>
      <c r="J40" s="8">
        <v>0</v>
      </c>
      <c r="K40" s="8">
        <v>0</v>
      </c>
    </row>
    <row r="41" spans="1:11" ht="15" customHeight="1" outlineLevel="1">
      <c r="A41" s="4" t="s">
        <v>172</v>
      </c>
      <c r="B41" s="5">
        <v>-127</v>
      </c>
      <c r="C41" s="5">
        <v>-487</v>
      </c>
      <c r="D41" s="5">
        <v>-386</v>
      </c>
      <c r="E41" s="5">
        <v>-216</v>
      </c>
      <c r="F41" s="5">
        <v>1</v>
      </c>
      <c r="G41" s="5">
        <v>0</v>
      </c>
      <c r="H41" s="5">
        <v>9</v>
      </c>
      <c r="I41" s="5">
        <v>-6</v>
      </c>
      <c r="J41" s="5">
        <v>-2</v>
      </c>
      <c r="K41" s="5">
        <v>-3</v>
      </c>
    </row>
    <row r="42" spans="1:11" ht="15" customHeight="1" outlineLevel="2">
      <c r="A42" s="7" t="s">
        <v>173</v>
      </c>
      <c r="B42" s="16">
        <v>-180</v>
      </c>
      <c r="C42" s="16">
        <v>-500</v>
      </c>
      <c r="D42" s="16">
        <v>-400</v>
      </c>
      <c r="E42" s="16">
        <v>-220</v>
      </c>
      <c r="F42" s="8">
        <v>0</v>
      </c>
      <c r="G42" s="8">
        <v>0</v>
      </c>
      <c r="H42" s="8">
        <v>0</v>
      </c>
      <c r="I42" s="16">
        <v>-6</v>
      </c>
      <c r="J42" s="16">
        <v>-2</v>
      </c>
      <c r="K42" s="16">
        <v>-3</v>
      </c>
    </row>
    <row r="43" spans="1:11" ht="15" customHeight="1" outlineLevel="2">
      <c r="A43" s="9" t="s">
        <v>174</v>
      </c>
      <c r="B43" s="5">
        <v>53</v>
      </c>
      <c r="C43" s="5">
        <v>13</v>
      </c>
      <c r="D43" s="5">
        <v>14</v>
      </c>
      <c r="E43" s="5">
        <v>4</v>
      </c>
      <c r="F43" s="5">
        <v>1</v>
      </c>
      <c r="G43" s="5">
        <v>0</v>
      </c>
      <c r="H43" s="5">
        <v>9</v>
      </c>
      <c r="I43" s="5">
        <v>0</v>
      </c>
      <c r="J43" s="5">
        <v>0</v>
      </c>
      <c r="K43" s="5">
        <v>0</v>
      </c>
    </row>
    <row r="44" spans="1:11" ht="15" customHeight="1" outlineLevel="3">
      <c r="A44" s="11" t="s">
        <v>175</v>
      </c>
      <c r="B44" s="8">
        <v>53</v>
      </c>
      <c r="C44" s="8">
        <v>13</v>
      </c>
      <c r="D44" s="8">
        <v>14</v>
      </c>
      <c r="E44" s="8">
        <v>4</v>
      </c>
      <c r="F44" s="8">
        <v>1</v>
      </c>
      <c r="G44" s="8">
        <v>0</v>
      </c>
      <c r="H44" s="8">
        <v>9</v>
      </c>
      <c r="I44" s="8">
        <v>0</v>
      </c>
      <c r="J44" s="8">
        <v>0</v>
      </c>
      <c r="K44" s="8">
        <v>0</v>
      </c>
    </row>
    <row r="45" spans="1:11" ht="15" customHeight="1" outlineLevel="1">
      <c r="A45" s="4" t="s">
        <v>176</v>
      </c>
      <c r="B45" s="5">
        <v>-510</v>
      </c>
      <c r="C45" s="5">
        <v>-280</v>
      </c>
      <c r="D45" s="5">
        <v>129</v>
      </c>
      <c r="E45" s="5">
        <v>135</v>
      </c>
      <c r="F45" s="5">
        <v>-119</v>
      </c>
      <c r="G45" s="5">
        <v>250</v>
      </c>
      <c r="H45" s="5">
        <v>1406</v>
      </c>
      <c r="I45" s="5">
        <v>582</v>
      </c>
      <c r="J45" s="5">
        <v>-343</v>
      </c>
      <c r="K45" s="5">
        <v>264</v>
      </c>
    </row>
    <row r="46" spans="1:11" ht="15" customHeight="1" outlineLevel="2">
      <c r="A46" s="7" t="s">
        <v>177</v>
      </c>
      <c r="B46" s="8">
        <v>19</v>
      </c>
      <c r="C46" s="8">
        <v>189</v>
      </c>
      <c r="D46" s="8">
        <v>8</v>
      </c>
      <c r="E46" s="8">
        <v>149</v>
      </c>
      <c r="F46" s="16">
        <v>-53</v>
      </c>
      <c r="G46" s="8">
        <v>58</v>
      </c>
      <c r="H46" s="8">
        <v>48</v>
      </c>
      <c r="I46" s="8">
        <v>26</v>
      </c>
      <c r="J46" s="16">
        <v>-55</v>
      </c>
      <c r="K46" s="8">
        <v>231</v>
      </c>
    </row>
    <row r="47" spans="1:11" ht="15" customHeight="1" outlineLevel="2">
      <c r="A47" s="9" t="s">
        <v>178</v>
      </c>
      <c r="B47" s="5">
        <v>-529</v>
      </c>
      <c r="C47" s="5">
        <v>-469</v>
      </c>
      <c r="D47" s="5">
        <v>121</v>
      </c>
      <c r="E47" s="5">
        <v>-14</v>
      </c>
      <c r="F47" s="5">
        <v>-66</v>
      </c>
      <c r="G47" s="5">
        <v>192</v>
      </c>
      <c r="H47" s="5">
        <v>1358</v>
      </c>
      <c r="I47" s="5">
        <v>556</v>
      </c>
      <c r="J47" s="5">
        <v>-288</v>
      </c>
      <c r="K47" s="5">
        <v>33</v>
      </c>
    </row>
    <row r="48" spans="1:11" ht="15" customHeight="1" outlineLevel="3">
      <c r="A48" s="11" t="s">
        <v>179</v>
      </c>
      <c r="B48" s="8">
        <v>2786</v>
      </c>
      <c r="C48" s="8">
        <v>4964</v>
      </c>
      <c r="D48" s="8">
        <v>6463</v>
      </c>
      <c r="E48" s="8">
        <v>6455</v>
      </c>
      <c r="F48" s="8">
        <v>5942</v>
      </c>
      <c r="G48" s="8">
        <v>6251</v>
      </c>
      <c r="H48" s="8">
        <v>9862</v>
      </c>
      <c r="I48" s="8">
        <v>10503</v>
      </c>
      <c r="J48" s="8">
        <v>9932</v>
      </c>
      <c r="K48" s="8">
        <v>14420</v>
      </c>
    </row>
    <row r="49" spans="1:11" ht="15" customHeight="1" outlineLevel="3">
      <c r="A49" s="10" t="s">
        <v>180</v>
      </c>
      <c r="B49" s="20">
        <v>-3315</v>
      </c>
      <c r="C49" s="20">
        <v>-5433</v>
      </c>
      <c r="D49" s="20">
        <v>-6342</v>
      </c>
      <c r="E49" s="20">
        <v>-6469</v>
      </c>
      <c r="F49" s="20">
        <v>-6008</v>
      </c>
      <c r="G49" s="20">
        <v>-6059</v>
      </c>
      <c r="H49" s="20">
        <v>-8504</v>
      </c>
      <c r="I49" s="20">
        <v>-9947</v>
      </c>
      <c r="J49" s="20">
        <v>-10220</v>
      </c>
      <c r="K49" s="20">
        <v>-14387</v>
      </c>
    </row>
    <row r="50" spans="1:11" ht="15" customHeight="1" outlineLevel="1">
      <c r="A50" s="18" t="s">
        <v>151</v>
      </c>
      <c r="B50" s="3">
        <v>-280</v>
      </c>
      <c r="C50" s="3">
        <v>0</v>
      </c>
      <c r="D50" s="3">
        <v>-41</v>
      </c>
      <c r="E50" s="3">
        <v>7</v>
      </c>
      <c r="F50" s="3">
        <v>-15</v>
      </c>
      <c r="G50" s="3">
        <v>0</v>
      </c>
      <c r="H50" s="3">
        <v>-93</v>
      </c>
      <c r="I50" s="3">
        <v>8</v>
      </c>
      <c r="J50" s="3">
        <v>15</v>
      </c>
      <c r="K50" s="3">
        <v>-28</v>
      </c>
    </row>
    <row r="51" spans="1:11" ht="15" customHeight="1" outlineLevel="2">
      <c r="A51" s="6" t="s">
        <v>166</v>
      </c>
      <c r="B51" s="20">
        <v>-280</v>
      </c>
      <c r="C51" s="13">
        <v>0</v>
      </c>
      <c r="D51" s="20">
        <v>-41</v>
      </c>
      <c r="E51" s="19"/>
      <c r="F51" s="20">
        <v>-15</v>
      </c>
      <c r="G51" s="19"/>
      <c r="H51" s="20">
        <v>-93</v>
      </c>
      <c r="I51" s="19"/>
      <c r="J51" s="13">
        <v>0</v>
      </c>
      <c r="K51" s="20">
        <v>-28</v>
      </c>
    </row>
    <row r="52" spans="1:11" ht="15" customHeight="1" outlineLevel="2">
      <c r="A52" s="7" t="s">
        <v>167</v>
      </c>
      <c r="B52" s="22"/>
      <c r="C52" s="8">
        <v>0</v>
      </c>
      <c r="D52" s="22"/>
      <c r="E52" s="8">
        <v>7</v>
      </c>
      <c r="F52" s="22"/>
      <c r="G52" s="8">
        <v>0</v>
      </c>
      <c r="H52" s="22"/>
      <c r="I52" s="8">
        <v>8</v>
      </c>
      <c r="J52" s="8">
        <v>15</v>
      </c>
      <c r="K52" s="8">
        <v>0</v>
      </c>
    </row>
    <row r="53" spans="1:11" ht="15" customHeight="1" outlineLevel="1">
      <c r="A53" s="14" t="s">
        <v>181</v>
      </c>
      <c r="B53" s="20">
        <v>-985</v>
      </c>
      <c r="C53" s="20">
        <v>-849</v>
      </c>
      <c r="D53" s="20">
        <v>-408</v>
      </c>
      <c r="E53" s="20">
        <v>-212</v>
      </c>
      <c r="F53" s="20">
        <v>-281</v>
      </c>
      <c r="G53" s="13">
        <v>213</v>
      </c>
      <c r="H53" s="13">
        <v>1322</v>
      </c>
      <c r="I53" s="13">
        <v>584</v>
      </c>
      <c r="J53" s="20">
        <v>-330</v>
      </c>
      <c r="K53" s="13">
        <v>233</v>
      </c>
    </row>
    <row r="54" spans="1:11" ht="15" customHeight="1">
      <c r="A54" s="2" t="s">
        <v>182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" customHeight="1" outlineLevel="1">
      <c r="A55" s="14" t="s">
        <v>183</v>
      </c>
      <c r="B55" s="35">
        <v>-125</v>
      </c>
      <c r="C55" s="35">
        <v>-15</v>
      </c>
      <c r="D55" s="36">
        <v>57</v>
      </c>
      <c r="E55" s="35">
        <v>-43</v>
      </c>
      <c r="F55" s="36">
        <v>1</v>
      </c>
      <c r="G55" s="35">
        <v>-1</v>
      </c>
      <c r="H55" s="35">
        <v>-38</v>
      </c>
      <c r="I55" s="35">
        <v>-35</v>
      </c>
      <c r="J55" s="36">
        <v>10</v>
      </c>
      <c r="K55" s="35">
        <v>-39</v>
      </c>
    </row>
    <row r="56" spans="1:11" ht="15" customHeight="1" outlineLevel="1">
      <c r="A56" s="15" t="s">
        <v>184</v>
      </c>
      <c r="B56" s="33">
        <v>-685</v>
      </c>
      <c r="C56" s="33">
        <v>-344</v>
      </c>
      <c r="D56" s="33">
        <v>-79</v>
      </c>
      <c r="E56" s="33">
        <v>-237</v>
      </c>
      <c r="F56" s="32">
        <v>101</v>
      </c>
      <c r="G56" s="32">
        <v>650</v>
      </c>
      <c r="H56" s="33">
        <v>-460</v>
      </c>
      <c r="I56" s="32">
        <v>147</v>
      </c>
      <c r="J56" s="33">
        <v>-326</v>
      </c>
      <c r="K56" s="33">
        <v>-121</v>
      </c>
    </row>
    <row r="57" spans="1:11" ht="15" customHeight="1" outlineLevel="1">
      <c r="A57" s="4" t="s">
        <v>4</v>
      </c>
      <c r="B57" s="34">
        <v>704</v>
      </c>
      <c r="C57" s="34">
        <v>508</v>
      </c>
      <c r="D57" s="34">
        <v>277</v>
      </c>
      <c r="E57" s="34">
        <v>105</v>
      </c>
      <c r="F57" s="34">
        <v>437</v>
      </c>
      <c r="G57" s="34">
        <v>468</v>
      </c>
      <c r="H57" s="34">
        <v>81</v>
      </c>
      <c r="I57" s="34">
        <v>-540</v>
      </c>
      <c r="J57" s="34">
        <v>-18</v>
      </c>
      <c r="K57" s="34">
        <v>-490</v>
      </c>
    </row>
    <row r="58" spans="1:11" ht="15" customHeight="1" outlineLevel="2">
      <c r="A58" s="7" t="s">
        <v>185</v>
      </c>
      <c r="B58" s="32">
        <v>2.5787550000000001</v>
      </c>
      <c r="C58" s="32">
        <v>1.9097740000000001</v>
      </c>
      <c r="D58" s="32">
        <v>1.094862</v>
      </c>
      <c r="E58" s="32">
        <v>0.43933100000000003</v>
      </c>
      <c r="F58" s="32">
        <v>1.8755360000000001</v>
      </c>
      <c r="G58" s="32">
        <v>2</v>
      </c>
      <c r="H58" s="32">
        <v>0.30681799999999998</v>
      </c>
      <c r="I58" s="33">
        <v>-1.888112</v>
      </c>
      <c r="J58" s="33">
        <v>-6.3158000000000006E-2</v>
      </c>
      <c r="K58" s="33">
        <v>-1.701389</v>
      </c>
    </row>
    <row r="59" spans="1:11" ht="15" customHeight="1" outlineLevel="2">
      <c r="A59" s="6" t="s">
        <v>186</v>
      </c>
      <c r="B59" s="23">
        <v>7.8933410000000004</v>
      </c>
      <c r="C59" s="23">
        <v>6.1865059999999996</v>
      </c>
      <c r="D59" s="23">
        <v>3.3886150000000002</v>
      </c>
      <c r="E59" s="23">
        <v>2.1525259999999999</v>
      </c>
      <c r="F59" s="23">
        <v>12.057451</v>
      </c>
      <c r="G59" s="23">
        <v>18.331806</v>
      </c>
      <c r="H59" s="23">
        <v>1.4391099999999999</v>
      </c>
      <c r="I59" s="24">
        <v>-18.602087999999998</v>
      </c>
      <c r="J59" s="24">
        <v>-0.44104700000000002</v>
      </c>
      <c r="K59" s="24">
        <v>-18.904320999999999</v>
      </c>
    </row>
    <row r="60" spans="1:11" ht="15" customHeight="1">
      <c r="A60" s="28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D91E-3942-436F-B22E-EFF5B058E1BE}">
  <sheetPr>
    <tabColor theme="9" tint="0.39997558519241921"/>
    <outlinePr summaryBelow="0" summaryRight="0"/>
  </sheetPr>
  <dimension ref="A1:J59"/>
  <sheetViews>
    <sheetView zoomScale="145" zoomScaleNormal="145" workbookViewId="0">
      <pane ySplit="3" topLeftCell="A4" activePane="bottomLeft" state="frozen"/>
      <selection pane="bottomLeft" activeCell="A3" sqref="A3:G3"/>
    </sheetView>
  </sheetViews>
  <sheetFormatPr defaultColWidth="8.28515625" defaultRowHeight="15" customHeight="1"/>
  <cols>
    <col min="1" max="1" width="10.5703125" bestFit="1" customWidth="1"/>
    <col min="2" max="4" width="8.28515625" customWidth="1"/>
    <col min="5" max="5" width="10.5703125" bestFit="1" customWidth="1"/>
    <col min="6" max="6" width="8.28515625" customWidth="1"/>
  </cols>
  <sheetData>
    <row r="1" spans="1:10" ht="15" customHeight="1">
      <c r="A1" t="s">
        <v>187</v>
      </c>
    </row>
    <row r="3" spans="1:10" ht="15" customHeight="1">
      <c r="A3" s="93" t="s">
        <v>188</v>
      </c>
      <c r="B3" s="93" t="s">
        <v>189</v>
      </c>
      <c r="C3" s="93" t="s">
        <v>260</v>
      </c>
      <c r="E3" s="93" t="s">
        <v>188</v>
      </c>
      <c r="F3" s="93" t="s">
        <v>189</v>
      </c>
      <c r="G3" s="93" t="s">
        <v>260</v>
      </c>
      <c r="I3" s="94" t="s">
        <v>261</v>
      </c>
      <c r="J3" s="95">
        <f>SLOPE(C4:C58,G4:G58)</f>
        <v>1.514413591487876</v>
      </c>
    </row>
    <row r="4" spans="1:10" ht="15" customHeight="1">
      <c r="A4" s="92">
        <v>45657</v>
      </c>
      <c r="B4">
        <v>9</v>
      </c>
      <c r="C4" s="74">
        <f t="shared" ref="C4:C58" si="0">B4/B5-1</f>
        <v>-0.16201117318435754</v>
      </c>
      <c r="E4" s="92">
        <v>45657</v>
      </c>
      <c r="F4">
        <v>5881.6276482140902</v>
      </c>
      <c r="G4" s="74">
        <f t="shared" ref="G4:G58" si="1">F4/F5-1</f>
        <v>-2.4991239575695712E-2</v>
      </c>
    </row>
    <row r="5" spans="1:10" ht="15" customHeight="1">
      <c r="A5" s="92">
        <v>45625</v>
      </c>
      <c r="B5">
        <v>10.74</v>
      </c>
      <c r="C5" s="74">
        <f t="shared" si="0"/>
        <v>0.34082397003745335</v>
      </c>
      <c r="E5" s="92">
        <v>45625</v>
      </c>
      <c r="F5">
        <v>6032.3844122739201</v>
      </c>
      <c r="G5" s="74">
        <f t="shared" si="1"/>
        <v>5.7302510889594371E-2</v>
      </c>
    </row>
    <row r="6" spans="1:10" ht="15" customHeight="1">
      <c r="A6" s="92">
        <v>45596</v>
      </c>
      <c r="B6">
        <v>8.01</v>
      </c>
      <c r="C6" s="74">
        <f t="shared" si="0"/>
        <v>-9.4915254237288083E-2</v>
      </c>
      <c r="E6" s="92">
        <v>45596</v>
      </c>
      <c r="F6">
        <v>5705.4479206697297</v>
      </c>
      <c r="G6" s="74">
        <f t="shared" si="1"/>
        <v>-9.8979804465956223E-3</v>
      </c>
    </row>
    <row r="7" spans="1:10" ht="15" customHeight="1">
      <c r="A7" s="92">
        <v>45565</v>
      </c>
      <c r="B7">
        <v>8.85</v>
      </c>
      <c r="C7" s="74">
        <f t="shared" si="0"/>
        <v>3.4013605442175798E-3</v>
      </c>
      <c r="E7" s="92">
        <v>45565</v>
      </c>
      <c r="F7">
        <v>5762.4848833691203</v>
      </c>
      <c r="G7" s="74">
        <f t="shared" si="1"/>
        <v>2.0198233636760765E-2</v>
      </c>
    </row>
    <row r="8" spans="1:10" ht="15" customHeight="1">
      <c r="A8" s="92">
        <v>45534</v>
      </c>
      <c r="B8">
        <v>8.82</v>
      </c>
      <c r="C8" s="74">
        <f t="shared" si="0"/>
        <v>-0.24615384615384606</v>
      </c>
      <c r="E8" s="92">
        <v>45534</v>
      </c>
      <c r="F8">
        <v>5648.3972363167604</v>
      </c>
      <c r="G8" s="74">
        <f t="shared" si="1"/>
        <v>2.2833847758855441E-2</v>
      </c>
    </row>
    <row r="9" spans="1:10" ht="15" customHeight="1">
      <c r="A9" s="92">
        <v>45504</v>
      </c>
      <c r="B9">
        <v>11.7</v>
      </c>
      <c r="C9" s="74">
        <f t="shared" si="0"/>
        <v>3.0837004405286361E-2</v>
      </c>
      <c r="E9" s="92">
        <v>45504</v>
      </c>
      <c r="F9">
        <v>5522.3018368946596</v>
      </c>
      <c r="G9" s="74">
        <f t="shared" si="1"/>
        <v>1.1321199980694363E-2</v>
      </c>
    </row>
    <row r="10" spans="1:10" ht="15" customHeight="1">
      <c r="A10" s="92">
        <v>45471</v>
      </c>
      <c r="B10">
        <v>11.35</v>
      </c>
      <c r="C10" s="74">
        <f t="shared" si="0"/>
        <v>-7.7985377741673467E-2</v>
      </c>
      <c r="E10" s="92">
        <v>45471</v>
      </c>
      <c r="F10">
        <v>5460.4826211495201</v>
      </c>
      <c r="G10" s="74">
        <f t="shared" si="1"/>
        <v>3.4670776166344286E-2</v>
      </c>
    </row>
    <row r="11" spans="1:10" ht="15" customHeight="1">
      <c r="A11" s="92">
        <v>45443</v>
      </c>
      <c r="B11">
        <v>12.31</v>
      </c>
      <c r="C11" s="74">
        <f t="shared" si="0"/>
        <v>2.9264214046822667E-2</v>
      </c>
      <c r="E11" s="92">
        <v>45443</v>
      </c>
      <c r="F11">
        <v>5277.5073452655797</v>
      </c>
      <c r="G11" s="74">
        <f t="shared" si="1"/>
        <v>4.8020347997166146E-2</v>
      </c>
    </row>
    <row r="12" spans="1:10" ht="15" customHeight="1">
      <c r="A12" s="92">
        <v>45412</v>
      </c>
      <c r="B12">
        <v>11.96</v>
      </c>
      <c r="C12" s="74">
        <f t="shared" si="0"/>
        <v>-0.1289147851420247</v>
      </c>
      <c r="E12" s="92">
        <v>45412</v>
      </c>
      <c r="F12">
        <v>5035.6916784595196</v>
      </c>
      <c r="G12" s="74">
        <f t="shared" si="1"/>
        <v>-4.1615526114940793E-2</v>
      </c>
    </row>
    <row r="13" spans="1:10" ht="15" customHeight="1">
      <c r="A13" s="92">
        <v>45379</v>
      </c>
      <c r="B13">
        <v>13.73</v>
      </c>
      <c r="C13" s="74">
        <f t="shared" si="0"/>
        <v>0.15572390572390571</v>
      </c>
      <c r="E13" s="92">
        <v>45379</v>
      </c>
      <c r="F13">
        <v>5254.3544012624097</v>
      </c>
      <c r="G13" s="74">
        <f t="shared" si="1"/>
        <v>3.1019729510859406E-2</v>
      </c>
    </row>
    <row r="14" spans="1:10" ht="15" customHeight="1">
      <c r="A14" s="92">
        <v>45351</v>
      </c>
      <c r="B14">
        <v>11.88</v>
      </c>
      <c r="C14" s="74">
        <f t="shared" si="0"/>
        <v>-0.14777618364418932</v>
      </c>
      <c r="E14" s="92">
        <v>45351</v>
      </c>
      <c r="F14">
        <v>5096.2694998622401</v>
      </c>
      <c r="G14" s="74">
        <f t="shared" si="1"/>
        <v>5.1721125175185456E-2</v>
      </c>
    </row>
    <row r="15" spans="1:10" ht="15" customHeight="1">
      <c r="A15" s="92">
        <v>45322</v>
      </c>
      <c r="B15">
        <v>13.94</v>
      </c>
      <c r="C15" s="74">
        <f t="shared" si="0"/>
        <v>-2.6536312849162025E-2</v>
      </c>
      <c r="E15" s="92">
        <v>45322</v>
      </c>
      <c r="F15">
        <v>4845.6471757314503</v>
      </c>
      <c r="G15" s="74">
        <f t="shared" si="1"/>
        <v>1.5895278093019272E-2</v>
      </c>
    </row>
    <row r="16" spans="1:10" ht="15" customHeight="1">
      <c r="A16" s="92">
        <v>45289</v>
      </c>
      <c r="B16">
        <v>14.32</v>
      </c>
      <c r="C16" s="74">
        <f t="shared" si="0"/>
        <v>3.0957523398128073E-2</v>
      </c>
      <c r="E16" s="92">
        <v>45289</v>
      </c>
      <c r="F16">
        <v>4769.8294107906704</v>
      </c>
      <c r="G16" s="74">
        <f t="shared" si="1"/>
        <v>4.4229350796097133E-2</v>
      </c>
    </row>
    <row r="17" spans="1:7" ht="15" customHeight="1">
      <c r="A17" s="92">
        <v>45260</v>
      </c>
      <c r="B17">
        <v>13.89</v>
      </c>
      <c r="C17" s="74">
        <f t="shared" si="0"/>
        <v>0.16722689075630259</v>
      </c>
      <c r="E17" s="92">
        <v>45260</v>
      </c>
      <c r="F17">
        <v>4567.7986422755303</v>
      </c>
      <c r="G17" s="74">
        <f t="shared" si="1"/>
        <v>8.9178692794205761E-2</v>
      </c>
    </row>
    <row r="18" spans="1:7" ht="15" customHeight="1">
      <c r="A18" s="92">
        <v>45230</v>
      </c>
      <c r="B18">
        <v>11.9</v>
      </c>
      <c r="C18" s="74">
        <f t="shared" si="0"/>
        <v>-4.2638777152051444E-2</v>
      </c>
      <c r="E18" s="92">
        <v>45230</v>
      </c>
      <c r="F18">
        <v>4193.8009552474696</v>
      </c>
      <c r="G18" s="74">
        <f t="shared" si="1"/>
        <v>-2.1980405260002667E-2</v>
      </c>
    </row>
    <row r="19" spans="1:7" ht="15" customHeight="1">
      <c r="A19" s="92">
        <v>45198</v>
      </c>
      <c r="B19">
        <v>12.43</v>
      </c>
      <c r="C19" s="74">
        <f t="shared" si="0"/>
        <v>-3.7180480247869907E-2</v>
      </c>
      <c r="E19" s="92">
        <v>45198</v>
      </c>
      <c r="F19">
        <v>4288.05412263992</v>
      </c>
      <c r="G19" s="74">
        <f t="shared" si="1"/>
        <v>-4.8718754745776027E-2</v>
      </c>
    </row>
    <row r="20" spans="1:7" ht="15" customHeight="1">
      <c r="A20" s="92">
        <v>45169</v>
      </c>
      <c r="B20">
        <v>12.91</v>
      </c>
      <c r="C20" s="74">
        <f t="shared" si="0"/>
        <v>-0.19713930348258701</v>
      </c>
      <c r="E20" s="92">
        <v>45169</v>
      </c>
      <c r="F20">
        <v>4507.66179195929</v>
      </c>
      <c r="G20" s="74">
        <f t="shared" si="1"/>
        <v>-1.7716285687521038E-2</v>
      </c>
    </row>
    <row r="21" spans="1:7" ht="15" customHeight="1">
      <c r="A21" s="92">
        <v>45138</v>
      </c>
      <c r="B21">
        <v>16.079999999999998</v>
      </c>
      <c r="C21" s="74">
        <f t="shared" si="0"/>
        <v>0.17543859649122795</v>
      </c>
      <c r="E21" s="92">
        <v>45138</v>
      </c>
      <c r="F21">
        <v>4588.9611384978498</v>
      </c>
      <c r="G21" s="74">
        <f t="shared" si="1"/>
        <v>3.1138865858733045E-2</v>
      </c>
    </row>
    <row r="22" spans="1:7" ht="15" customHeight="1">
      <c r="A22" s="92">
        <v>45107</v>
      </c>
      <c r="B22">
        <v>13.68</v>
      </c>
      <c r="C22" s="74">
        <f t="shared" si="0"/>
        <v>-3.6416605972323657E-3</v>
      </c>
      <c r="E22" s="92">
        <v>45107</v>
      </c>
      <c r="F22">
        <v>4450.3813118092103</v>
      </c>
      <c r="G22" s="74">
        <f t="shared" si="1"/>
        <v>6.4728982734588714E-2</v>
      </c>
    </row>
    <row r="23" spans="1:7" ht="15" customHeight="1">
      <c r="A23" s="92">
        <v>45077</v>
      </c>
      <c r="B23">
        <v>13.73</v>
      </c>
      <c r="C23" s="74">
        <f t="shared" si="0"/>
        <v>0.28678537956888484</v>
      </c>
      <c r="E23" s="92">
        <v>45077</v>
      </c>
      <c r="F23">
        <v>4179.8254616673503</v>
      </c>
      <c r="G23" s="74">
        <f t="shared" si="1"/>
        <v>2.4808987107587388E-3</v>
      </c>
    </row>
    <row r="24" spans="1:7" ht="15" customHeight="1">
      <c r="A24" s="92">
        <v>45044</v>
      </c>
      <c r="B24">
        <v>10.67</v>
      </c>
      <c r="C24" s="74">
        <f t="shared" si="0"/>
        <v>-3.1760435571687839E-2</v>
      </c>
      <c r="E24" s="92">
        <v>45044</v>
      </c>
      <c r="F24">
        <v>4169.4814006359802</v>
      </c>
      <c r="G24" s="74">
        <f t="shared" si="1"/>
        <v>1.4642098118692104E-2</v>
      </c>
    </row>
    <row r="25" spans="1:7" ht="15" customHeight="1">
      <c r="A25" s="92">
        <v>45016</v>
      </c>
      <c r="B25">
        <v>11.02</v>
      </c>
      <c r="C25" s="74">
        <f t="shared" si="0"/>
        <v>-2.9929577464788748E-2</v>
      </c>
      <c r="E25" s="92">
        <v>45016</v>
      </c>
      <c r="F25">
        <v>4109.3124446214697</v>
      </c>
      <c r="G25" s="74">
        <f t="shared" si="1"/>
        <v>3.5051290624089848E-2</v>
      </c>
    </row>
    <row r="26" spans="1:7" ht="15" customHeight="1">
      <c r="A26" s="92">
        <v>44985</v>
      </c>
      <c r="B26">
        <v>11.36</v>
      </c>
      <c r="C26" s="74">
        <f t="shared" si="0"/>
        <v>9.7777777777776631E-3</v>
      </c>
      <c r="E26" s="92">
        <v>44985</v>
      </c>
      <c r="F26">
        <v>3970.15344248664</v>
      </c>
      <c r="G26" s="74">
        <f t="shared" si="1"/>
        <v>-2.6112514640123874E-2</v>
      </c>
    </row>
    <row r="27" spans="1:7" ht="15" customHeight="1">
      <c r="A27" s="92">
        <v>44957</v>
      </c>
      <c r="B27">
        <v>11.25</v>
      </c>
      <c r="C27" s="74">
        <f t="shared" si="0"/>
        <v>0.10837438423645307</v>
      </c>
      <c r="E27" s="92">
        <v>44957</v>
      </c>
      <c r="F27">
        <v>4076.6038194027801</v>
      </c>
      <c r="G27" s="74">
        <f t="shared" si="1"/>
        <v>6.1754771067837666E-2</v>
      </c>
    </row>
    <row r="28" spans="1:7" ht="15" customHeight="1">
      <c r="A28" s="92">
        <v>44925</v>
      </c>
      <c r="B28">
        <v>10.15</v>
      </c>
      <c r="C28" s="74">
        <f t="shared" si="0"/>
        <v>-9.5365418894830634E-2</v>
      </c>
      <c r="E28" s="92">
        <v>44925</v>
      </c>
      <c r="F28">
        <v>3839.4965866768098</v>
      </c>
      <c r="G28" s="74">
        <f t="shared" si="1"/>
        <v>-5.8971490676859251E-2</v>
      </c>
    </row>
    <row r="29" spans="1:7" ht="15" customHeight="1">
      <c r="A29" s="92">
        <v>44895</v>
      </c>
      <c r="B29">
        <v>11.22</v>
      </c>
      <c r="C29" s="74">
        <f t="shared" si="0"/>
        <v>-0.116535433070866</v>
      </c>
      <c r="E29" s="92">
        <v>44895</v>
      </c>
      <c r="F29">
        <v>4080.1065521792402</v>
      </c>
      <c r="G29" s="74">
        <f t="shared" si="1"/>
        <v>5.3752726026199626E-2</v>
      </c>
    </row>
    <row r="30" spans="1:7" ht="15" customHeight="1">
      <c r="A30" s="92">
        <v>44865</v>
      </c>
      <c r="B30">
        <v>12.7</v>
      </c>
      <c r="C30" s="74">
        <f t="shared" si="0"/>
        <v>0.25867195242814667</v>
      </c>
      <c r="E30" s="92">
        <v>44865</v>
      </c>
      <c r="F30">
        <v>3871.9772214167401</v>
      </c>
      <c r="G30" s="74">
        <f t="shared" si="1"/>
        <v>7.986144380964455E-2</v>
      </c>
    </row>
    <row r="31" spans="1:7" ht="15" customHeight="1">
      <c r="A31" s="92">
        <v>44834</v>
      </c>
      <c r="B31">
        <v>10.09</v>
      </c>
      <c r="C31" s="74">
        <f t="shared" si="0"/>
        <v>-0.28082679971489666</v>
      </c>
      <c r="E31" s="92">
        <v>44834</v>
      </c>
      <c r="F31">
        <v>3585.6241035486801</v>
      </c>
      <c r="G31" s="74">
        <f t="shared" si="1"/>
        <v>-9.339443508913714E-2</v>
      </c>
    </row>
    <row r="32" spans="1:7" ht="15" customHeight="1">
      <c r="A32" s="92">
        <v>44804</v>
      </c>
      <c r="B32">
        <v>14.03</v>
      </c>
      <c r="C32" s="74">
        <f t="shared" si="0"/>
        <v>0.14250814332247552</v>
      </c>
      <c r="E32" s="92">
        <v>44804</v>
      </c>
      <c r="F32">
        <v>3954.9990010277702</v>
      </c>
      <c r="G32" s="74">
        <f t="shared" si="1"/>
        <v>-4.2439381289906875E-2</v>
      </c>
    </row>
    <row r="33" spans="1:7" ht="15" customHeight="1">
      <c r="A33" s="92">
        <v>44771</v>
      </c>
      <c r="B33">
        <v>12.28</v>
      </c>
      <c r="C33" s="74">
        <f t="shared" si="0"/>
        <v>0.14659197012138181</v>
      </c>
      <c r="E33" s="92">
        <v>44771</v>
      </c>
      <c r="F33">
        <v>4130.2857738191597</v>
      </c>
      <c r="G33" s="74">
        <f t="shared" si="1"/>
        <v>9.1113834372415159E-2</v>
      </c>
    </row>
    <row r="34" spans="1:7" ht="15" customHeight="1">
      <c r="A34" s="92">
        <v>44742</v>
      </c>
      <c r="B34">
        <v>10.71</v>
      </c>
      <c r="C34" s="74">
        <f t="shared" si="0"/>
        <v>-0.17105263157894735</v>
      </c>
      <c r="E34" s="92">
        <v>44742</v>
      </c>
      <c r="F34">
        <v>3785.3848459311398</v>
      </c>
      <c r="G34" s="74">
        <f t="shared" si="1"/>
        <v>-8.3918328754958527E-2</v>
      </c>
    </row>
    <row r="35" spans="1:7" ht="15" customHeight="1">
      <c r="A35" s="92">
        <v>44712</v>
      </c>
      <c r="B35">
        <v>12.92</v>
      </c>
      <c r="C35" s="74">
        <f t="shared" si="0"/>
        <v>-3.0030030030030019E-2</v>
      </c>
      <c r="E35" s="92">
        <v>44712</v>
      </c>
      <c r="F35">
        <v>4132.1477819618904</v>
      </c>
      <c r="G35" s="74">
        <f t="shared" si="1"/>
        <v>5.3575877763556434E-5</v>
      </c>
    </row>
    <row r="36" spans="1:7" ht="15" customHeight="1">
      <c r="A36" s="92">
        <v>44680</v>
      </c>
      <c r="B36">
        <v>13.32</v>
      </c>
      <c r="C36" s="74">
        <f t="shared" si="0"/>
        <v>-6.7879636109167141E-2</v>
      </c>
      <c r="E36" s="92">
        <v>44680</v>
      </c>
      <c r="F36">
        <v>4131.9264103776004</v>
      </c>
      <c r="G36" s="74">
        <f t="shared" si="1"/>
        <v>-8.7958206365865932E-2</v>
      </c>
    </row>
    <row r="37" spans="1:7" ht="15" customHeight="1">
      <c r="A37" s="92">
        <v>44651</v>
      </c>
      <c r="B37">
        <v>14.29</v>
      </c>
      <c r="C37" s="74">
        <f t="shared" si="0"/>
        <v>-7.7469335054874189E-2</v>
      </c>
      <c r="E37" s="92">
        <v>44651</v>
      </c>
      <c r="F37">
        <v>4530.4134516834702</v>
      </c>
      <c r="G37" s="74">
        <f t="shared" si="1"/>
        <v>3.5774229488720666E-2</v>
      </c>
    </row>
    <row r="38" spans="1:7" ht="15" customHeight="1">
      <c r="A38" s="92">
        <v>44620</v>
      </c>
      <c r="B38">
        <v>15.49</v>
      </c>
      <c r="C38" s="74">
        <f t="shared" si="0"/>
        <v>-0.2527737578388809</v>
      </c>
      <c r="E38" s="92">
        <v>44620</v>
      </c>
      <c r="F38">
        <v>4373.9391488044403</v>
      </c>
      <c r="G38" s="74">
        <f t="shared" si="1"/>
        <v>-3.1360189955731421E-2</v>
      </c>
    </row>
    <row r="39" spans="1:7" ht="15" customHeight="1">
      <c r="A39" s="92">
        <v>44592</v>
      </c>
      <c r="B39">
        <v>20.73</v>
      </c>
      <c r="C39" s="74">
        <f t="shared" si="0"/>
        <v>-2.7673545966228841E-2</v>
      </c>
      <c r="E39" s="92">
        <v>44592</v>
      </c>
      <c r="F39">
        <v>4515.5475786242396</v>
      </c>
      <c r="G39" s="74">
        <f t="shared" si="1"/>
        <v>-5.2586187994451805E-2</v>
      </c>
    </row>
    <row r="40" spans="1:7" ht="15" customHeight="1">
      <c r="A40" s="92">
        <v>44561</v>
      </c>
      <c r="B40">
        <v>21.32</v>
      </c>
      <c r="C40" s="74">
        <f t="shared" si="0"/>
        <v>6.0169070114370893E-2</v>
      </c>
      <c r="E40" s="92">
        <v>44561</v>
      </c>
      <c r="F40">
        <v>4766.1829724283098</v>
      </c>
      <c r="G40" s="74">
        <f t="shared" si="1"/>
        <v>4.3613184423159534E-2</v>
      </c>
    </row>
    <row r="41" spans="1:7" ht="15" customHeight="1">
      <c r="A41" s="92">
        <v>44530</v>
      </c>
      <c r="B41">
        <v>20.11</v>
      </c>
      <c r="C41" s="74">
        <f t="shared" si="0"/>
        <v>5.177824267782416E-2</v>
      </c>
      <c r="E41" s="92">
        <v>44530</v>
      </c>
      <c r="F41">
        <v>4567.0014940092397</v>
      </c>
      <c r="G41" s="74">
        <f t="shared" si="1"/>
        <v>-8.3326852720170264E-3</v>
      </c>
    </row>
    <row r="42" spans="1:7" ht="15" customHeight="1">
      <c r="A42" s="92">
        <v>44498</v>
      </c>
      <c r="B42">
        <v>19.12</v>
      </c>
      <c r="C42" s="74">
        <f t="shared" si="0"/>
        <v>8.0225988700564965E-2</v>
      </c>
      <c r="E42" s="92">
        <v>44498</v>
      </c>
      <c r="F42">
        <v>4605.3766481776001</v>
      </c>
      <c r="G42" s="74">
        <f t="shared" si="1"/>
        <v>6.9143405229560972E-2</v>
      </c>
    </row>
    <row r="43" spans="1:7" ht="15" customHeight="1">
      <c r="A43" s="92">
        <v>44469</v>
      </c>
      <c r="B43">
        <v>17.7</v>
      </c>
      <c r="C43" s="74">
        <f t="shared" si="0"/>
        <v>0.11742424242424243</v>
      </c>
      <c r="E43" s="92">
        <v>44469</v>
      </c>
      <c r="F43">
        <v>4307.5387507897103</v>
      </c>
      <c r="G43" s="74">
        <f t="shared" si="1"/>
        <v>-4.7569441768317566E-2</v>
      </c>
    </row>
    <row r="44" spans="1:7" ht="15" customHeight="1">
      <c r="A44" s="92">
        <v>44439</v>
      </c>
      <c r="B44">
        <v>15.84</v>
      </c>
      <c r="C44" s="74">
        <f t="shared" si="0"/>
        <v>8.274984086569015E-3</v>
      </c>
      <c r="E44" s="92">
        <v>44439</v>
      </c>
      <c r="F44">
        <v>4522.6801193645497</v>
      </c>
      <c r="G44" s="74">
        <f t="shared" si="1"/>
        <v>2.8989418612475282E-2</v>
      </c>
    </row>
    <row r="45" spans="1:7" ht="15" customHeight="1">
      <c r="A45" s="92">
        <v>44407</v>
      </c>
      <c r="B45">
        <v>15.71</v>
      </c>
      <c r="C45" s="74">
        <f t="shared" si="0"/>
        <v>-8.3965014577259356E-2</v>
      </c>
      <c r="E45" s="92">
        <v>44407</v>
      </c>
      <c r="F45">
        <v>4395.2639721631804</v>
      </c>
      <c r="G45" s="74">
        <f t="shared" si="1"/>
        <v>2.2749835231048898E-2</v>
      </c>
    </row>
    <row r="46" spans="1:7" ht="15" customHeight="1">
      <c r="A46" s="92">
        <v>44377</v>
      </c>
      <c r="B46">
        <v>17.149999999999999</v>
      </c>
      <c r="C46" s="74">
        <f t="shared" si="0"/>
        <v>-0.13514876449823499</v>
      </c>
      <c r="E46" s="92">
        <v>44377</v>
      </c>
      <c r="F46">
        <v>4297.4966318818797</v>
      </c>
      <c r="G46" s="74">
        <f t="shared" si="1"/>
        <v>2.2213042500698776E-2</v>
      </c>
    </row>
    <row r="47" spans="1:7" ht="15" customHeight="1">
      <c r="A47" s="92">
        <v>44344</v>
      </c>
      <c r="B47">
        <v>19.829999999999998</v>
      </c>
      <c r="C47" s="74">
        <f t="shared" si="0"/>
        <v>0.15223707147007537</v>
      </c>
      <c r="E47" s="92">
        <v>44344</v>
      </c>
      <c r="F47">
        <v>4204.1105456536397</v>
      </c>
      <c r="G47" s="74">
        <f t="shared" si="1"/>
        <v>5.4854558315315938E-3</v>
      </c>
    </row>
    <row r="48" spans="1:7" ht="15" customHeight="1">
      <c r="A48" s="92">
        <v>44316</v>
      </c>
      <c r="B48">
        <v>17.21</v>
      </c>
      <c r="C48" s="74">
        <f t="shared" si="0"/>
        <v>-2.0489470688673794E-2</v>
      </c>
      <c r="E48" s="92">
        <v>44316</v>
      </c>
      <c r="F48">
        <v>4181.1748954407904</v>
      </c>
      <c r="G48" s="74">
        <f t="shared" si="1"/>
        <v>5.2425959750072471E-2</v>
      </c>
    </row>
    <row r="49" spans="1:7" ht="15" customHeight="1">
      <c r="A49" s="92">
        <v>44286</v>
      </c>
      <c r="B49">
        <v>17.57</v>
      </c>
      <c r="C49" s="74">
        <f t="shared" si="0"/>
        <v>4.5211183819155343E-2</v>
      </c>
      <c r="E49" s="92">
        <v>44286</v>
      </c>
      <c r="F49">
        <v>3972.8922084302499</v>
      </c>
      <c r="G49" s="74">
        <f t="shared" si="1"/>
        <v>4.2439281964456788E-2</v>
      </c>
    </row>
    <row r="50" spans="1:7" ht="15" customHeight="1">
      <c r="A50" s="92">
        <v>44253</v>
      </c>
      <c r="B50">
        <v>16.809999999999999</v>
      </c>
      <c r="C50" s="74">
        <f t="shared" si="0"/>
        <v>0.59336492890995229</v>
      </c>
      <c r="E50" s="92">
        <v>44253</v>
      </c>
      <c r="F50">
        <v>3811.1497495982799</v>
      </c>
      <c r="G50" s="74">
        <f t="shared" si="1"/>
        <v>2.609066448144981E-2</v>
      </c>
    </row>
    <row r="51" spans="1:7" ht="15" customHeight="1">
      <c r="A51" s="92">
        <v>44225</v>
      </c>
      <c r="B51">
        <v>10.55</v>
      </c>
      <c r="C51" s="74">
        <f t="shared" si="0"/>
        <v>-3.2997250229147568E-2</v>
      </c>
      <c r="E51" s="92">
        <v>44225</v>
      </c>
      <c r="F51">
        <v>3714.24268977664</v>
      </c>
      <c r="G51" s="74">
        <f t="shared" si="1"/>
        <v>-1.1136310777433933E-2</v>
      </c>
    </row>
    <row r="52" spans="1:7" ht="15" customHeight="1">
      <c r="A52" s="92">
        <v>44196</v>
      </c>
      <c r="B52">
        <v>10.91</v>
      </c>
      <c r="C52" s="74">
        <f t="shared" si="0"/>
        <v>4.702495201535517E-2</v>
      </c>
      <c r="E52" s="92">
        <v>44196</v>
      </c>
      <c r="F52">
        <v>3756.0714689572001</v>
      </c>
      <c r="G52" s="74">
        <f t="shared" si="1"/>
        <v>3.7120829823123147E-2</v>
      </c>
    </row>
    <row r="53" spans="1:7" ht="15" customHeight="1">
      <c r="A53" s="92">
        <v>44165</v>
      </c>
      <c r="B53">
        <v>10.42</v>
      </c>
      <c r="C53" s="74">
        <f t="shared" si="0"/>
        <v>0.25845410628019327</v>
      </c>
      <c r="E53" s="92">
        <v>44165</v>
      </c>
      <c r="F53">
        <v>3621.6334306946501</v>
      </c>
      <c r="G53" s="74">
        <f t="shared" si="1"/>
        <v>0.10754701680089229</v>
      </c>
    </row>
    <row r="54" spans="1:7" ht="15" customHeight="1">
      <c r="A54" s="92">
        <v>44134</v>
      </c>
      <c r="B54">
        <v>8.2799999999999994</v>
      </c>
      <c r="C54" s="74">
        <f t="shared" si="0"/>
        <v>7.9530638852672642E-2</v>
      </c>
      <c r="E54" s="92">
        <v>44134</v>
      </c>
      <c r="F54">
        <v>3269.9590859407499</v>
      </c>
      <c r="G54" s="74">
        <f t="shared" si="1"/>
        <v>-2.7665753706912155E-2</v>
      </c>
    </row>
    <row r="55" spans="1:7" ht="15" customHeight="1">
      <c r="A55" s="92">
        <v>44104</v>
      </c>
      <c r="B55">
        <v>7.67</v>
      </c>
      <c r="C55" s="74">
        <f t="shared" si="0"/>
        <v>-0.20062532569046387</v>
      </c>
      <c r="E55" s="92">
        <v>44104</v>
      </c>
      <c r="F55">
        <v>3362.9989876496602</v>
      </c>
      <c r="G55" s="74">
        <f t="shared" si="1"/>
        <v>-3.9227837158299805E-2</v>
      </c>
    </row>
    <row r="56" spans="1:7" ht="15" customHeight="1">
      <c r="A56" s="92">
        <v>44074</v>
      </c>
      <c r="B56">
        <v>9.5950000000000006</v>
      </c>
      <c r="C56" s="74">
        <f t="shared" si="0"/>
        <v>6.4927857935627165E-2</v>
      </c>
      <c r="E56" s="92">
        <v>44074</v>
      </c>
      <c r="F56">
        <v>3500.3085202872999</v>
      </c>
      <c r="G56" s="74">
        <f t="shared" si="1"/>
        <v>7.0062638515223874E-2</v>
      </c>
    </row>
    <row r="57" spans="1:7" ht="15" customHeight="1">
      <c r="A57" s="92">
        <v>44043</v>
      </c>
      <c r="B57">
        <v>9.01</v>
      </c>
      <c r="C57" s="74">
        <f t="shared" si="0"/>
        <v>7.2666294019003708E-3</v>
      </c>
      <c r="E57" s="92">
        <v>44043</v>
      </c>
      <c r="F57">
        <v>3271.1248802632599</v>
      </c>
      <c r="G57" s="74">
        <f t="shared" si="1"/>
        <v>5.5104528942983233E-2</v>
      </c>
    </row>
    <row r="58" spans="1:7" ht="15" customHeight="1">
      <c r="A58" s="92">
        <v>44012</v>
      </c>
      <c r="B58">
        <v>8.9450000000000003</v>
      </c>
      <c r="C58" s="74">
        <f t="shared" si="0"/>
        <v>0.1754270696452036</v>
      </c>
      <c r="E58" s="92">
        <v>44012</v>
      </c>
      <c r="F58">
        <v>3100.2851286595401</v>
      </c>
      <c r="G58" s="74">
        <f t="shared" si="1"/>
        <v>1.8388423939772469E-2</v>
      </c>
    </row>
    <row r="59" spans="1:7" ht="15" customHeight="1">
      <c r="A59" s="92">
        <v>43980</v>
      </c>
      <c r="B59">
        <v>7.61</v>
      </c>
      <c r="E59" s="92">
        <v>43980</v>
      </c>
      <c r="F59">
        <v>3044.3051548697599</v>
      </c>
    </row>
  </sheetData>
  <autoFilter ref="A3:G3" xr:uid="{C971D91E-3942-436F-B22E-EFF5B058E1BE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122B-DCE7-47AE-9842-3778A028242C}">
  <sheetPr>
    <tabColor theme="9" tint="0.39997558519241921"/>
  </sheetPr>
  <dimension ref="A1:I44"/>
  <sheetViews>
    <sheetView topLeftCell="A6" zoomScale="145" zoomScaleNormal="145" workbookViewId="0">
      <selection activeCell="B44" sqref="B44"/>
    </sheetView>
  </sheetViews>
  <sheetFormatPr defaultRowHeight="12.75"/>
  <cols>
    <col min="1" max="1" width="26.5703125" bestFit="1" customWidth="1"/>
    <col min="2" max="2" width="9.5703125" bestFit="1" customWidth="1"/>
    <col min="3" max="3" width="8.5703125" bestFit="1" customWidth="1"/>
    <col min="4" max="5" width="10.140625" bestFit="1" customWidth="1"/>
    <col min="6" max="6" width="9.5703125" bestFit="1" customWidth="1"/>
    <col min="7" max="8" width="10.140625" bestFit="1" customWidth="1"/>
  </cols>
  <sheetData>
    <row r="1" spans="1:9">
      <c r="A1" s="78" t="s">
        <v>233</v>
      </c>
      <c r="B1" s="78" t="str">
        <f>'GT-US-IS'!E8</f>
        <v>DEC '18</v>
      </c>
      <c r="C1" s="78" t="str">
        <f>'GT-US-IS'!F8</f>
        <v>DEC '19</v>
      </c>
      <c r="D1" s="78" t="str">
        <f>'GT-US-IS'!G8</f>
        <v>DEC '20</v>
      </c>
      <c r="E1" s="78" t="str">
        <f>'GT-US-IS'!H8</f>
        <v>DEC '21</v>
      </c>
      <c r="F1" s="78" t="str">
        <f>'GT-US-IS'!I8</f>
        <v>DEC '22</v>
      </c>
      <c r="G1" s="78" t="str">
        <f>'GT-US-IS'!J8</f>
        <v>DEC '23</v>
      </c>
      <c r="H1" s="78" t="str">
        <f>'GT-US-IS'!K8</f>
        <v>DEC '24</v>
      </c>
    </row>
    <row r="2" spans="1:9" ht="13.5" thickBot="1"/>
    <row r="3" spans="1:9">
      <c r="A3" s="79" t="s">
        <v>234</v>
      </c>
      <c r="B3" s="80">
        <f>'GT-US-IS'!E10</f>
        <v>15475</v>
      </c>
      <c r="C3" s="80">
        <f>'GT-US-IS'!F10</f>
        <v>14745</v>
      </c>
      <c r="D3" s="80">
        <f>'GT-US-IS'!G10</f>
        <v>12321</v>
      </c>
      <c r="E3" s="80">
        <f>'GT-US-IS'!H10</f>
        <v>17478</v>
      </c>
      <c r="F3" s="80">
        <f>'GT-US-IS'!I10</f>
        <v>20805</v>
      </c>
      <c r="G3" s="80">
        <f>'GT-US-IS'!J10</f>
        <v>20066</v>
      </c>
      <c r="H3" s="81">
        <f>'GT-US-IS'!K10</f>
        <v>18878</v>
      </c>
      <c r="I3" s="12"/>
    </row>
    <row r="4" spans="1:9">
      <c r="A4" s="82" t="s">
        <v>235</v>
      </c>
      <c r="C4" s="77">
        <f>C3/B3-1</f>
        <v>-4.7172859450727023E-2</v>
      </c>
      <c r="D4" s="77">
        <f t="shared" ref="D4:H4" si="0">D3/C3-1</f>
        <v>-0.16439471007121054</v>
      </c>
      <c r="E4" s="77">
        <f t="shared" si="0"/>
        <v>0.41855368882395916</v>
      </c>
      <c r="F4" s="77">
        <f t="shared" si="0"/>
        <v>0.19035358736697572</v>
      </c>
      <c r="G4" s="77">
        <f t="shared" si="0"/>
        <v>-3.5520307618361002E-2</v>
      </c>
      <c r="H4" s="83">
        <f t="shared" si="0"/>
        <v>-5.9204624738363409E-2</v>
      </c>
    </row>
    <row r="5" spans="1:9">
      <c r="A5" s="82" t="s">
        <v>0</v>
      </c>
      <c r="B5" s="12">
        <f>'GT-US-IS'!E21</f>
        <v>1210</v>
      </c>
      <c r="C5" s="12">
        <f>'GT-US-IS'!F21</f>
        <v>821</v>
      </c>
      <c r="D5" s="12">
        <f>'GT-US-IS'!G21</f>
        <v>-107</v>
      </c>
      <c r="E5" s="12">
        <f>'GT-US-IS'!H21</f>
        <v>1019</v>
      </c>
      <c r="F5" s="12">
        <f>'GT-US-IS'!I21</f>
        <v>950</v>
      </c>
      <c r="G5" s="12">
        <f>'GT-US-IS'!J21</f>
        <v>653</v>
      </c>
      <c r="H5" s="84">
        <f>'GT-US-IS'!K21</f>
        <v>773</v>
      </c>
    </row>
    <row r="6" spans="1:9" ht="13.5" thickBot="1">
      <c r="A6" s="85" t="s">
        <v>227</v>
      </c>
      <c r="B6" s="86">
        <f>B5/B3</f>
        <v>7.8190630048465271E-2</v>
      </c>
      <c r="C6" s="86">
        <f t="shared" ref="C6:H6" si="1">C5/C3</f>
        <v>5.5679891488640214E-2</v>
      </c>
      <c r="D6" s="86">
        <f t="shared" si="1"/>
        <v>-8.6843600357113873E-3</v>
      </c>
      <c r="E6" s="86">
        <f t="shared" si="1"/>
        <v>5.8301865201968187E-2</v>
      </c>
      <c r="F6" s="86">
        <f t="shared" si="1"/>
        <v>4.5662100456621002E-2</v>
      </c>
      <c r="G6" s="86">
        <f t="shared" si="1"/>
        <v>3.2542609389016243E-2</v>
      </c>
      <c r="H6" s="87">
        <f t="shared" si="1"/>
        <v>4.0947134230321008E-2</v>
      </c>
    </row>
    <row r="7" spans="1:9" ht="13.5" thickBot="1"/>
    <row r="8" spans="1:9">
      <c r="A8" s="79" t="s">
        <v>239</v>
      </c>
      <c r="B8" s="80">
        <f>'GT-US-IS'!E42</f>
        <v>1011</v>
      </c>
      <c r="C8" s="80">
        <f>'GT-US-IS'!F42</f>
        <v>177</v>
      </c>
      <c r="D8" s="80">
        <f>'GT-US-IS'!G42</f>
        <v>-1140</v>
      </c>
      <c r="E8" s="80">
        <f>'GT-US-IS'!H42</f>
        <v>513</v>
      </c>
      <c r="F8" s="80">
        <f>'GT-US-IS'!I42</f>
        <v>399</v>
      </c>
      <c r="G8" s="80">
        <f>'GT-US-IS'!J42</f>
        <v>-677</v>
      </c>
      <c r="H8" s="81">
        <f>'GT-US-IS'!K42</f>
        <v>155</v>
      </c>
    </row>
    <row r="9" spans="1:9">
      <c r="A9" s="82" t="s">
        <v>240</v>
      </c>
      <c r="B9" s="12">
        <f>'GT-US-IS'!E43</f>
        <v>303</v>
      </c>
      <c r="C9" s="12">
        <f>'GT-US-IS'!F43</f>
        <v>474</v>
      </c>
      <c r="D9" s="12">
        <f>'GT-US-IS'!G43</f>
        <v>110</v>
      </c>
      <c r="E9" s="12">
        <f>'GT-US-IS'!H43</f>
        <v>-267</v>
      </c>
      <c r="F9" s="12">
        <f>'GT-US-IS'!I43</f>
        <v>190</v>
      </c>
      <c r="G9" s="12">
        <f>'GT-US-IS'!J43</f>
        <v>10</v>
      </c>
      <c r="H9" s="84">
        <f>'GT-US-IS'!K43</f>
        <v>95</v>
      </c>
    </row>
    <row r="10" spans="1:9">
      <c r="A10" s="82" t="s">
        <v>237</v>
      </c>
      <c r="B10" s="77">
        <f>B9/B8</f>
        <v>0.29970326409495551</v>
      </c>
      <c r="C10" s="77">
        <f t="shared" ref="C10:H10" si="2">C9/C8</f>
        <v>2.6779661016949152</v>
      </c>
      <c r="D10" s="77">
        <f t="shared" si="2"/>
        <v>-9.6491228070175433E-2</v>
      </c>
      <c r="E10" s="77">
        <f t="shared" si="2"/>
        <v>-0.52046783625730997</v>
      </c>
      <c r="F10" s="77">
        <f t="shared" si="2"/>
        <v>0.47619047619047616</v>
      </c>
      <c r="G10" s="77">
        <f t="shared" si="2"/>
        <v>-1.4771048744460856E-2</v>
      </c>
      <c r="H10" s="83">
        <f t="shared" si="2"/>
        <v>0.61290322580645162</v>
      </c>
    </row>
    <row r="11" spans="1:9" ht="13.5" thickBot="1">
      <c r="A11" s="85" t="s">
        <v>241</v>
      </c>
      <c r="B11" s="86"/>
      <c r="C11" s="86"/>
      <c r="D11" s="86" t="s">
        <v>242</v>
      </c>
      <c r="E11" s="86" t="s">
        <v>243</v>
      </c>
      <c r="F11" s="86"/>
      <c r="G11" s="86" t="s">
        <v>242</v>
      </c>
      <c r="H11" s="87"/>
    </row>
    <row r="12" spans="1:9" ht="13.5" thickBot="1">
      <c r="B12" s="74"/>
      <c r="C12" s="74"/>
      <c r="D12" s="74"/>
      <c r="E12" s="74"/>
      <c r="F12" s="74"/>
      <c r="G12" s="74"/>
      <c r="H12" s="74"/>
    </row>
    <row r="13" spans="1:9">
      <c r="A13" s="79" t="s">
        <v>96</v>
      </c>
      <c r="B13" s="88">
        <f>'GT-US-IS'!E13</f>
        <v>778</v>
      </c>
      <c r="C13" s="88">
        <f>'GT-US-IS'!F13</f>
        <v>795</v>
      </c>
      <c r="D13" s="88">
        <f>'GT-US-IS'!G13</f>
        <v>859</v>
      </c>
      <c r="E13" s="88">
        <f>'GT-US-IS'!H13</f>
        <v>883</v>
      </c>
      <c r="F13" s="88">
        <f>'GT-US-IS'!I13</f>
        <v>964</v>
      </c>
      <c r="G13" s="88">
        <f>'GT-US-IS'!J13</f>
        <v>1001</v>
      </c>
      <c r="H13" s="89">
        <f>'GT-US-IS'!K13</f>
        <v>1049</v>
      </c>
    </row>
    <row r="14" spans="1:9" ht="13.5" thickBot="1">
      <c r="A14" s="85" t="s">
        <v>246</v>
      </c>
      <c r="B14" s="86">
        <f>B13/B3</f>
        <v>5.0274636510500806E-2</v>
      </c>
      <c r="C14" s="86">
        <f t="shared" ref="C14:H14" si="3">C13/C3</f>
        <v>5.3916581892166839E-2</v>
      </c>
      <c r="D14" s="86">
        <f t="shared" si="3"/>
        <v>6.9718367015664306E-2</v>
      </c>
      <c r="E14" s="86">
        <f t="shared" si="3"/>
        <v>5.0520654537132392E-2</v>
      </c>
      <c r="F14" s="86">
        <f t="shared" si="3"/>
        <v>4.6335015621244896E-2</v>
      </c>
      <c r="G14" s="86">
        <f t="shared" si="3"/>
        <v>4.9885378251769162E-2</v>
      </c>
      <c r="H14" s="87">
        <f t="shared" si="3"/>
        <v>5.5567327047356709E-2</v>
      </c>
    </row>
    <row r="15" spans="1:9" ht="13.5" thickBot="1">
      <c r="C15" s="74"/>
      <c r="D15" s="74"/>
      <c r="E15" s="74"/>
      <c r="F15" s="74"/>
      <c r="G15" s="74"/>
      <c r="H15" s="74"/>
    </row>
    <row r="16" spans="1:9">
      <c r="A16" s="79" t="s">
        <v>248</v>
      </c>
      <c r="B16" s="88">
        <f>-'GT-US-CF'!E27</f>
        <v>811</v>
      </c>
      <c r="C16" s="88">
        <f>-'GT-US-CF'!F27</f>
        <v>770</v>
      </c>
      <c r="D16" s="88">
        <f>-'GT-US-CF'!G27</f>
        <v>647</v>
      </c>
      <c r="E16" s="88">
        <f>-'GT-US-CF'!H27</f>
        <v>981</v>
      </c>
      <c r="F16" s="88">
        <f>-'GT-US-CF'!I27</f>
        <v>1061</v>
      </c>
      <c r="G16" s="88">
        <f>-'GT-US-CF'!J27</f>
        <v>1050</v>
      </c>
      <c r="H16" s="89">
        <f>-'GT-US-CF'!K27</f>
        <v>1188</v>
      </c>
    </row>
    <row r="17" spans="1:8" ht="13.5" thickBot="1">
      <c r="A17" s="85" t="s">
        <v>249</v>
      </c>
      <c r="B17" s="86">
        <f t="shared" ref="B17:H17" si="4">B16/B3</f>
        <v>5.2407108239095314E-2</v>
      </c>
      <c r="C17" s="86">
        <f t="shared" si="4"/>
        <v>5.222109189555782E-2</v>
      </c>
      <c r="D17" s="86">
        <f t="shared" si="4"/>
        <v>5.2511971430890349E-2</v>
      </c>
      <c r="E17" s="86">
        <f t="shared" si="4"/>
        <v>5.6127703398558187E-2</v>
      </c>
      <c r="F17" s="86">
        <f t="shared" si="4"/>
        <v>5.0997356404710405E-2</v>
      </c>
      <c r="G17" s="86">
        <f t="shared" si="4"/>
        <v>5.2327319844513109E-2</v>
      </c>
      <c r="H17" s="87">
        <f t="shared" si="4"/>
        <v>6.2930395168979761E-2</v>
      </c>
    </row>
    <row r="18" spans="1:8" ht="13.5" thickBot="1">
      <c r="C18" s="74"/>
      <c r="D18" s="74"/>
      <c r="E18" s="74"/>
      <c r="F18" s="74"/>
      <c r="G18" s="74"/>
      <c r="H18" s="74"/>
    </row>
    <row r="19" spans="1:8">
      <c r="A19" s="79" t="s">
        <v>251</v>
      </c>
      <c r="B19" s="88">
        <f>'GT-US-BS'!E14+'GT-US-BS'!E18+'GT-US-BS'!E22-'GT-US-BS'!E48-'GT-US-BS'!E49-'GT-US-BS'!E50-'GT-US-BS'!E51</f>
        <v>-284</v>
      </c>
      <c r="C19" s="88">
        <f>'GT-US-BS'!F14+'GT-US-BS'!F18+'GT-US-BS'!F22-'GT-US-BS'!F48-'GT-US-BS'!F49-'GT-US-BS'!F50-'GT-US-BS'!F51</f>
        <v>-491</v>
      </c>
      <c r="D19" s="88">
        <f>'GT-US-BS'!G14+'GT-US-BS'!G18+'GT-US-BS'!G22-'GT-US-BS'!G48-'GT-US-BS'!G49-'GT-US-BS'!G50-'GT-US-BS'!G51</f>
        <v>-1760</v>
      </c>
      <c r="E19" s="88">
        <f>'GT-US-BS'!H14+'GT-US-BS'!H18+'GT-US-BS'!H22-'GT-US-BS'!H48-'GT-US-BS'!H49-'GT-US-BS'!H50-'GT-US-BS'!H51</f>
        <v>-1014</v>
      </c>
      <c r="F19" s="88">
        <f>'GT-US-BS'!I14+'GT-US-BS'!I18+'GT-US-BS'!I22-'GT-US-BS'!I48-'GT-US-BS'!I49-'GT-US-BS'!I50-'GT-US-BS'!I51</f>
        <v>-475</v>
      </c>
      <c r="G19" s="88">
        <f>'GT-US-BS'!J14+'GT-US-BS'!J18+'GT-US-BS'!J22-'GT-US-BS'!J48-'GT-US-BS'!J49-'GT-US-BS'!J50-'GT-US-BS'!J51</f>
        <v>-1330</v>
      </c>
      <c r="H19" s="89">
        <f>'GT-US-BS'!K14+'GT-US-BS'!K18+'GT-US-BS'!K22-'GT-US-BS'!K48-'GT-US-BS'!K49-'GT-US-BS'!K50-'GT-US-BS'!K51</f>
        <v>-706</v>
      </c>
    </row>
    <row r="20" spans="1:8">
      <c r="A20" s="82" t="s">
        <v>252</v>
      </c>
      <c r="B20" s="77"/>
      <c r="C20" s="90">
        <f>C19-B19</f>
        <v>-207</v>
      </c>
      <c r="D20" s="90">
        <f t="shared" ref="D20:H20" si="5">D19-C19</f>
        <v>-1269</v>
      </c>
      <c r="E20" s="90">
        <f t="shared" si="5"/>
        <v>746</v>
      </c>
      <c r="F20" s="90">
        <f t="shared" si="5"/>
        <v>539</v>
      </c>
      <c r="G20" s="90">
        <f t="shared" si="5"/>
        <v>-855</v>
      </c>
      <c r="H20" s="91">
        <f t="shared" si="5"/>
        <v>624</v>
      </c>
    </row>
    <row r="21" spans="1:8">
      <c r="A21" s="82" t="s">
        <v>253</v>
      </c>
      <c r="B21" s="77"/>
      <c r="C21" s="90">
        <f t="shared" ref="C21:H21" si="6">C3-B3</f>
        <v>-730</v>
      </c>
      <c r="D21" s="90">
        <f t="shared" si="6"/>
        <v>-2424</v>
      </c>
      <c r="E21" s="90">
        <f t="shared" si="6"/>
        <v>5157</v>
      </c>
      <c r="F21" s="90">
        <f t="shared" si="6"/>
        <v>3327</v>
      </c>
      <c r="G21" s="90">
        <f t="shared" si="6"/>
        <v>-739</v>
      </c>
      <c r="H21" s="91">
        <f t="shared" si="6"/>
        <v>-1188</v>
      </c>
    </row>
    <row r="22" spans="1:8" ht="13.5" thickBot="1">
      <c r="A22" s="85" t="s">
        <v>254</v>
      </c>
      <c r="B22" s="86"/>
      <c r="C22" s="86">
        <f>C20/C21</f>
        <v>0.28356164383561644</v>
      </c>
      <c r="D22" s="86">
        <f t="shared" ref="D22:H22" si="7">D20/D21</f>
        <v>0.52351485148514854</v>
      </c>
      <c r="E22" s="86">
        <f t="shared" si="7"/>
        <v>0.14465774675198759</v>
      </c>
      <c r="F22" s="86">
        <f t="shared" si="7"/>
        <v>0.16200781484821161</v>
      </c>
      <c r="G22" s="86">
        <f t="shared" si="7"/>
        <v>1.1569688768606226</v>
      </c>
      <c r="H22" s="87">
        <f t="shared" si="7"/>
        <v>-0.5252525252525253</v>
      </c>
    </row>
    <row r="23" spans="1:8" ht="13.5" thickBot="1">
      <c r="B23" s="74"/>
      <c r="C23" s="74"/>
      <c r="D23" s="74"/>
      <c r="E23" s="74"/>
      <c r="F23" s="74"/>
      <c r="G23" s="74"/>
      <c r="H23" s="74"/>
    </row>
    <row r="24" spans="1:8">
      <c r="A24" s="79" t="s">
        <v>259</v>
      </c>
      <c r="B24" s="108">
        <v>4.58E-2</v>
      </c>
      <c r="C24" s="74"/>
      <c r="D24" s="74"/>
      <c r="E24" s="74"/>
      <c r="F24" s="74"/>
      <c r="G24" s="74"/>
      <c r="H24" s="74"/>
    </row>
    <row r="25" spans="1:8">
      <c r="A25" s="82" t="s">
        <v>261</v>
      </c>
      <c r="B25" s="91">
        <f>Beta_Calc!J3</f>
        <v>1.514413591487876</v>
      </c>
      <c r="C25" s="74"/>
      <c r="D25" s="74"/>
      <c r="E25" s="74"/>
      <c r="F25" s="74"/>
      <c r="G25" s="74"/>
      <c r="H25" s="74"/>
    </row>
    <row r="26" spans="1:8">
      <c r="A26" s="82" t="s">
        <v>262</v>
      </c>
      <c r="B26" s="83">
        <v>4.3299999999999998E-2</v>
      </c>
      <c r="C26" s="74"/>
      <c r="D26" s="74"/>
      <c r="E26" s="74"/>
      <c r="F26" s="74"/>
      <c r="G26" s="74"/>
      <c r="H26" s="74"/>
    </row>
    <row r="27" spans="1:8">
      <c r="A27" s="82" t="s">
        <v>263</v>
      </c>
      <c r="B27" s="109">
        <f>Beta_Calc!B4*'GT-US-IS'!K58</f>
        <v>2592</v>
      </c>
      <c r="C27" s="74"/>
      <c r="F27" s="74"/>
      <c r="G27" s="74"/>
      <c r="H27" s="74"/>
    </row>
    <row r="28" spans="1:8">
      <c r="A28" s="82" t="s">
        <v>268</v>
      </c>
      <c r="B28" s="109">
        <f>'GT-US-BS'!K47+'GT-US-BS'!K54</f>
        <v>8786</v>
      </c>
      <c r="C28" s="74"/>
      <c r="F28" s="74"/>
      <c r="G28" s="74"/>
      <c r="H28" s="74"/>
    </row>
    <row r="29" spans="1:8">
      <c r="A29" s="82" t="s">
        <v>269</v>
      </c>
      <c r="B29" s="109">
        <f>'GT-US-BS'!J47+'GT-US-BS'!J54</f>
        <v>8649</v>
      </c>
      <c r="C29" s="74"/>
      <c r="F29" s="74"/>
      <c r="G29" s="74"/>
      <c r="H29" s="74"/>
    </row>
    <row r="30" spans="1:8">
      <c r="A30" s="82" t="s">
        <v>270</v>
      </c>
      <c r="B30" s="109">
        <f>AVERAGE(B28:B29)</f>
        <v>8717.5</v>
      </c>
      <c r="C30" s="74"/>
      <c r="F30" s="74"/>
      <c r="G30" s="74"/>
      <c r="H30" s="74"/>
    </row>
    <row r="31" spans="1:8">
      <c r="A31" s="82" t="s">
        <v>264</v>
      </c>
      <c r="B31" s="83">
        <f>B27/(B27+B28)</f>
        <v>0.22780805062401124</v>
      </c>
      <c r="C31" s="74"/>
      <c r="F31" s="74"/>
      <c r="G31" s="74"/>
      <c r="H31" s="74"/>
    </row>
    <row r="32" spans="1:8">
      <c r="A32" s="82" t="s">
        <v>265</v>
      </c>
      <c r="B32" s="83">
        <f>B28/(B28+B27)</f>
        <v>0.77219194937598878</v>
      </c>
      <c r="C32" s="74"/>
      <c r="D32" s="74"/>
      <c r="E32" s="74"/>
      <c r="F32" s="74"/>
      <c r="G32" s="74"/>
      <c r="H32" s="74"/>
    </row>
    <row r="33" spans="1:8">
      <c r="A33" s="82" t="s">
        <v>266</v>
      </c>
      <c r="B33" s="83">
        <f>B24+B25*B26</f>
        <v>0.11137410851142504</v>
      </c>
      <c r="C33" s="74"/>
      <c r="D33" s="74"/>
      <c r="E33" s="74"/>
      <c r="F33" s="74"/>
      <c r="G33" s="74"/>
      <c r="H33" s="74"/>
    </row>
    <row r="34" spans="1:8" ht="13.5" thickBot="1">
      <c r="A34" s="85" t="s">
        <v>267</v>
      </c>
      <c r="B34" s="87">
        <f>'GT-US-IS'!K26/Calculations!B30</f>
        <v>7.1121307714367657E-2</v>
      </c>
      <c r="C34" s="74"/>
      <c r="D34" s="74"/>
      <c r="E34" s="74"/>
      <c r="F34" s="74"/>
      <c r="G34" s="74"/>
      <c r="H34" s="74"/>
    </row>
    <row r="35" spans="1:8">
      <c r="C35" s="74"/>
      <c r="D35" s="74"/>
      <c r="E35" s="74"/>
      <c r="F35" s="74"/>
      <c r="G35" s="74"/>
      <c r="H35" s="74"/>
    </row>
    <row r="36" spans="1:8">
      <c r="B36" s="74"/>
      <c r="C36" s="74"/>
      <c r="D36" s="74"/>
      <c r="E36" s="74"/>
      <c r="F36" s="74"/>
      <c r="G36" s="74"/>
      <c r="H36" s="74"/>
    </row>
    <row r="37" spans="1:8" ht="13.5" thickBot="1">
      <c r="B37" s="77"/>
      <c r="C37" s="77"/>
      <c r="D37" s="77"/>
      <c r="E37" s="77"/>
      <c r="F37" s="77"/>
      <c r="G37" s="77"/>
      <c r="H37" s="77"/>
    </row>
    <row r="38" spans="1:8">
      <c r="A38" s="110" t="s">
        <v>272</v>
      </c>
      <c r="B38" s="111">
        <f>(H3/B3)^(1/6)-1</f>
        <v>3.3683428677647509E-2</v>
      </c>
    </row>
    <row r="39" spans="1:8">
      <c r="A39" s="112" t="s">
        <v>236</v>
      </c>
      <c r="B39" s="103">
        <f>AVERAGE(B6:H6)</f>
        <v>4.3234267254188649E-2</v>
      </c>
      <c r="C39" s="74"/>
    </row>
    <row r="40" spans="1:8">
      <c r="A40" s="112" t="s">
        <v>238</v>
      </c>
      <c r="B40" s="104">
        <v>0.25</v>
      </c>
    </row>
    <row r="41" spans="1:8">
      <c r="A41" s="112" t="s">
        <v>247</v>
      </c>
      <c r="B41" s="83">
        <f>MEDIAN(B14:H14)</f>
        <v>5.0520654537132392E-2</v>
      </c>
    </row>
    <row r="42" spans="1:8">
      <c r="A42" s="112" t="s">
        <v>250</v>
      </c>
      <c r="B42" s="83">
        <f>MEDIAN(B17:H17)</f>
        <v>5.2407108239095314E-2</v>
      </c>
    </row>
    <row r="43" spans="1:8">
      <c r="A43" s="112" t="s">
        <v>255</v>
      </c>
      <c r="B43" s="83">
        <f>AVERAGE(E22,F22)</f>
        <v>0.1533327808000996</v>
      </c>
    </row>
    <row r="44" spans="1:8" ht="13.5" thickBot="1">
      <c r="A44" s="113" t="s">
        <v>7</v>
      </c>
      <c r="B44" s="114">
        <f>B33*B31+B34*B32*(1-B40)</f>
        <v>6.6561394484570172E-2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854E-8825-4845-A87A-0A3BCDA21746}">
  <sheetPr>
    <tabColor rgb="FF0070C0"/>
  </sheetPr>
  <dimension ref="A1:G32"/>
  <sheetViews>
    <sheetView zoomScale="145" zoomScaleNormal="145" workbookViewId="0">
      <selection activeCell="B32" sqref="B32"/>
    </sheetView>
  </sheetViews>
  <sheetFormatPr defaultRowHeight="12.75"/>
  <cols>
    <col min="1" max="1" width="29.28515625" bestFit="1" customWidth="1"/>
    <col min="2" max="7" width="10.7109375" bestFit="1" customWidth="1"/>
  </cols>
  <sheetData>
    <row r="1" spans="1:7">
      <c r="A1" s="79" t="s">
        <v>229</v>
      </c>
      <c r="B1" s="101"/>
    </row>
    <row r="2" spans="1:7">
      <c r="A2" s="82" t="s">
        <v>228</v>
      </c>
      <c r="B2" s="102" t="str">
        <f>'GT-US-BS'!K8</f>
        <v>DEC '24</v>
      </c>
    </row>
    <row r="3" spans="1:7">
      <c r="A3" s="82" t="s">
        <v>230</v>
      </c>
      <c r="B3" s="102" t="s">
        <v>231</v>
      </c>
    </row>
    <row r="4" spans="1:7">
      <c r="A4" s="82" t="s">
        <v>232</v>
      </c>
      <c r="B4" s="103">
        <f>Calculations!B38</f>
        <v>3.3683428677647509E-2</v>
      </c>
    </row>
    <row r="5" spans="1:7">
      <c r="A5" s="82" t="s">
        <v>244</v>
      </c>
      <c r="B5" s="103">
        <f>Calculations!B39</f>
        <v>4.3234267254188649E-2</v>
      </c>
    </row>
    <row r="6" spans="1:7">
      <c r="A6" s="82" t="s">
        <v>237</v>
      </c>
      <c r="B6" s="103">
        <f>Calculations!B40</f>
        <v>0.25</v>
      </c>
    </row>
    <row r="7" spans="1:7">
      <c r="A7" s="82" t="s">
        <v>256</v>
      </c>
      <c r="B7" s="103">
        <f>Calculations!B41</f>
        <v>5.0520654537132392E-2</v>
      </c>
    </row>
    <row r="8" spans="1:7">
      <c r="A8" s="82" t="s">
        <v>248</v>
      </c>
      <c r="B8" s="103">
        <f>Calculations!B42</f>
        <v>5.2407108239095314E-2</v>
      </c>
    </row>
    <row r="9" spans="1:7">
      <c r="A9" s="82" t="s">
        <v>251</v>
      </c>
      <c r="B9" s="103">
        <f>Calculations!B43</f>
        <v>0.1533327808000996</v>
      </c>
    </row>
    <row r="10" spans="1:7">
      <c r="A10" s="82" t="s">
        <v>7</v>
      </c>
      <c r="B10" s="103">
        <f>Calculations!B44</f>
        <v>6.6561394484570172E-2</v>
      </c>
    </row>
    <row r="11" spans="1:7">
      <c r="A11" s="82" t="s">
        <v>258</v>
      </c>
      <c r="B11" s="104">
        <v>0.02</v>
      </c>
    </row>
    <row r="12" spans="1:7" ht="13.5" thickBot="1">
      <c r="A12" s="85" t="s">
        <v>277</v>
      </c>
      <c r="B12" s="105">
        <f>'GT-US-IS'!K58</f>
        <v>288</v>
      </c>
    </row>
    <row r="13" spans="1:7">
      <c r="B13" s="75"/>
    </row>
    <row r="14" spans="1:7">
      <c r="B14" s="29" t="s">
        <v>279</v>
      </c>
      <c r="C14">
        <v>1</v>
      </c>
      <c r="D14">
        <v>2</v>
      </c>
      <c r="E14">
        <v>3</v>
      </c>
      <c r="F14">
        <v>4</v>
      </c>
      <c r="G14">
        <v>5</v>
      </c>
    </row>
    <row r="15" spans="1:7">
      <c r="A15" s="99" t="s">
        <v>245</v>
      </c>
      <c r="B15" s="100">
        <v>2024</v>
      </c>
      <c r="C15" s="100">
        <v>2025</v>
      </c>
      <c r="D15" s="100">
        <v>2026</v>
      </c>
      <c r="E15" s="100">
        <v>2027</v>
      </c>
      <c r="F15" s="100">
        <v>2028</v>
      </c>
      <c r="G15" s="100">
        <v>2029</v>
      </c>
    </row>
    <row r="16" spans="1:7">
      <c r="A16" t="s">
        <v>234</v>
      </c>
      <c r="B16" s="39">
        <f>Calculations!H3</f>
        <v>18878</v>
      </c>
      <c r="C16" s="39">
        <f>B16*(1+$B$4)</f>
        <v>19513.875766576628</v>
      </c>
      <c r="D16" s="39">
        <f t="shared" ref="D16:G16" si="0">C16*(1+$B$4)</f>
        <v>20171.170009184585</v>
      </c>
      <c r="E16" s="39">
        <f t="shared" si="0"/>
        <v>20850.604175533656</v>
      </c>
      <c r="F16" s="39">
        <f t="shared" si="0"/>
        <v>21552.924014166103</v>
      </c>
      <c r="G16" s="39">
        <f t="shared" si="0"/>
        <v>22278.900392992022</v>
      </c>
    </row>
    <row r="17" spans="1:7">
      <c r="A17" t="s">
        <v>0</v>
      </c>
      <c r="B17" s="76">
        <f>Calculations!H5</f>
        <v>773</v>
      </c>
      <c r="C17" s="76">
        <f t="shared" ref="C17:G17" si="1">C16*$B$5</f>
        <v>843.66812005720931</v>
      </c>
      <c r="D17" s="76">
        <f t="shared" si="1"/>
        <v>872.08575500676125</v>
      </c>
      <c r="E17" s="76">
        <f t="shared" si="1"/>
        <v>901.46059333632388</v>
      </c>
      <c r="F17" s="76">
        <f t="shared" si="1"/>
        <v>931.82487693767769</v>
      </c>
      <c r="G17" s="76">
        <f t="shared" si="1"/>
        <v>963.21193372006564</v>
      </c>
    </row>
    <row r="18" spans="1:7">
      <c r="A18" t="s">
        <v>1</v>
      </c>
      <c r="B18" s="76">
        <f>B17*(1-$B$6)</f>
        <v>579.75</v>
      </c>
      <c r="C18" s="76">
        <f t="shared" ref="C18:G18" si="2">C17*(1-$B$6)</f>
        <v>632.75109004290698</v>
      </c>
      <c r="D18" s="76">
        <f t="shared" si="2"/>
        <v>654.06431625507093</v>
      </c>
      <c r="E18" s="76">
        <f t="shared" si="2"/>
        <v>676.09544500224297</v>
      </c>
      <c r="F18" s="76">
        <f t="shared" si="2"/>
        <v>698.86865770325824</v>
      </c>
      <c r="G18" s="76">
        <f t="shared" si="2"/>
        <v>722.40895029004923</v>
      </c>
    </row>
    <row r="19" spans="1:7">
      <c r="A19" t="s">
        <v>256</v>
      </c>
      <c r="B19" s="76">
        <f>Calculations!H13</f>
        <v>1049</v>
      </c>
      <c r="C19" s="76">
        <f>C16*$B$7</f>
        <v>985.85377628373737</v>
      </c>
      <c r="D19" s="76">
        <f t="shared" ref="D19:G19" si="3">D16*$B$7</f>
        <v>1019.06071164378</v>
      </c>
      <c r="E19" s="76">
        <f t="shared" si="3"/>
        <v>1053.3861704426261</v>
      </c>
      <c r="F19" s="76">
        <f t="shared" si="3"/>
        <v>1088.8678283847505</v>
      </c>
      <c r="G19" s="76">
        <f t="shared" si="3"/>
        <v>1125.544630221533</v>
      </c>
    </row>
    <row r="20" spans="1:7">
      <c r="A20" t="s">
        <v>248</v>
      </c>
      <c r="B20" s="76">
        <f>Calculations!H16</f>
        <v>1188</v>
      </c>
      <c r="C20" s="76">
        <f>C16*$B$8</f>
        <v>1022.6657994632404</v>
      </c>
      <c r="D20" s="76">
        <f t="shared" ref="D20:G20" si="4">D16*$B$8</f>
        <v>1057.1126899805297</v>
      </c>
      <c r="E20" s="76">
        <f t="shared" si="4"/>
        <v>1092.7198698777249</v>
      </c>
      <c r="F20" s="76">
        <f t="shared" si="4"/>
        <v>1129.5264216793996</v>
      </c>
      <c r="G20" s="76">
        <f t="shared" si="4"/>
        <v>1167.572744343556</v>
      </c>
    </row>
    <row r="21" spans="1:7" ht="13.5" thickBot="1">
      <c r="A21" s="97" t="s">
        <v>257</v>
      </c>
      <c r="B21" s="97"/>
      <c r="C21" s="98">
        <f>(C16-B16)*$B$9</f>
        <v>97.500599532589391</v>
      </c>
      <c r="D21" s="98">
        <f t="shared" ref="D21:G21" si="5">(D16-C16)*$B$9</f>
        <v>100.78475402297337</v>
      </c>
      <c r="E21" s="98">
        <f t="shared" si="5"/>
        <v>104.17953009690042</v>
      </c>
      <c r="F21" s="98">
        <f t="shared" si="5"/>
        <v>107.68865386859039</v>
      </c>
      <c r="G21" s="98">
        <f t="shared" si="5"/>
        <v>111.31597696056467</v>
      </c>
    </row>
    <row r="22" spans="1:7" ht="13.5" thickTop="1">
      <c r="A22" t="s">
        <v>271</v>
      </c>
      <c r="C22" s="76">
        <f>C18+C19-C20-C21</f>
        <v>498.43846733081443</v>
      </c>
      <c r="D22" s="76">
        <f t="shared" ref="D22:G22" si="6">D18+D19-D20-D21</f>
        <v>515.22758389534783</v>
      </c>
      <c r="E22" s="76">
        <f t="shared" si="6"/>
        <v>532.58221547024368</v>
      </c>
      <c r="F22" s="76">
        <f t="shared" si="6"/>
        <v>550.52141054001891</v>
      </c>
      <c r="G22" s="76">
        <f t="shared" si="6"/>
        <v>569.06485920746161</v>
      </c>
    </row>
    <row r="23" spans="1:7" ht="13.5" thickBot="1">
      <c r="A23" s="97" t="s">
        <v>273</v>
      </c>
      <c r="B23" s="97"/>
      <c r="C23" s="98">
        <f>C22/(1+$B$10)^C14</f>
        <v>467.33218538412535</v>
      </c>
      <c r="D23" s="98">
        <f t="shared" ref="D23:G23" si="7">D22/(1+$B$10)^D14</f>
        <v>452.92614022724149</v>
      </c>
      <c r="E23" s="98">
        <f t="shared" si="7"/>
        <v>438.96417776689111</v>
      </c>
      <c r="F23" s="98">
        <f t="shared" si="7"/>
        <v>425.43260864980482</v>
      </c>
      <c r="G23" s="98">
        <f t="shared" si="7"/>
        <v>412.31816551256969</v>
      </c>
    </row>
    <row r="24" spans="1:7" ht="13.5" thickTop="1">
      <c r="A24" t="s">
        <v>274</v>
      </c>
      <c r="B24" s="76">
        <f>SUM(C23:G23)</f>
        <v>2196.9732775406324</v>
      </c>
    </row>
    <row r="25" spans="1:7">
      <c r="A25" t="s">
        <v>275</v>
      </c>
      <c r="B25" s="76">
        <f>(G22*(1+B11))/(B10-B11)</f>
        <v>12466.253702602551</v>
      </c>
    </row>
    <row r="26" spans="1:7">
      <c r="A26" t="s">
        <v>276</v>
      </c>
      <c r="B26" s="76">
        <f>B25/(1+$B$10)^$G$14</f>
        <v>9032.4727916426691</v>
      </c>
    </row>
    <row r="27" spans="1:7">
      <c r="A27" t="s">
        <v>6</v>
      </c>
      <c r="B27" s="76">
        <f>B24+B26</f>
        <v>11229.446069183301</v>
      </c>
    </row>
    <row r="28" spans="1:7">
      <c r="A28" t="s">
        <v>5</v>
      </c>
      <c r="B28" s="76">
        <f>('GT-US-BS'!K47+'GT-US-BS'!K54)-'GT-US-BS'!K11</f>
        <v>7922</v>
      </c>
    </row>
    <row r="29" spans="1:7">
      <c r="A29" t="s">
        <v>263</v>
      </c>
      <c r="B29" s="76">
        <f>B27-B28</f>
        <v>3307.446069183301</v>
      </c>
    </row>
    <row r="30" spans="1:7">
      <c r="A30" t="s">
        <v>278</v>
      </c>
      <c r="B30" s="96">
        <f>B29/B12</f>
        <v>11.484187740219795</v>
      </c>
    </row>
    <row r="31" spans="1:7">
      <c r="A31" t="s">
        <v>297</v>
      </c>
      <c r="B31">
        <v>11.01</v>
      </c>
    </row>
    <row r="32" spans="1:7">
      <c r="A32" t="s">
        <v>298</v>
      </c>
      <c r="B32" s="74">
        <f>B30/B31-1</f>
        <v>4.306882290824654E-2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5632-007E-4464-94F4-786D68356BC0}">
  <sheetPr>
    <tabColor rgb="FFFFFF00"/>
  </sheetPr>
  <dimension ref="A1:F9"/>
  <sheetViews>
    <sheetView zoomScale="145" zoomScaleNormal="145" workbookViewId="0">
      <selection sqref="A1:F9"/>
    </sheetView>
  </sheetViews>
  <sheetFormatPr defaultRowHeight="12.75"/>
  <cols>
    <col min="1" max="1" width="19.140625" bestFit="1" customWidth="1"/>
  </cols>
  <sheetData>
    <row r="1" spans="1:6">
      <c r="A1" s="72" t="s">
        <v>280</v>
      </c>
      <c r="B1" s="72" t="s">
        <v>19</v>
      </c>
      <c r="C1" s="72" t="s">
        <v>20</v>
      </c>
      <c r="D1" s="72" t="s">
        <v>21</v>
      </c>
      <c r="E1" s="72" t="s">
        <v>22</v>
      </c>
      <c r="F1" s="72" t="s">
        <v>23</v>
      </c>
    </row>
    <row r="2" spans="1:6">
      <c r="A2" s="106" t="s">
        <v>219</v>
      </c>
      <c r="B2" s="73">
        <f>'GT-US-BS'!G24/'GT-US-BS'!G52</f>
        <v>1.100665883274579</v>
      </c>
      <c r="C2" s="73">
        <f>'GT-US-BS'!H24/'GT-US-BS'!H52</f>
        <v>1.1087416817906837</v>
      </c>
      <c r="D2" s="73">
        <f>'GT-US-BS'!I24/'GT-US-BS'!I52</f>
        <v>1.2135854341736694</v>
      </c>
      <c r="E2" s="73">
        <f>'GT-US-BS'!J24/'GT-US-BS'!J52</f>
        <v>1.0703791800755562</v>
      </c>
      <c r="F2" s="73">
        <f>'GT-US-BS'!K24/'GT-US-BS'!K52</f>
        <v>1.0402071691427013</v>
      </c>
    </row>
    <row r="3" spans="1:6">
      <c r="A3" s="106" t="s">
        <v>220</v>
      </c>
      <c r="B3" s="73">
        <f>('GT-US-BS'!G24-'GT-US-BS'!G18)/'GT-US-BS'!G52</f>
        <v>0.67900509204857029</v>
      </c>
      <c r="C3" s="73">
        <f>('GT-US-BS'!H24-'GT-US-BS'!H18)/'GT-US-BS'!H52</f>
        <v>0.56518451300665462</v>
      </c>
      <c r="D3" s="73">
        <f>('GT-US-BS'!I24-'GT-US-BS'!I18)/'GT-US-BS'!I52</f>
        <v>0.57338935574229688</v>
      </c>
      <c r="E3" s="73">
        <f>('GT-US-BS'!J24-'GT-US-BS'!J18)/'GT-US-BS'!J52</f>
        <v>0.55295928361550306</v>
      </c>
      <c r="F3" s="73">
        <f>('GT-US-BS'!K24-'GT-US-BS'!K18)/'GT-US-BS'!K52</f>
        <v>0.54995229657898326</v>
      </c>
    </row>
    <row r="4" spans="1:6">
      <c r="A4" s="106" t="s">
        <v>221</v>
      </c>
      <c r="B4" s="73">
        <f>'GT-US-BS'!G62/'GT-US-BS'!G44</f>
        <v>0.8025566460680964</v>
      </c>
      <c r="C4" s="73">
        <f>'GT-US-BS'!H62/'GT-US-BS'!H44</f>
        <v>0.75777964676198484</v>
      </c>
      <c r="D4" s="73">
        <f>'GT-US-BS'!I62/'GT-US-BS'!I44</f>
        <v>0.75631937943025274</v>
      </c>
      <c r="E4" s="73">
        <f>'GT-US-BS'!J62/'GT-US-BS'!J44</f>
        <v>0.77587804652024839</v>
      </c>
      <c r="F4" s="73">
        <f>'GT-US-BS'!K62/'GT-US-BS'!K44</f>
        <v>0.76597977485212743</v>
      </c>
    </row>
    <row r="5" spans="1:6">
      <c r="A5" s="106" t="s">
        <v>222</v>
      </c>
      <c r="B5" s="73">
        <f>'GT-US-IS'!G54</f>
        <v>-5.359</v>
      </c>
      <c r="C5" s="73">
        <f>'GT-US-IS'!H54</f>
        <v>2.9272</v>
      </c>
      <c r="D5" s="73">
        <f>'GT-US-IS'!I54</f>
        <v>0.71130000000000004</v>
      </c>
      <c r="E5" s="73">
        <f>'GT-US-IS'!J54</f>
        <v>-2.4175</v>
      </c>
      <c r="F5" s="73">
        <f>'GT-US-IS'!K54</f>
        <v>0.24390000000000001</v>
      </c>
    </row>
    <row r="6" spans="1:6">
      <c r="A6" s="106" t="s">
        <v>224</v>
      </c>
      <c r="B6" s="38">
        <f>'GT-US-IS'!G50/AVERAGE('GT-US-BS'!F44,'GT-US-BS'!G44)</f>
        <v>-7.4441245436466713E-2</v>
      </c>
      <c r="C6" s="38">
        <f>'GT-US-IS'!H50/AVERAGE('GT-US-BS'!G44,'GT-US-BS'!H44)</f>
        <v>4.0308114382188454E-2</v>
      </c>
      <c r="D6" s="38">
        <f>'GT-US-IS'!I50/AVERAGE('GT-US-BS'!H44,'GT-US-BS'!I44)</f>
        <v>9.2168001277576263E-3</v>
      </c>
      <c r="E6" s="38">
        <f>'GT-US-IS'!J50/AVERAGE('GT-US-BS'!I44,'GT-US-BS'!J44)</f>
        <v>-3.1308931452070976E-2</v>
      </c>
      <c r="F6" s="38">
        <f>'GT-US-IS'!K50/AVERAGE('GT-US-BS'!J44,'GT-US-BS'!K44)</f>
        <v>3.290556103981573E-3</v>
      </c>
    </row>
    <row r="7" spans="1:6">
      <c r="A7" s="106" t="s">
        <v>223</v>
      </c>
      <c r="B7" s="38">
        <f>'GT-US-IS'!G51/AVERAGE('GT-US-BS'!F71,'GT-US-BS'!G71)</f>
        <v>-0.33759590792838873</v>
      </c>
      <c r="C7" s="38">
        <f>'GT-US-IS'!H51/AVERAGE('GT-US-BS'!G71,'GT-US-BS'!H71)</f>
        <v>0.18917915067475549</v>
      </c>
      <c r="D7" s="38">
        <f>'GT-US-IS'!I51/AVERAGE('GT-US-BS'!H71,'GT-US-BS'!I71)</f>
        <v>3.9227109428099816E-2</v>
      </c>
      <c r="E7" s="38">
        <f>'GT-US-IS'!J51/AVERAGE('GT-US-BS'!I71,'GT-US-BS'!J71)</f>
        <v>-0.13824237560192618</v>
      </c>
      <c r="F7" s="38">
        <f>'GT-US-IS'!K51/AVERAGE('GT-US-BS'!J71,'GT-US-BS'!K71)</f>
        <v>1.4855687606112054E-2</v>
      </c>
    </row>
    <row r="8" spans="1:6">
      <c r="A8" s="106" t="s">
        <v>225</v>
      </c>
      <c r="B8" s="38">
        <f>'GT-US-IS'!G10/'GT-US-IS'!F10-1</f>
        <v>-0.16439471007121054</v>
      </c>
      <c r="C8" s="38">
        <f>'GT-US-IS'!H10/'GT-US-IS'!G10-1</f>
        <v>0.41855368882395916</v>
      </c>
      <c r="D8" s="38">
        <f>'GT-US-IS'!I10/'GT-US-IS'!H10-1</f>
        <v>0.19035358736697572</v>
      </c>
      <c r="E8" s="38">
        <f>'GT-US-IS'!J10/'GT-US-IS'!I10-1</f>
        <v>-3.5520307618361002E-2</v>
      </c>
      <c r="F8" s="38">
        <f>'GT-US-IS'!K10/'GT-US-IS'!J10-1</f>
        <v>-5.9204624738363409E-2</v>
      </c>
    </row>
    <row r="9" spans="1:6">
      <c r="A9" s="106" t="s">
        <v>226</v>
      </c>
      <c r="B9" s="38">
        <f>'GT-US-IS'!G50/'GT-US-IS'!G10</f>
        <v>-0.10177745312880448</v>
      </c>
      <c r="C9" s="38">
        <f>'GT-US-IS'!H50/'GT-US-IS'!H10</f>
        <v>4.3712095205401078E-2</v>
      </c>
      <c r="D9" s="38">
        <f>'GT-US-IS'!I50/'GT-US-IS'!I10</f>
        <v>9.7092045181446773E-3</v>
      </c>
      <c r="E9" s="38">
        <f>'GT-US-IS'!J50/'GT-US-IS'!J10</f>
        <v>-3.4336688926542409E-2</v>
      </c>
      <c r="F9" s="38">
        <f>'GT-US-IS'!K50/'GT-US-IS'!K10</f>
        <v>3.7080199173641277E-3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8276-3229-4199-8CDD-80186D24F3CA}">
  <sheetPr>
    <tabColor rgb="FFFFFF00"/>
  </sheetPr>
  <dimension ref="A1:G23"/>
  <sheetViews>
    <sheetView tabSelected="1" zoomScale="145" zoomScaleNormal="145" workbookViewId="0">
      <selection activeCell="E27" sqref="E27"/>
    </sheetView>
  </sheetViews>
  <sheetFormatPr defaultRowHeight="12.75"/>
  <cols>
    <col min="1" max="1" width="30.28515625" bestFit="1" customWidth="1"/>
    <col min="2" max="7" width="10.7109375" bestFit="1" customWidth="1"/>
  </cols>
  <sheetData>
    <row r="1" spans="1:7">
      <c r="A1" s="29" t="s">
        <v>281</v>
      </c>
    </row>
    <row r="3" spans="1:7">
      <c r="A3" s="29" t="s">
        <v>282</v>
      </c>
      <c r="B3" s="29">
        <v>2019</v>
      </c>
      <c r="C3" s="29">
        <v>2020</v>
      </c>
      <c r="D3" s="29">
        <v>2021</v>
      </c>
      <c r="E3" s="29">
        <v>2022</v>
      </c>
      <c r="F3" s="29">
        <v>2023</v>
      </c>
      <c r="G3" s="29">
        <v>2024</v>
      </c>
    </row>
    <row r="5" spans="1:7">
      <c r="A5" t="s">
        <v>92</v>
      </c>
      <c r="B5" s="39">
        <f>'GT-US-IS'!F10</f>
        <v>14745</v>
      </c>
      <c r="C5" s="39">
        <f>'GT-US-IS'!G10</f>
        <v>12321</v>
      </c>
      <c r="D5" s="39">
        <f>'GT-US-IS'!H10</f>
        <v>17478</v>
      </c>
      <c r="E5" s="39">
        <f>'GT-US-IS'!I10</f>
        <v>20805</v>
      </c>
      <c r="F5" s="39">
        <f>'GT-US-IS'!J10</f>
        <v>20066</v>
      </c>
      <c r="G5" s="39">
        <f>'GT-US-IS'!K10</f>
        <v>18878</v>
      </c>
    </row>
    <row r="6" spans="1:7">
      <c r="A6" t="s">
        <v>283</v>
      </c>
      <c r="B6" s="39">
        <f>'GT-US-IS'!F11</f>
        <v>11171</v>
      </c>
      <c r="C6" s="39">
        <f>'GT-US-IS'!G11</f>
        <v>9846</v>
      </c>
      <c r="D6" s="39">
        <f>'GT-US-IS'!H11</f>
        <v>13264</v>
      </c>
      <c r="E6" s="39">
        <f>'GT-US-IS'!I11</f>
        <v>16556</v>
      </c>
      <c r="F6" s="39">
        <f>'GT-US-IS'!J11</f>
        <v>16138</v>
      </c>
      <c r="G6" s="39">
        <f>'GT-US-IS'!K11</f>
        <v>14897</v>
      </c>
    </row>
    <row r="7" spans="1:7">
      <c r="A7" t="s">
        <v>284</v>
      </c>
      <c r="B7" s="12">
        <f>'GT-US-BS'!F18</f>
        <v>2851</v>
      </c>
      <c r="C7" s="12">
        <f>'GT-US-BS'!G18</f>
        <v>2153</v>
      </c>
      <c r="D7" s="12">
        <f>'GT-US-BS'!H18</f>
        <v>3594</v>
      </c>
      <c r="E7" s="12">
        <f>'GT-US-BS'!I18</f>
        <v>4571</v>
      </c>
      <c r="F7" s="12">
        <f>'GT-US-BS'!J18</f>
        <v>3698</v>
      </c>
      <c r="G7" s="12">
        <f>'GT-US-BS'!K18</f>
        <v>3597</v>
      </c>
    </row>
    <row r="8" spans="1:7">
      <c r="A8" t="s">
        <v>285</v>
      </c>
      <c r="B8" s="12">
        <f>'GT-US-BS'!F14</f>
        <v>1938</v>
      </c>
      <c r="C8" s="12">
        <f>'GT-US-BS'!G14</f>
        <v>1690</v>
      </c>
      <c r="D8" s="12">
        <f>'GT-US-BS'!H14</f>
        <v>2376</v>
      </c>
      <c r="E8" s="12">
        <f>'GT-US-BS'!I14</f>
        <v>2604</v>
      </c>
      <c r="F8" s="12">
        <f>'GT-US-BS'!J14</f>
        <v>2718</v>
      </c>
      <c r="G8" s="12">
        <f>'GT-US-BS'!K14</f>
        <v>2450</v>
      </c>
    </row>
    <row r="9" spans="1:7">
      <c r="A9" t="s">
        <v>286</v>
      </c>
      <c r="B9" s="39">
        <f>'GT-US-BS'!F48</f>
        <v>2908</v>
      </c>
      <c r="C9" s="39">
        <f>'GT-US-BS'!G48</f>
        <v>2945</v>
      </c>
      <c r="D9" s="39">
        <f>'GT-US-BS'!H48</f>
        <v>4148</v>
      </c>
      <c r="E9" s="39">
        <f>'GT-US-BS'!I48</f>
        <v>4803</v>
      </c>
      <c r="F9" s="39">
        <f>'GT-US-BS'!J48</f>
        <v>4326</v>
      </c>
      <c r="G9" s="39">
        <f>'GT-US-BS'!K48</f>
        <v>4052</v>
      </c>
    </row>
    <row r="10" spans="1:7">
      <c r="A10" t="s">
        <v>287</v>
      </c>
      <c r="B10" s="39">
        <v>365</v>
      </c>
      <c r="C10" s="39">
        <v>365</v>
      </c>
      <c r="D10" s="39">
        <f>C10</f>
        <v>365</v>
      </c>
      <c r="E10" s="39">
        <f t="shared" ref="E10:G10" si="0">D10</f>
        <v>365</v>
      </c>
      <c r="F10" s="39">
        <f t="shared" si="0"/>
        <v>365</v>
      </c>
      <c r="G10" s="39">
        <f t="shared" si="0"/>
        <v>365</v>
      </c>
    </row>
    <row r="11" spans="1:7">
      <c r="B11" s="39"/>
      <c r="C11" s="39"/>
      <c r="D11" s="39"/>
      <c r="E11" s="39"/>
      <c r="F11" s="39"/>
      <c r="G11" s="39"/>
    </row>
    <row r="12" spans="1:7">
      <c r="A12" t="s">
        <v>288</v>
      </c>
      <c r="B12" s="39">
        <f>B5/B$10</f>
        <v>40.397260273972606</v>
      </c>
      <c r="C12" s="39">
        <f>C5/C$10</f>
        <v>33.756164383561647</v>
      </c>
      <c r="D12" s="39">
        <f t="shared" ref="D12:G13" si="1">D5/D$10</f>
        <v>47.884931506849313</v>
      </c>
      <c r="E12" s="39">
        <f t="shared" si="1"/>
        <v>57</v>
      </c>
      <c r="F12" s="39">
        <f t="shared" si="1"/>
        <v>54.975342465753428</v>
      </c>
      <c r="G12" s="39">
        <f t="shared" si="1"/>
        <v>51.720547945205482</v>
      </c>
    </row>
    <row r="13" spans="1:7">
      <c r="A13" t="s">
        <v>289</v>
      </c>
      <c r="B13" s="39">
        <f>B6/B$10</f>
        <v>30.605479452054794</v>
      </c>
      <c r="C13" s="39">
        <f>C6/C$10</f>
        <v>26.975342465753425</v>
      </c>
      <c r="D13" s="39">
        <f t="shared" si="1"/>
        <v>36.339726027397262</v>
      </c>
      <c r="E13" s="39">
        <f t="shared" si="1"/>
        <v>45.358904109589041</v>
      </c>
      <c r="F13" s="39">
        <f t="shared" si="1"/>
        <v>44.213698630136989</v>
      </c>
      <c r="G13" s="39">
        <f t="shared" si="1"/>
        <v>40.813698630136983</v>
      </c>
    </row>
    <row r="14" spans="1:7">
      <c r="B14" s="39"/>
      <c r="C14" s="39"/>
      <c r="D14" s="39"/>
      <c r="E14" s="39"/>
      <c r="F14" s="39"/>
      <c r="G14" s="39"/>
    </row>
    <row r="15" spans="1:7">
      <c r="A15" t="s">
        <v>290</v>
      </c>
      <c r="B15" s="39"/>
      <c r="C15" s="39">
        <f>(C7+B7)/2</f>
        <v>2502</v>
      </c>
      <c r="D15" s="39">
        <f>(D7+C7)/2</f>
        <v>2873.5</v>
      </c>
      <c r="E15" s="39">
        <f t="shared" ref="E15:G15" si="2">(E7+D7)/2</f>
        <v>4082.5</v>
      </c>
      <c r="F15" s="39">
        <f t="shared" si="2"/>
        <v>4134.5</v>
      </c>
      <c r="G15" s="39">
        <f t="shared" si="2"/>
        <v>3647.5</v>
      </c>
    </row>
    <row r="16" spans="1:7">
      <c r="A16" t="s">
        <v>291</v>
      </c>
      <c r="B16" s="39"/>
      <c r="C16" s="39">
        <f>(C8+B8)/2</f>
        <v>1814</v>
      </c>
      <c r="D16" s="39">
        <f>(D8+C8)/2</f>
        <v>2033</v>
      </c>
      <c r="E16" s="39">
        <f t="shared" ref="E16:G16" si="3">(E8+D8)/2</f>
        <v>2490</v>
      </c>
      <c r="F16" s="39">
        <f t="shared" si="3"/>
        <v>2661</v>
      </c>
      <c r="G16" s="39">
        <f t="shared" si="3"/>
        <v>2584</v>
      </c>
    </row>
    <row r="17" spans="1:7">
      <c r="A17" t="s">
        <v>292</v>
      </c>
      <c r="B17" s="39"/>
      <c r="C17" s="39">
        <f>(C9+B9)/2</f>
        <v>2926.5</v>
      </c>
      <c r="D17" s="39">
        <f>(D9+C9)/2</f>
        <v>3546.5</v>
      </c>
      <c r="E17" s="39">
        <f t="shared" ref="E17:G17" si="4">(E9+D9)/2</f>
        <v>4475.5</v>
      </c>
      <c r="F17" s="39">
        <f t="shared" si="4"/>
        <v>4564.5</v>
      </c>
      <c r="G17" s="39">
        <f t="shared" si="4"/>
        <v>4189</v>
      </c>
    </row>
    <row r="18" spans="1:7">
      <c r="B18" s="39"/>
      <c r="C18" s="39"/>
      <c r="D18" s="39"/>
      <c r="E18" s="39"/>
      <c r="F18" s="39"/>
      <c r="G18" s="39"/>
    </row>
    <row r="19" spans="1:7">
      <c r="A19" s="107" t="s">
        <v>293</v>
      </c>
      <c r="B19" s="39"/>
      <c r="C19" s="39">
        <f>C15/C13</f>
        <v>92.751371115173669</v>
      </c>
      <c r="D19" s="39">
        <f>D15/D13</f>
        <v>79.073243365500602</v>
      </c>
      <c r="E19" s="39">
        <f t="shared" ref="E19:G19" si="5">E15/E13</f>
        <v>90.004379077071761</v>
      </c>
      <c r="F19" s="39">
        <f t="shared" si="5"/>
        <v>93.511742471186011</v>
      </c>
      <c r="G19" s="39">
        <f t="shared" si="5"/>
        <v>89.369503926965166</v>
      </c>
    </row>
    <row r="20" spans="1:7">
      <c r="A20" s="107" t="s">
        <v>294</v>
      </c>
      <c r="B20" s="39"/>
      <c r="C20" s="39">
        <f>C16/C12</f>
        <v>53.738332927522116</v>
      </c>
      <c r="D20" s="39">
        <f>D16/D12</f>
        <v>42.4559446160888</v>
      </c>
      <c r="E20" s="39">
        <f t="shared" ref="E20:G20" si="6">E16/E12</f>
        <v>43.684210526315788</v>
      </c>
      <c r="F20" s="39">
        <f t="shared" si="6"/>
        <v>48.403518389315259</v>
      </c>
      <c r="G20" s="39">
        <f t="shared" si="6"/>
        <v>49.960800932302149</v>
      </c>
    </row>
    <row r="21" spans="1:7">
      <c r="A21" t="s">
        <v>295</v>
      </c>
      <c r="B21" s="39"/>
      <c r="C21" s="39">
        <f>C17/C13</f>
        <v>108.48796465569775</v>
      </c>
      <c r="D21" s="39">
        <f>D17/D13</f>
        <v>97.592920687575386</v>
      </c>
      <c r="E21" s="39">
        <f t="shared" ref="E21:G21" si="7">E17/E13</f>
        <v>98.668609567528392</v>
      </c>
      <c r="F21" s="39">
        <f t="shared" si="7"/>
        <v>103.2372350972859</v>
      </c>
      <c r="G21" s="39">
        <f t="shared" si="7"/>
        <v>102.63710814257905</v>
      </c>
    </row>
    <row r="22" spans="1:7">
      <c r="B22" s="39"/>
      <c r="C22" s="39"/>
      <c r="D22" s="39"/>
      <c r="E22" s="39"/>
      <c r="F22" s="39"/>
      <c r="G22" s="39"/>
    </row>
    <row r="23" spans="1:7">
      <c r="A23" t="s">
        <v>296</v>
      </c>
      <c r="B23" s="39"/>
      <c r="C23" s="39">
        <f>C19+C20-C21</f>
        <v>38.00173938699804</v>
      </c>
      <c r="D23" s="39">
        <f>D19+D20-D21</f>
        <v>23.936267294014016</v>
      </c>
      <c r="E23" s="39">
        <f t="shared" ref="E23:G23" si="8">E19+E20-E21</f>
        <v>35.019980035859163</v>
      </c>
      <c r="F23" s="39">
        <f t="shared" si="8"/>
        <v>38.678025763215359</v>
      </c>
      <c r="G23" s="39">
        <f t="shared" si="8"/>
        <v>36.693196716688249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E5F1-1652-40AD-AA4D-4D5B219DB603}">
  <sheetPr>
    <tabColor rgb="FFFFFF00"/>
    <outlinePr summaryBelow="0" summaryRight="0"/>
  </sheetPr>
  <dimension ref="A1:Y26"/>
  <sheetViews>
    <sheetView zoomScale="145" zoomScaleNormal="145" workbookViewId="0"/>
  </sheetViews>
  <sheetFormatPr defaultColWidth="9.140625" defaultRowHeight="15" customHeight="1" outlineLevelRow="2"/>
  <cols>
    <col min="1" max="1" width="57.28515625" bestFit="1" customWidth="1"/>
    <col min="2" max="9" width="10.140625" bestFit="1" customWidth="1"/>
    <col min="18" max="25" width="11" bestFit="1" customWidth="1"/>
  </cols>
  <sheetData>
    <row r="1" spans="1:25" ht="15" customHeight="1">
      <c r="A1" s="29" t="s">
        <v>210</v>
      </c>
    </row>
    <row r="2" spans="1:25" ht="15" customHeight="1">
      <c r="A2" s="40"/>
      <c r="R2" s="29">
        <v>2017</v>
      </c>
      <c r="S2" s="29">
        <v>2018</v>
      </c>
      <c r="T2" s="29">
        <v>2019</v>
      </c>
      <c r="U2" s="29">
        <v>2020</v>
      </c>
      <c r="V2" s="29">
        <v>2021</v>
      </c>
      <c r="W2" s="29">
        <v>2022</v>
      </c>
      <c r="X2" s="29">
        <v>2023</v>
      </c>
      <c r="Y2" s="29">
        <v>2024</v>
      </c>
    </row>
    <row r="3" spans="1:25" ht="15" customHeight="1">
      <c r="B3" s="70" t="s">
        <v>211</v>
      </c>
      <c r="C3" s="70" t="s">
        <v>212</v>
      </c>
      <c r="D3" s="70" t="s">
        <v>213</v>
      </c>
      <c r="E3" s="70" t="s">
        <v>214</v>
      </c>
      <c r="F3" s="70" t="s">
        <v>215</v>
      </c>
      <c r="G3" s="70" t="s">
        <v>216</v>
      </c>
      <c r="H3" s="70" t="s">
        <v>217</v>
      </c>
      <c r="I3" s="70" t="s">
        <v>218</v>
      </c>
      <c r="K3" s="71"/>
      <c r="L3" s="71"/>
      <c r="M3" s="71"/>
      <c r="N3" s="71"/>
      <c r="O3" s="71"/>
      <c r="P3" s="71"/>
      <c r="Q3" s="71"/>
      <c r="R3" s="71">
        <f>I23</f>
        <v>5689</v>
      </c>
      <c r="S3" s="71">
        <f>H23</f>
        <v>5726</v>
      </c>
      <c r="T3" s="71">
        <f>G23</f>
        <v>5414</v>
      </c>
      <c r="U3" s="71">
        <f>F23</f>
        <v>5740</v>
      </c>
      <c r="V3" s="71">
        <f>E23</f>
        <v>7142</v>
      </c>
      <c r="W3" s="71">
        <f>D23</f>
        <v>7635</v>
      </c>
      <c r="X3" s="71">
        <f>C23</f>
        <v>7356</v>
      </c>
      <c r="Y3" s="71">
        <f>B23</f>
        <v>7521</v>
      </c>
    </row>
    <row r="4" spans="1:25" ht="15" customHeight="1">
      <c r="A4" s="17" t="s">
        <v>209</v>
      </c>
      <c r="B4" s="34">
        <v>1390</v>
      </c>
      <c r="C4" s="68">
        <v>793</v>
      </c>
      <c r="D4" s="68">
        <v>623</v>
      </c>
      <c r="E4" s="68">
        <v>749</v>
      </c>
      <c r="F4" s="68">
        <v>558</v>
      </c>
      <c r="G4" s="69">
        <v>910</v>
      </c>
      <c r="H4" s="68">
        <v>653</v>
      </c>
      <c r="I4" s="68">
        <v>653</v>
      </c>
      <c r="S4" s="41"/>
      <c r="T4" s="41"/>
      <c r="U4" s="41"/>
      <c r="V4" s="41"/>
      <c r="W4" s="41"/>
      <c r="X4" s="41"/>
      <c r="Y4" s="41"/>
    </row>
    <row r="5" spans="1:25" ht="15" customHeight="1" outlineLevel="1">
      <c r="A5" s="15" t="s">
        <v>193</v>
      </c>
      <c r="B5" s="56">
        <v>832</v>
      </c>
      <c r="C5" s="56">
        <v>449</v>
      </c>
      <c r="D5" s="56">
        <v>228</v>
      </c>
      <c r="E5" s="56">
        <v>343</v>
      </c>
      <c r="F5" s="56">
        <v>152</v>
      </c>
      <c r="G5" s="56">
        <v>562</v>
      </c>
      <c r="H5" s="56">
        <v>243</v>
      </c>
      <c r="I5" s="56">
        <v>391</v>
      </c>
    </row>
    <row r="6" spans="1:25" ht="15" customHeight="1" outlineLevel="1">
      <c r="A6" s="14" t="s">
        <v>208</v>
      </c>
      <c r="B6" s="61">
        <v>558</v>
      </c>
      <c r="C6" s="61">
        <v>344</v>
      </c>
      <c r="D6" s="61">
        <v>395</v>
      </c>
      <c r="E6" s="62">
        <v>406</v>
      </c>
      <c r="F6" s="62">
        <v>406</v>
      </c>
      <c r="G6" s="61">
        <v>348</v>
      </c>
      <c r="H6" s="63">
        <v>410</v>
      </c>
      <c r="I6" s="61">
        <v>262</v>
      </c>
    </row>
    <row r="7" spans="1:25" ht="15" customHeight="1" outlineLevel="1">
      <c r="A7" s="15" t="s">
        <v>207</v>
      </c>
      <c r="B7" s="22" t="s">
        <v>8</v>
      </c>
      <c r="C7" s="22" t="s">
        <v>8</v>
      </c>
      <c r="D7" s="22" t="s">
        <v>8</v>
      </c>
      <c r="E7" s="22" t="s">
        <v>8</v>
      </c>
      <c r="F7" s="22" t="s">
        <v>8</v>
      </c>
      <c r="G7" s="22" t="s">
        <v>8</v>
      </c>
      <c r="H7" s="22" t="s">
        <v>8</v>
      </c>
      <c r="I7" s="22" t="s">
        <v>8</v>
      </c>
    </row>
    <row r="8" spans="1:25" ht="15" customHeight="1">
      <c r="A8" s="17" t="s">
        <v>194</v>
      </c>
      <c r="B8" s="49">
        <v>6963</v>
      </c>
      <c r="C8" s="47">
        <v>7012</v>
      </c>
      <c r="D8" s="34">
        <v>7240</v>
      </c>
      <c r="E8" s="49">
        <v>6736</v>
      </c>
      <c r="F8" s="49">
        <v>5334</v>
      </c>
      <c r="G8" s="47">
        <v>5066</v>
      </c>
      <c r="H8" s="49">
        <v>5316</v>
      </c>
      <c r="I8" s="49">
        <v>5427</v>
      </c>
    </row>
    <row r="9" spans="1:25" ht="15" customHeight="1" outlineLevel="1">
      <c r="A9" s="18" t="s">
        <v>206</v>
      </c>
      <c r="B9" s="67">
        <v>1607</v>
      </c>
      <c r="C9" s="67">
        <v>1304</v>
      </c>
      <c r="D9" s="66">
        <v>1491</v>
      </c>
      <c r="E9" s="58">
        <v>867</v>
      </c>
      <c r="F9" s="58">
        <v>894</v>
      </c>
      <c r="G9" s="66">
        <v>1188</v>
      </c>
      <c r="H9" s="66">
        <v>1419</v>
      </c>
      <c r="I9" s="66">
        <v>1531</v>
      </c>
    </row>
    <row r="10" spans="1:25" ht="15" customHeight="1" outlineLevel="2">
      <c r="A10" s="6" t="s">
        <v>205</v>
      </c>
      <c r="B10" s="61">
        <v>227</v>
      </c>
      <c r="C10" s="61">
        <v>244</v>
      </c>
      <c r="D10" s="61">
        <v>267</v>
      </c>
      <c r="E10" s="61">
        <v>279</v>
      </c>
      <c r="F10" s="61">
        <v>291</v>
      </c>
      <c r="G10" s="61">
        <v>327</v>
      </c>
      <c r="H10" s="61">
        <v>335</v>
      </c>
      <c r="I10" s="61">
        <v>224</v>
      </c>
    </row>
    <row r="11" spans="1:25" ht="15" customHeight="1" outlineLevel="2">
      <c r="A11" s="7" t="s">
        <v>204</v>
      </c>
      <c r="B11" s="65">
        <v>700</v>
      </c>
      <c r="C11" s="56">
        <v>385</v>
      </c>
      <c r="D11" s="56">
        <v>374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</row>
    <row r="12" spans="1:25" ht="15" customHeight="1" outlineLevel="2">
      <c r="A12" s="6" t="s">
        <v>203</v>
      </c>
      <c r="B12" s="63">
        <v>680</v>
      </c>
      <c r="C12" s="61">
        <v>675</v>
      </c>
      <c r="D12" s="63">
        <v>850</v>
      </c>
      <c r="E12" s="61">
        <v>588</v>
      </c>
      <c r="F12" s="62">
        <v>603</v>
      </c>
      <c r="G12" s="61">
        <v>861</v>
      </c>
      <c r="H12" s="60">
        <v>1084</v>
      </c>
      <c r="I12" s="59">
        <v>1307</v>
      </c>
    </row>
    <row r="13" spans="1:25" ht="15" customHeight="1" outlineLevel="1">
      <c r="A13" s="18" t="s">
        <v>202</v>
      </c>
      <c r="B13" s="58">
        <v>147</v>
      </c>
      <c r="C13" s="58">
        <v>174</v>
      </c>
      <c r="D13" s="58">
        <v>235</v>
      </c>
      <c r="E13" s="58">
        <v>333</v>
      </c>
      <c r="F13" s="58">
        <v>612</v>
      </c>
      <c r="G13" s="58">
        <v>595</v>
      </c>
      <c r="H13" s="58">
        <v>619</v>
      </c>
      <c r="I13" s="58">
        <v>612</v>
      </c>
    </row>
    <row r="14" spans="1:25" ht="15" customHeight="1" outlineLevel="2">
      <c r="A14" s="6" t="s">
        <v>201</v>
      </c>
      <c r="B14" s="19" t="s">
        <v>8</v>
      </c>
      <c r="C14" s="19" t="s">
        <v>8</v>
      </c>
      <c r="D14" s="19" t="s">
        <v>8</v>
      </c>
      <c r="E14" s="19" t="s">
        <v>8</v>
      </c>
      <c r="F14" s="57">
        <v>400</v>
      </c>
      <c r="G14" s="57">
        <v>400</v>
      </c>
      <c r="H14" s="57">
        <v>400</v>
      </c>
      <c r="I14" s="57">
        <v>400</v>
      </c>
    </row>
    <row r="15" spans="1:25" ht="15" customHeight="1" outlineLevel="2">
      <c r="A15" s="7" t="s">
        <v>200</v>
      </c>
      <c r="B15" s="56">
        <v>147</v>
      </c>
      <c r="C15" s="56">
        <v>174</v>
      </c>
      <c r="D15" s="56">
        <v>235</v>
      </c>
      <c r="E15" s="56">
        <v>333</v>
      </c>
      <c r="F15" s="56">
        <v>212</v>
      </c>
      <c r="G15" s="56">
        <v>195</v>
      </c>
      <c r="H15" s="56">
        <v>219</v>
      </c>
      <c r="I15" s="56">
        <v>212</v>
      </c>
    </row>
    <row r="16" spans="1:25" ht="15" customHeight="1" outlineLevel="1">
      <c r="A16" s="4" t="s">
        <v>199</v>
      </c>
      <c r="B16" s="55">
        <v>5231.1000000000004</v>
      </c>
      <c r="C16" s="55">
        <v>5558.7</v>
      </c>
      <c r="D16" s="55">
        <v>5543.8</v>
      </c>
      <c r="E16" s="49">
        <v>5589</v>
      </c>
      <c r="F16" s="49">
        <v>3857</v>
      </c>
      <c r="G16" s="49">
        <v>3311</v>
      </c>
      <c r="H16" s="49">
        <v>3314</v>
      </c>
      <c r="I16" s="49">
        <v>3325</v>
      </c>
    </row>
    <row r="17" spans="1:9" ht="15" customHeight="1" outlineLevel="2">
      <c r="A17" s="7" t="s">
        <v>198</v>
      </c>
      <c r="B17" s="54">
        <v>5231.1000000000004</v>
      </c>
      <c r="C17" s="54">
        <v>5558.7</v>
      </c>
      <c r="D17" s="54">
        <v>5543.8</v>
      </c>
      <c r="E17" s="45">
        <v>5589</v>
      </c>
      <c r="F17" s="45">
        <v>3857</v>
      </c>
      <c r="G17" s="45">
        <v>3311</v>
      </c>
      <c r="H17" s="45">
        <v>3314</v>
      </c>
      <c r="I17" s="45">
        <v>3325</v>
      </c>
    </row>
    <row r="18" spans="1:9" ht="15" customHeight="1" outlineLevel="1">
      <c r="A18" s="4" t="s">
        <v>197</v>
      </c>
      <c r="B18" s="53">
        <v>-22.1</v>
      </c>
      <c r="C18" s="53">
        <v>-24.7</v>
      </c>
      <c r="D18" s="53">
        <v>-29.8</v>
      </c>
      <c r="E18" s="52">
        <v>-53</v>
      </c>
      <c r="F18" s="52">
        <v>-29</v>
      </c>
      <c r="G18" s="52">
        <v>-28</v>
      </c>
      <c r="H18" s="52">
        <v>-36</v>
      </c>
      <c r="I18" s="52">
        <v>-41</v>
      </c>
    </row>
    <row r="19" spans="1:9" ht="15" customHeight="1" outlineLevel="2">
      <c r="A19" s="7" t="s">
        <v>196</v>
      </c>
      <c r="B19" s="51">
        <v>-22.1</v>
      </c>
      <c r="C19" s="51">
        <v>-24.7</v>
      </c>
      <c r="D19" s="51">
        <v>-29.8</v>
      </c>
      <c r="E19" s="50">
        <v>-53</v>
      </c>
      <c r="F19" s="50">
        <v>-29</v>
      </c>
      <c r="G19" s="50">
        <v>-28</v>
      </c>
      <c r="H19" s="50">
        <v>-36</v>
      </c>
      <c r="I19" s="50">
        <v>-41</v>
      </c>
    </row>
    <row r="20" spans="1:9" ht="15" customHeight="1">
      <c r="A20" s="17" t="s">
        <v>195</v>
      </c>
      <c r="B20" s="49">
        <v>6131</v>
      </c>
      <c r="C20" s="49">
        <v>6563</v>
      </c>
      <c r="D20" s="47">
        <v>7012</v>
      </c>
      <c r="E20" s="49">
        <v>6393</v>
      </c>
      <c r="F20" s="49">
        <v>5182</v>
      </c>
      <c r="G20" s="48">
        <v>4504</v>
      </c>
      <c r="H20" s="47">
        <v>5073</v>
      </c>
      <c r="I20" s="47">
        <v>5036</v>
      </c>
    </row>
    <row r="21" spans="1:9" ht="15" customHeight="1" outlineLevel="1">
      <c r="A21" s="15" t="s">
        <v>194</v>
      </c>
      <c r="B21" s="45">
        <v>6963</v>
      </c>
      <c r="C21" s="46">
        <v>7012</v>
      </c>
      <c r="D21" s="32">
        <v>7240</v>
      </c>
      <c r="E21" s="45">
        <v>6736</v>
      </c>
      <c r="F21" s="45">
        <v>5334</v>
      </c>
      <c r="G21" s="46">
        <v>5066</v>
      </c>
      <c r="H21" s="45">
        <v>5316</v>
      </c>
      <c r="I21" s="45">
        <v>5427</v>
      </c>
    </row>
    <row r="22" spans="1:9" ht="15" customHeight="1" outlineLevel="1">
      <c r="A22" s="14" t="s">
        <v>193</v>
      </c>
      <c r="B22" s="44">
        <v>-832</v>
      </c>
      <c r="C22" s="44">
        <v>-449</v>
      </c>
      <c r="D22" s="44">
        <v>-228</v>
      </c>
      <c r="E22" s="44">
        <v>-343</v>
      </c>
      <c r="F22" s="44">
        <v>-152</v>
      </c>
      <c r="G22" s="44">
        <v>-562</v>
      </c>
      <c r="H22" s="44">
        <v>-243</v>
      </c>
      <c r="I22" s="44">
        <v>-391</v>
      </c>
    </row>
    <row r="23" spans="1:9" ht="15" customHeight="1">
      <c r="A23" s="22" t="s">
        <v>192</v>
      </c>
      <c r="B23" s="115">
        <v>7521</v>
      </c>
      <c r="C23" s="115">
        <v>7356</v>
      </c>
      <c r="D23" s="115">
        <v>7635</v>
      </c>
      <c r="E23" s="115">
        <v>7142</v>
      </c>
      <c r="F23" s="115">
        <v>5740</v>
      </c>
      <c r="G23" s="115">
        <v>5414</v>
      </c>
      <c r="H23" s="115">
        <v>5726</v>
      </c>
      <c r="I23" s="115">
        <v>5689</v>
      </c>
    </row>
    <row r="24" spans="1:9" ht="15" customHeight="1">
      <c r="A24" s="28" t="s">
        <v>191</v>
      </c>
    </row>
    <row r="25" spans="1:9" ht="15" customHeight="1" thickBot="1">
      <c r="A25" s="42" t="s">
        <v>190</v>
      </c>
      <c r="B25" s="43">
        <f t="shared" ref="B25:H25" si="0">B23/C23-1</f>
        <v>2.2430668841761925E-2</v>
      </c>
      <c r="C25" s="43">
        <f t="shared" si="0"/>
        <v>-3.6542239685658173E-2</v>
      </c>
      <c r="D25" s="43">
        <f t="shared" si="0"/>
        <v>6.9028283394007239E-2</v>
      </c>
      <c r="E25" s="43">
        <f t="shared" si="0"/>
        <v>0.24425087108013943</v>
      </c>
      <c r="F25" s="43">
        <f t="shared" si="0"/>
        <v>6.0214259327669106E-2</v>
      </c>
      <c r="G25" s="43">
        <f t="shared" si="0"/>
        <v>-5.4488298987076522E-2</v>
      </c>
      <c r="H25" s="43">
        <f t="shared" si="0"/>
        <v>6.5037792230620006E-3</v>
      </c>
    </row>
    <row r="26" spans="1:9" ht="15" customHeight="1" thickTop="1"/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6F4CAC36AC0F44BF22D1078C0FC39A" ma:contentTypeVersion="16" ma:contentTypeDescription="Create a new document." ma:contentTypeScope="" ma:versionID="16c8b79a7af378b4aeb3ec6967f88aef">
  <xsd:schema xmlns:xsd="http://www.w3.org/2001/XMLSchema" xmlns:xs="http://www.w3.org/2001/XMLSchema" xmlns:p="http://schemas.microsoft.com/office/2006/metadata/properties" xmlns:ns3="6c0ca873-05fa-4ba0-9b12-5d9fdc4186ef" xmlns:ns4="7662a73c-f0d0-42df-b5f7-810f0ba3e1a8" targetNamespace="http://schemas.microsoft.com/office/2006/metadata/properties" ma:root="true" ma:fieldsID="7cc844778a1e975bb8696981bc1861d1" ns3:_="" ns4:_="">
    <xsd:import namespace="6c0ca873-05fa-4ba0-9b12-5d9fdc4186ef"/>
    <xsd:import namespace="7662a73c-f0d0-42df-b5f7-810f0ba3e1a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ca873-05fa-4ba0-9b12-5d9fdc4186e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62a73c-f0d0-42df-b5f7-810f0ba3e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62a73c-f0d0-42df-b5f7-810f0ba3e1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2FB9D6-19DB-44E8-A097-BACBE203E3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0ca873-05fa-4ba0-9b12-5d9fdc4186ef"/>
    <ds:schemaRef ds:uri="7662a73c-f0d0-42df-b5f7-810f0ba3e1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AAD442-A49C-4CBB-B94E-C7A7EFB2542A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7662a73c-f0d0-42df-b5f7-810f0ba3e1a8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6c0ca873-05fa-4ba0-9b12-5d9fdc4186ef"/>
  </ds:schemaRefs>
</ds:datastoreItem>
</file>

<file path=customXml/itemProps3.xml><?xml version="1.0" encoding="utf-8"?>
<ds:datastoreItem xmlns:ds="http://schemas.openxmlformats.org/officeDocument/2006/customXml" ds:itemID="{5DA86476-75FA-4D09-B003-EF32B70CFF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GT-US-IS</vt:lpstr>
      <vt:lpstr>GT-US-BS</vt:lpstr>
      <vt:lpstr>GT-US-CF</vt:lpstr>
      <vt:lpstr>Beta_Calc</vt:lpstr>
      <vt:lpstr>Calculations</vt:lpstr>
      <vt:lpstr>Forecast</vt:lpstr>
      <vt:lpstr>Ratio_Analysis</vt:lpstr>
      <vt:lpstr>CCC</vt:lpstr>
      <vt:lpstr>DEBT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Levan Kvinikadze</cp:lastModifiedBy>
  <cp:revision/>
  <dcterms:created xsi:type="dcterms:W3CDTF">2025-05-02T19:18:24Z</dcterms:created>
  <dcterms:modified xsi:type="dcterms:W3CDTF">2026-02-28T23:25:58Z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0x010100AA6F4CAC36AC0F44BF22D1078C0FC39A</vt:lpwstr>
  </property>
</Properties>
</file>